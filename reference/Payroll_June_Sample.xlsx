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PC_SERVER_WORKSTATION\HR_ PAYROLL\PAYROLL_FR WAGES_2026\PAYROLL_JUNE 26\"/>
    </mc:Choice>
  </mc:AlternateContent>
  <xr:revisionPtr revIDLastSave="0" documentId="13_ncr:1_{EDB9FB7D-7A12-4826-939C-39E4300FCC84}" xr6:coauthVersionLast="47" xr6:coauthVersionMax="47" xr10:uidLastSave="{00000000-0000-0000-0000-000000000000}"/>
  <bookViews>
    <workbookView xWindow="-110" yWindow="-110" windowWidth="24220" windowHeight="15500" tabRatio="577" activeTab="4" xr2:uid="{00000000-000D-0000-FFFF-FFFF00000000}"/>
  </bookViews>
  <sheets>
    <sheet name="KB B4" sheetId="8" r:id="rId1"/>
    <sheet name="KB B3" sheetId="9" r:id="rId2"/>
    <sheet name="KB B2" sheetId="10" r:id="rId3"/>
    <sheet name="KB B1 " sheetId="11" r:id="rId4"/>
    <sheet name="KL B4" sheetId="7" r:id="rId5"/>
    <sheet name="KL B3" sheetId="6" r:id="rId6"/>
    <sheet name="KL B2" sheetId="5" r:id="rId7"/>
    <sheet name="KL B1" sheetId="4" r:id="rId8"/>
    <sheet name="Sheet2" sheetId="2" state="hidden" r:id="rId9"/>
  </sheets>
  <definedNames>
    <definedName name="_xlnm.Print_Area" localSheetId="3">'KB B1 '!$A$1:$EH$63</definedName>
    <definedName name="_xlnm.Print_Area" localSheetId="2">'KB B2'!$A$1:$KL$63</definedName>
    <definedName name="_xlnm.Print_Area" localSheetId="1">'KB B3'!$A$1:$JJ$63</definedName>
    <definedName name="_xlnm.Print_Area" localSheetId="0">'KB B4'!$A$1:$AO$63</definedName>
    <definedName name="_xlnm.Print_Area" localSheetId="7">'KL B1'!$A$1:$DE$63</definedName>
    <definedName name="_xlnm.Print_Area" localSheetId="6">'KL B2'!$A$1:$DS$63</definedName>
    <definedName name="_xlnm.Print_Area" localSheetId="5">'KL B3'!$A$1:$DT$63</definedName>
    <definedName name="_xlnm.Print_Area" localSheetId="4">'KL B4'!$A$1:$BB$63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E30" i="10" l="1"/>
  <c r="GG30" i="10" s="1"/>
  <c r="GB30" i="10"/>
  <c r="GB29" i="10"/>
  <c r="GE29" i="10" s="1"/>
  <c r="GG29" i="10" s="1"/>
  <c r="DO9" i="10"/>
  <c r="CT53" i="10"/>
  <c r="DB51" i="10"/>
  <c r="CX51" i="10"/>
  <c r="CT51" i="10"/>
  <c r="DA47" i="10"/>
  <c r="DC5" i="10" s="1"/>
  <c r="CT57" i="10" s="1"/>
  <c r="CX57" i="10" s="1"/>
  <c r="CT47" i="10"/>
  <c r="CV51" i="10" s="1"/>
  <c r="DC40" i="10"/>
  <c r="CX40" i="10"/>
  <c r="DA38" i="10"/>
  <c r="DC38" i="10" s="1"/>
  <c r="CX38" i="10"/>
  <c r="CX37" i="10"/>
  <c r="DA37" i="10" s="1"/>
  <c r="DC37" i="10" s="1"/>
  <c r="CX36" i="10"/>
  <c r="DA36" i="10" s="1"/>
  <c r="DC36" i="10" s="1"/>
  <c r="DC35" i="10"/>
  <c r="DA35" i="10"/>
  <c r="CX35" i="10"/>
  <c r="DA34" i="10"/>
  <c r="DC34" i="10" s="1"/>
  <c r="CX34" i="10"/>
  <c r="CX33" i="10"/>
  <c r="DA33" i="10" s="1"/>
  <c r="DC33" i="10" s="1"/>
  <c r="DC32" i="10"/>
  <c r="DA32" i="10"/>
  <c r="CX32" i="10"/>
  <c r="CX31" i="10"/>
  <c r="DA31" i="10" s="1"/>
  <c r="DC31" i="10" s="1"/>
  <c r="DA30" i="10"/>
  <c r="DC30" i="10" s="1"/>
  <c r="CX30" i="10"/>
  <c r="CX29" i="10"/>
  <c r="DA29" i="10" s="1"/>
  <c r="DC29" i="10" s="1"/>
  <c r="CX28" i="10"/>
  <c r="DA28" i="10" s="1"/>
  <c r="DC28" i="10" s="1"/>
  <c r="DC27" i="10"/>
  <c r="DA27" i="10"/>
  <c r="CX27" i="10"/>
  <c r="DA26" i="10"/>
  <c r="DC26" i="10" s="1"/>
  <c r="CX26" i="10"/>
  <c r="CX25" i="10"/>
  <c r="DA25" i="10" s="1"/>
  <c r="DC25" i="10" s="1"/>
  <c r="DC24" i="10"/>
  <c r="DA24" i="10"/>
  <c r="CX24" i="10"/>
  <c r="CX23" i="10"/>
  <c r="DA23" i="10" s="1"/>
  <c r="DC23" i="10" s="1"/>
  <c r="DA22" i="10"/>
  <c r="DC22" i="10" s="1"/>
  <c r="CX22" i="10"/>
  <c r="CX21" i="10"/>
  <c r="DA21" i="10" s="1"/>
  <c r="DC21" i="10" s="1"/>
  <c r="CX20" i="10"/>
  <c r="DA20" i="10" s="1"/>
  <c r="DC20" i="10" s="1"/>
  <c r="DC19" i="10"/>
  <c r="DA19" i="10"/>
  <c r="CX19" i="10"/>
  <c r="DA18" i="10"/>
  <c r="DC18" i="10" s="1"/>
  <c r="CX18" i="10"/>
  <c r="CX17" i="10"/>
  <c r="DA17" i="10" s="1"/>
  <c r="DC17" i="10" s="1"/>
  <c r="DC16" i="10"/>
  <c r="DA16" i="10"/>
  <c r="CX16" i="10"/>
  <c r="CX15" i="10"/>
  <c r="DA15" i="10" s="1"/>
  <c r="DC15" i="10" s="1"/>
  <c r="DA14" i="10"/>
  <c r="DC14" i="10" s="1"/>
  <c r="CX14" i="10"/>
  <c r="CX13" i="10"/>
  <c r="DA13" i="10" s="1"/>
  <c r="DC13" i="10" s="1"/>
  <c r="CX12" i="10"/>
  <c r="DA12" i="10" s="1"/>
  <c r="DC12" i="10" s="1"/>
  <c r="DC11" i="10"/>
  <c r="DA11" i="10"/>
  <c r="CX11" i="10"/>
  <c r="DA10" i="10"/>
  <c r="DC10" i="10" s="1"/>
  <c r="CX10" i="10"/>
  <c r="CX9" i="10"/>
  <c r="DA9" i="10" s="1"/>
  <c r="DC9" i="10" s="1"/>
  <c r="DC51" i="10" s="1"/>
  <c r="DA51" i="10" s="1"/>
  <c r="DC47" i="10" s="1"/>
  <c r="DC6" i="10" s="1"/>
  <c r="CT58" i="10" s="1"/>
  <c r="CX58" i="10" s="1"/>
  <c r="KB53" i="10"/>
  <c r="KJ51" i="10"/>
  <c r="KF51" i="10"/>
  <c r="KB51" i="10"/>
  <c r="KI47" i="10"/>
  <c r="KB47" i="10"/>
  <c r="KD51" i="10" s="1"/>
  <c r="KK40" i="10"/>
  <c r="KF40" i="10"/>
  <c r="KF38" i="10"/>
  <c r="KI38" i="10" s="1"/>
  <c r="KK38" i="10" s="1"/>
  <c r="KF37" i="10"/>
  <c r="KI37" i="10" s="1"/>
  <c r="KK37" i="10" s="1"/>
  <c r="KF36" i="10"/>
  <c r="KI36" i="10" s="1"/>
  <c r="KK36" i="10" s="1"/>
  <c r="KK35" i="10"/>
  <c r="KI35" i="10"/>
  <c r="KF35" i="10"/>
  <c r="KI34" i="10"/>
  <c r="KK34" i="10" s="1"/>
  <c r="KF34" i="10"/>
  <c r="KF33" i="10"/>
  <c r="KI33" i="10" s="1"/>
  <c r="KK33" i="10" s="1"/>
  <c r="KI32" i="10"/>
  <c r="KK32" i="10" s="1"/>
  <c r="KF32" i="10"/>
  <c r="KF31" i="10"/>
  <c r="KI31" i="10" s="1"/>
  <c r="KK31" i="10" s="1"/>
  <c r="KF30" i="10"/>
  <c r="KI30" i="10" s="1"/>
  <c r="KK30" i="10" s="1"/>
  <c r="KF29" i="10"/>
  <c r="KI29" i="10" s="1"/>
  <c r="KK29" i="10" s="1"/>
  <c r="KI28" i="10"/>
  <c r="KK28" i="10" s="1"/>
  <c r="KF28" i="10"/>
  <c r="KF27" i="10"/>
  <c r="KI27" i="10" s="1"/>
  <c r="KK27" i="10" s="1"/>
  <c r="KF26" i="10"/>
  <c r="KI26" i="10" s="1"/>
  <c r="KK26" i="10" s="1"/>
  <c r="KF25" i="10"/>
  <c r="KI25" i="10" s="1"/>
  <c r="KK25" i="10" s="1"/>
  <c r="KK24" i="10"/>
  <c r="KI24" i="10"/>
  <c r="KF24" i="10"/>
  <c r="KF23" i="10"/>
  <c r="KI23" i="10" s="1"/>
  <c r="KK23" i="10" s="1"/>
  <c r="KI22" i="10"/>
  <c r="KK22" i="10" s="1"/>
  <c r="KF22" i="10"/>
  <c r="KF21" i="10"/>
  <c r="KI21" i="10" s="1"/>
  <c r="KK21" i="10" s="1"/>
  <c r="KF20" i="10"/>
  <c r="KI20" i="10" s="1"/>
  <c r="KK20" i="10" s="1"/>
  <c r="KI19" i="10"/>
  <c r="KK19" i="10" s="1"/>
  <c r="KF19" i="10"/>
  <c r="KF18" i="10"/>
  <c r="KI18" i="10" s="1"/>
  <c r="KK18" i="10" s="1"/>
  <c r="KF17" i="10"/>
  <c r="KI17" i="10" s="1"/>
  <c r="KK17" i="10" s="1"/>
  <c r="KI16" i="10"/>
  <c r="KK16" i="10" s="1"/>
  <c r="KF16" i="10"/>
  <c r="KF15" i="10"/>
  <c r="KI15" i="10" s="1"/>
  <c r="KK15" i="10" s="1"/>
  <c r="KF14" i="10"/>
  <c r="KI14" i="10" s="1"/>
  <c r="KK14" i="10" s="1"/>
  <c r="KG51" i="10" s="1"/>
  <c r="KF13" i="10"/>
  <c r="KI13" i="10" s="1"/>
  <c r="KK13" i="10" s="1"/>
  <c r="KF12" i="10"/>
  <c r="KI12" i="10" s="1"/>
  <c r="KK12" i="10" s="1"/>
  <c r="KF11" i="10"/>
  <c r="KI11" i="10" s="1"/>
  <c r="KK11" i="10" s="1"/>
  <c r="KF10" i="10"/>
  <c r="KI10" i="10" s="1"/>
  <c r="KK10" i="10" s="1"/>
  <c r="KF9" i="10"/>
  <c r="KI9" i="10" s="1"/>
  <c r="KK9" i="10" s="1"/>
  <c r="KK51" i="10" s="1"/>
  <c r="KI51" i="10" s="1"/>
  <c r="KK47" i="10" s="1"/>
  <c r="KK6" i="10" s="1"/>
  <c r="KB58" i="10" s="1"/>
  <c r="KF58" i="10" s="1"/>
  <c r="KK5" i="10"/>
  <c r="KB57" i="10" s="1"/>
  <c r="KF57" i="10" s="1"/>
  <c r="KB5" i="10"/>
  <c r="KB54" i="10" s="1"/>
  <c r="KF54" i="10" s="1"/>
  <c r="EI53" i="10"/>
  <c r="EQ51" i="10"/>
  <c r="EM51" i="10"/>
  <c r="EI51" i="10"/>
  <c r="EP47" i="10"/>
  <c r="EI47" i="10"/>
  <c r="EK51" i="10" s="1"/>
  <c r="ER40" i="10"/>
  <c r="EM40" i="10"/>
  <c r="EM38" i="10"/>
  <c r="EP38" i="10" s="1"/>
  <c r="ER38" i="10" s="1"/>
  <c r="EM37" i="10"/>
  <c r="EP37" i="10" s="1"/>
  <c r="ER37" i="10" s="1"/>
  <c r="EM36" i="10"/>
  <c r="EP36" i="10" s="1"/>
  <c r="ER36" i="10" s="1"/>
  <c r="ER35" i="10"/>
  <c r="EP35" i="10"/>
  <c r="EM35" i="10"/>
  <c r="EM34" i="10"/>
  <c r="EP34" i="10" s="1"/>
  <c r="ER34" i="10" s="1"/>
  <c r="EM33" i="10"/>
  <c r="EP33" i="10" s="1"/>
  <c r="ER33" i="10" s="1"/>
  <c r="EM32" i="10"/>
  <c r="EP32" i="10" s="1"/>
  <c r="ER32" i="10" s="1"/>
  <c r="EP31" i="10"/>
  <c r="ER31" i="10" s="1"/>
  <c r="EM31" i="10"/>
  <c r="EP30" i="10"/>
  <c r="ER30" i="10" s="1"/>
  <c r="EM30" i="10"/>
  <c r="EM29" i="10"/>
  <c r="EP29" i="10" s="1"/>
  <c r="ER29" i="10" s="1"/>
  <c r="EM28" i="10"/>
  <c r="EP28" i="10" s="1"/>
  <c r="ER28" i="10" s="1"/>
  <c r="EM27" i="10"/>
  <c r="EP27" i="10" s="1"/>
  <c r="ER27" i="10" s="1"/>
  <c r="EM26" i="10"/>
  <c r="EP26" i="10" s="1"/>
  <c r="ER26" i="10" s="1"/>
  <c r="EM25" i="10"/>
  <c r="EP25" i="10" s="1"/>
  <c r="ER25" i="10" s="1"/>
  <c r="EM24" i="10"/>
  <c r="EP24" i="10" s="1"/>
  <c r="ER24" i="10" s="1"/>
  <c r="EM23" i="10"/>
  <c r="EP23" i="10" s="1"/>
  <c r="ER23" i="10" s="1"/>
  <c r="EP22" i="10"/>
  <c r="ER22" i="10" s="1"/>
  <c r="EM22" i="10"/>
  <c r="EM21" i="10"/>
  <c r="EP21" i="10" s="1"/>
  <c r="ER21" i="10" s="1"/>
  <c r="EM20" i="10"/>
  <c r="EP20" i="10" s="1"/>
  <c r="ER20" i="10" s="1"/>
  <c r="EM19" i="10"/>
  <c r="EP19" i="10" s="1"/>
  <c r="ER19" i="10" s="1"/>
  <c r="EM18" i="10"/>
  <c r="EP18" i="10" s="1"/>
  <c r="ER18" i="10" s="1"/>
  <c r="EM17" i="10"/>
  <c r="EP17" i="10" s="1"/>
  <c r="ER17" i="10" s="1"/>
  <c r="EP16" i="10"/>
  <c r="ER16" i="10" s="1"/>
  <c r="EM16" i="10"/>
  <c r="EM15" i="10"/>
  <c r="EP15" i="10" s="1"/>
  <c r="ER15" i="10" s="1"/>
  <c r="EP14" i="10"/>
  <c r="ER14" i="10" s="1"/>
  <c r="EM14" i="10"/>
  <c r="EM13" i="10"/>
  <c r="EP13" i="10" s="1"/>
  <c r="ER13" i="10" s="1"/>
  <c r="EM12" i="10"/>
  <c r="EP12" i="10" s="1"/>
  <c r="ER12" i="10" s="1"/>
  <c r="EP11" i="10"/>
  <c r="ER11" i="10" s="1"/>
  <c r="EM11" i="10"/>
  <c r="EM10" i="10"/>
  <c r="EP10" i="10" s="1"/>
  <c r="ER10" i="10" s="1"/>
  <c r="EM9" i="10"/>
  <c r="EP9" i="10" s="1"/>
  <c r="ER9" i="10" s="1"/>
  <c r="ER51" i="10" s="1"/>
  <c r="EP51" i="10" s="1"/>
  <c r="ER47" i="10" s="1"/>
  <c r="ER6" i="10" s="1"/>
  <c r="EI58" i="10" s="1"/>
  <c r="EM58" i="10" s="1"/>
  <c r="ER5" i="10"/>
  <c r="EI57" i="10" s="1"/>
  <c r="EM57" i="10" s="1"/>
  <c r="EI5" i="10"/>
  <c r="EI54" i="10" s="1"/>
  <c r="EM54" i="10" s="1"/>
  <c r="HL53" i="10"/>
  <c r="HT51" i="10"/>
  <c r="HP51" i="10"/>
  <c r="HL51" i="10"/>
  <c r="HS47" i="10"/>
  <c r="HU5" i="10" s="1"/>
  <c r="HL57" i="10" s="1"/>
  <c r="HP57" i="10" s="1"/>
  <c r="HL47" i="10"/>
  <c r="HN51" i="10" s="1"/>
  <c r="HU40" i="10"/>
  <c r="HP40" i="10"/>
  <c r="HP38" i="10"/>
  <c r="HS38" i="10" s="1"/>
  <c r="HU38" i="10" s="1"/>
  <c r="HP37" i="10"/>
  <c r="HS37" i="10" s="1"/>
  <c r="HU37" i="10" s="1"/>
  <c r="HP36" i="10"/>
  <c r="HS36" i="10" s="1"/>
  <c r="HU36" i="10" s="1"/>
  <c r="HS35" i="10"/>
  <c r="HU35" i="10" s="1"/>
  <c r="HP35" i="10"/>
  <c r="HP34" i="10"/>
  <c r="HS34" i="10" s="1"/>
  <c r="HU34" i="10" s="1"/>
  <c r="HP33" i="10"/>
  <c r="HS33" i="10" s="1"/>
  <c r="HU33" i="10" s="1"/>
  <c r="HP32" i="10"/>
  <c r="HS32" i="10" s="1"/>
  <c r="HU32" i="10" s="1"/>
  <c r="HP31" i="10"/>
  <c r="HS31" i="10" s="1"/>
  <c r="HU31" i="10" s="1"/>
  <c r="HP30" i="10"/>
  <c r="HS30" i="10" s="1"/>
  <c r="HU30" i="10" s="1"/>
  <c r="HP29" i="10"/>
  <c r="HS29" i="10" s="1"/>
  <c r="HU29" i="10" s="1"/>
  <c r="HP28" i="10"/>
  <c r="HS28" i="10" s="1"/>
  <c r="HU28" i="10" s="1"/>
  <c r="HS27" i="10"/>
  <c r="HU27" i="10" s="1"/>
  <c r="HP27" i="10"/>
  <c r="HP26" i="10"/>
  <c r="HS26" i="10" s="1"/>
  <c r="HU26" i="10" s="1"/>
  <c r="HP25" i="10"/>
  <c r="HS25" i="10" s="1"/>
  <c r="HU25" i="10" s="1"/>
  <c r="HS24" i="10"/>
  <c r="HU24" i="10" s="1"/>
  <c r="HP24" i="10"/>
  <c r="HP23" i="10"/>
  <c r="HS23" i="10" s="1"/>
  <c r="HU23" i="10" s="1"/>
  <c r="HP22" i="10"/>
  <c r="HS22" i="10" s="1"/>
  <c r="HU22" i="10" s="1"/>
  <c r="HP21" i="10"/>
  <c r="HS21" i="10" s="1"/>
  <c r="HU21" i="10" s="1"/>
  <c r="HP20" i="10"/>
  <c r="HS20" i="10" s="1"/>
  <c r="HU20" i="10" s="1"/>
  <c r="HP19" i="10"/>
  <c r="HS19" i="10" s="1"/>
  <c r="HU19" i="10" s="1"/>
  <c r="HP18" i="10"/>
  <c r="HS18" i="10" s="1"/>
  <c r="HU18" i="10" s="1"/>
  <c r="HP17" i="10"/>
  <c r="HS17" i="10" s="1"/>
  <c r="HU17" i="10" s="1"/>
  <c r="HP16" i="10"/>
  <c r="HS16" i="10" s="1"/>
  <c r="HU16" i="10" s="1"/>
  <c r="HP15" i="10"/>
  <c r="HS15" i="10" s="1"/>
  <c r="HU15" i="10" s="1"/>
  <c r="HP14" i="10"/>
  <c r="HS14" i="10" s="1"/>
  <c r="HU14" i="10" s="1"/>
  <c r="HP13" i="10"/>
  <c r="HS13" i="10" s="1"/>
  <c r="HU13" i="10" s="1"/>
  <c r="HP12" i="10"/>
  <c r="HS12" i="10" s="1"/>
  <c r="HU12" i="10" s="1"/>
  <c r="HP11" i="10"/>
  <c r="HS11" i="10" s="1"/>
  <c r="HU11" i="10" s="1"/>
  <c r="HP10" i="10"/>
  <c r="HS10" i="10" s="1"/>
  <c r="HU10" i="10" s="1"/>
  <c r="HS9" i="10"/>
  <c r="HU9" i="10" s="1"/>
  <c r="HU51" i="10" s="1"/>
  <c r="HP9" i="10"/>
  <c r="HL5" i="10"/>
  <c r="HL54" i="10" s="1"/>
  <c r="HP54" i="10" s="1"/>
  <c r="AR53" i="10"/>
  <c r="AZ51" i="10"/>
  <c r="AV51" i="10"/>
  <c r="AR51" i="10"/>
  <c r="AY47" i="10"/>
  <c r="AR47" i="10"/>
  <c r="AT51" i="10" s="1"/>
  <c r="BA40" i="10"/>
  <c r="AV40" i="10"/>
  <c r="AV38" i="10"/>
  <c r="AY38" i="10" s="1"/>
  <c r="BA38" i="10" s="1"/>
  <c r="AV37" i="10"/>
  <c r="AY37" i="10" s="1"/>
  <c r="BA37" i="10" s="1"/>
  <c r="AV36" i="10"/>
  <c r="AY36" i="10" s="1"/>
  <c r="BA36" i="10" s="1"/>
  <c r="BA35" i="10"/>
  <c r="AY35" i="10"/>
  <c r="AV35" i="10"/>
  <c r="AV34" i="10"/>
  <c r="AY34" i="10" s="1"/>
  <c r="BA34" i="10" s="1"/>
  <c r="AV33" i="10"/>
  <c r="AY33" i="10" s="1"/>
  <c r="BA33" i="10" s="1"/>
  <c r="AV32" i="10"/>
  <c r="AY32" i="10" s="1"/>
  <c r="BA32" i="10" s="1"/>
  <c r="AV31" i="10"/>
  <c r="AY31" i="10" s="1"/>
  <c r="BA31" i="10" s="1"/>
  <c r="AV30" i="10"/>
  <c r="AY30" i="10" s="1"/>
  <c r="BA30" i="10" s="1"/>
  <c r="AY29" i="10"/>
  <c r="BA29" i="10" s="1"/>
  <c r="AV29" i="10"/>
  <c r="AV28" i="10"/>
  <c r="AY28" i="10" s="1"/>
  <c r="BA28" i="10" s="1"/>
  <c r="AV27" i="10"/>
  <c r="AY27" i="10" s="1"/>
  <c r="BA27" i="10" s="1"/>
  <c r="AV26" i="10"/>
  <c r="AY26" i="10" s="1"/>
  <c r="BA26" i="10" s="1"/>
  <c r="AV25" i="10"/>
  <c r="AY25" i="10" s="1"/>
  <c r="BA25" i="10" s="1"/>
  <c r="AV24" i="10"/>
  <c r="AY24" i="10" s="1"/>
  <c r="BA24" i="10" s="1"/>
  <c r="AV23" i="10"/>
  <c r="AY23" i="10" s="1"/>
  <c r="BA23" i="10" s="1"/>
  <c r="AV22" i="10"/>
  <c r="AY22" i="10" s="1"/>
  <c r="BA22" i="10" s="1"/>
  <c r="AY21" i="10"/>
  <c r="BA21" i="10" s="1"/>
  <c r="AV21" i="10"/>
  <c r="AV20" i="10"/>
  <c r="AY20" i="10" s="1"/>
  <c r="BA20" i="10" s="1"/>
  <c r="AV19" i="10"/>
  <c r="AY19" i="10" s="1"/>
  <c r="BA19" i="10" s="1"/>
  <c r="AV18" i="10"/>
  <c r="AY18" i="10" s="1"/>
  <c r="BA18" i="10" s="1"/>
  <c r="AV17" i="10"/>
  <c r="AY17" i="10" s="1"/>
  <c r="BA17" i="10" s="1"/>
  <c r="AV16" i="10"/>
  <c r="AY16" i="10" s="1"/>
  <c r="BA16" i="10" s="1"/>
  <c r="AV15" i="10"/>
  <c r="AY15" i="10" s="1"/>
  <c r="BA15" i="10" s="1"/>
  <c r="AY14" i="10"/>
  <c r="BA14" i="10" s="1"/>
  <c r="AV14" i="10"/>
  <c r="AV13" i="10"/>
  <c r="AY13" i="10" s="1"/>
  <c r="BA13" i="10" s="1"/>
  <c r="AV12" i="10"/>
  <c r="AY12" i="10" s="1"/>
  <c r="BA12" i="10" s="1"/>
  <c r="AV11" i="10"/>
  <c r="AY11" i="10" s="1"/>
  <c r="BA11" i="10" s="1"/>
  <c r="AV10" i="10"/>
  <c r="AY10" i="10" s="1"/>
  <c r="BA10" i="10" s="1"/>
  <c r="AV9" i="10"/>
  <c r="AY9" i="10" s="1"/>
  <c r="BA9" i="10" s="1"/>
  <c r="BA51" i="10" s="1"/>
  <c r="AY51" i="10" s="1"/>
  <c r="BA47" i="10" s="1"/>
  <c r="BA6" i="10" s="1"/>
  <c r="AR58" i="10" s="1"/>
  <c r="AV58" i="10" s="1"/>
  <c r="BA5" i="10"/>
  <c r="AR57" i="10" s="1"/>
  <c r="AV57" i="10" s="1"/>
  <c r="AR5" i="10"/>
  <c r="AR54" i="10" s="1"/>
  <c r="AV54" i="10" s="1"/>
  <c r="X9" i="10"/>
  <c r="JN53" i="10"/>
  <c r="JV51" i="10"/>
  <c r="JR51" i="10"/>
  <c r="JP51" i="10"/>
  <c r="JN51" i="10"/>
  <c r="JU47" i="10"/>
  <c r="JN47" i="10"/>
  <c r="JW40" i="10"/>
  <c r="JR40" i="10"/>
  <c r="JU38" i="10"/>
  <c r="JW38" i="10" s="1"/>
  <c r="JR38" i="10"/>
  <c r="JR37" i="10"/>
  <c r="JU37" i="10" s="1"/>
  <c r="JW37" i="10" s="1"/>
  <c r="JR36" i="10"/>
  <c r="JU36" i="10" s="1"/>
  <c r="JW36" i="10" s="1"/>
  <c r="JW35" i="10"/>
  <c r="JU35" i="10"/>
  <c r="JR35" i="10"/>
  <c r="JR34" i="10"/>
  <c r="JU34" i="10" s="1"/>
  <c r="JW34" i="10" s="1"/>
  <c r="JR33" i="10"/>
  <c r="JU33" i="10" s="1"/>
  <c r="JW33" i="10" s="1"/>
  <c r="JR32" i="10"/>
  <c r="JU32" i="10" s="1"/>
  <c r="JW32" i="10" s="1"/>
  <c r="JR31" i="10"/>
  <c r="JU31" i="10" s="1"/>
  <c r="JW31" i="10" s="1"/>
  <c r="JU30" i="10"/>
  <c r="JW30" i="10" s="1"/>
  <c r="JR30" i="10"/>
  <c r="JR29" i="10"/>
  <c r="JU29" i="10" s="1"/>
  <c r="JW29" i="10" s="1"/>
  <c r="JW28" i="10"/>
  <c r="JU28" i="10"/>
  <c r="JR28" i="10"/>
  <c r="JR27" i="10"/>
  <c r="JU27" i="10" s="1"/>
  <c r="JW27" i="10" s="1"/>
  <c r="JR26" i="10"/>
  <c r="JU26" i="10" s="1"/>
  <c r="JW26" i="10" s="1"/>
  <c r="JU25" i="10"/>
  <c r="JW25" i="10" s="1"/>
  <c r="JR25" i="10"/>
  <c r="JU24" i="10"/>
  <c r="JW24" i="10" s="1"/>
  <c r="JR24" i="10"/>
  <c r="JR23" i="10"/>
  <c r="JU23" i="10" s="1"/>
  <c r="JW23" i="10" s="1"/>
  <c r="JR22" i="10"/>
  <c r="JU22" i="10" s="1"/>
  <c r="JW22" i="10" s="1"/>
  <c r="JU21" i="10"/>
  <c r="JW21" i="10" s="1"/>
  <c r="JR21" i="10"/>
  <c r="JR20" i="10"/>
  <c r="JU20" i="10" s="1"/>
  <c r="JW20" i="10" s="1"/>
  <c r="JU19" i="10"/>
  <c r="JW19" i="10" s="1"/>
  <c r="JR19" i="10"/>
  <c r="JR18" i="10"/>
  <c r="JU18" i="10" s="1"/>
  <c r="JW18" i="10" s="1"/>
  <c r="JW16" i="10"/>
  <c r="JU16" i="10"/>
  <c r="JR16" i="10"/>
  <c r="JW15" i="10"/>
  <c r="JU15" i="10"/>
  <c r="JR15" i="10"/>
  <c r="JW14" i="10"/>
  <c r="JU14" i="10"/>
  <c r="JR14" i="10"/>
  <c r="JR13" i="10"/>
  <c r="JU13" i="10" s="1"/>
  <c r="JW13" i="10" s="1"/>
  <c r="JR12" i="10"/>
  <c r="JU12" i="10" s="1"/>
  <c r="JW12" i="10" s="1"/>
  <c r="JR11" i="10"/>
  <c r="JU11" i="10" s="1"/>
  <c r="JW11" i="10" s="1"/>
  <c r="JU10" i="10"/>
  <c r="JW10" i="10" s="1"/>
  <c r="JR10" i="10"/>
  <c r="JR9" i="10"/>
  <c r="JU9" i="10" s="1"/>
  <c r="JW9" i="10" s="1"/>
  <c r="JW51" i="10" s="1"/>
  <c r="JU51" i="10" s="1"/>
  <c r="JW47" i="10" s="1"/>
  <c r="JW6" i="10" s="1"/>
  <c r="JN58" i="10" s="1"/>
  <c r="JR58" i="10" s="1"/>
  <c r="JW5" i="10"/>
  <c r="JN57" i="10" s="1"/>
  <c r="JR57" i="10" s="1"/>
  <c r="JN5" i="10"/>
  <c r="JN54" i="10" s="1"/>
  <c r="JR54" i="10" s="1"/>
  <c r="JA53" i="10"/>
  <c r="JI51" i="10"/>
  <c r="JE51" i="10"/>
  <c r="JA51" i="10"/>
  <c r="JH47" i="10"/>
  <c r="JJ5" i="10" s="1"/>
  <c r="JA57" i="10" s="1"/>
  <c r="JE57" i="10" s="1"/>
  <c r="JA47" i="10"/>
  <c r="JC51" i="10" s="1"/>
  <c r="JJ40" i="10"/>
  <c r="JE40" i="10"/>
  <c r="JE38" i="10"/>
  <c r="JH38" i="10" s="1"/>
  <c r="JJ38" i="10" s="1"/>
  <c r="JE37" i="10"/>
  <c r="JH37" i="10" s="1"/>
  <c r="JJ37" i="10" s="1"/>
  <c r="JE36" i="10"/>
  <c r="JH36" i="10" s="1"/>
  <c r="JJ36" i="10" s="1"/>
  <c r="JE35" i="10"/>
  <c r="JH35" i="10" s="1"/>
  <c r="JJ35" i="10" s="1"/>
  <c r="JE34" i="10"/>
  <c r="JH34" i="10" s="1"/>
  <c r="JJ34" i="10" s="1"/>
  <c r="JE33" i="10"/>
  <c r="JH33" i="10" s="1"/>
  <c r="JJ33" i="10" s="1"/>
  <c r="JH32" i="10"/>
  <c r="JJ32" i="10" s="1"/>
  <c r="JE32" i="10"/>
  <c r="JE31" i="10"/>
  <c r="JH31" i="10" s="1"/>
  <c r="JJ31" i="10" s="1"/>
  <c r="JE30" i="10"/>
  <c r="JH30" i="10" s="1"/>
  <c r="JJ30" i="10" s="1"/>
  <c r="JE29" i="10"/>
  <c r="JH29" i="10" s="1"/>
  <c r="JJ29" i="10" s="1"/>
  <c r="JE28" i="10"/>
  <c r="JH28" i="10" s="1"/>
  <c r="JJ28" i="10" s="1"/>
  <c r="JE27" i="10"/>
  <c r="JH27" i="10" s="1"/>
  <c r="JJ27" i="10" s="1"/>
  <c r="JE26" i="10"/>
  <c r="JH26" i="10" s="1"/>
  <c r="JJ26" i="10" s="1"/>
  <c r="JE25" i="10"/>
  <c r="JH25" i="10" s="1"/>
  <c r="JJ25" i="10" s="1"/>
  <c r="JE24" i="10"/>
  <c r="JH24" i="10" s="1"/>
  <c r="JJ24" i="10" s="1"/>
  <c r="JE23" i="10"/>
  <c r="JH23" i="10" s="1"/>
  <c r="JJ23" i="10" s="1"/>
  <c r="JE22" i="10"/>
  <c r="JH22" i="10" s="1"/>
  <c r="JJ22" i="10" s="1"/>
  <c r="JE21" i="10"/>
  <c r="JH21" i="10" s="1"/>
  <c r="JJ21" i="10" s="1"/>
  <c r="JE20" i="10"/>
  <c r="JH20" i="10" s="1"/>
  <c r="JJ20" i="10" s="1"/>
  <c r="JE19" i="10"/>
  <c r="JH19" i="10" s="1"/>
  <c r="JJ19" i="10" s="1"/>
  <c r="JE18" i="10"/>
  <c r="JH18" i="10" s="1"/>
  <c r="JJ18" i="10" s="1"/>
  <c r="JE17" i="10"/>
  <c r="JH17" i="10" s="1"/>
  <c r="JJ17" i="10" s="1"/>
  <c r="JE16" i="10"/>
  <c r="JH16" i="10" s="1"/>
  <c r="JJ16" i="10" s="1"/>
  <c r="JE15" i="10"/>
  <c r="JH15" i="10" s="1"/>
  <c r="JJ15" i="10" s="1"/>
  <c r="JE14" i="10"/>
  <c r="JH14" i="10" s="1"/>
  <c r="JJ14" i="10" s="1"/>
  <c r="JE13" i="10"/>
  <c r="JH13" i="10" s="1"/>
  <c r="JJ13" i="10" s="1"/>
  <c r="JE12" i="10"/>
  <c r="JH12" i="10" s="1"/>
  <c r="JJ12" i="10" s="1"/>
  <c r="JE11" i="10"/>
  <c r="JH11" i="10" s="1"/>
  <c r="JJ11" i="10" s="1"/>
  <c r="JE10" i="10"/>
  <c r="JH10" i="10" s="1"/>
  <c r="JJ10" i="10" s="1"/>
  <c r="JE9" i="10"/>
  <c r="JH9" i="10" s="1"/>
  <c r="JJ9" i="10" s="1"/>
  <c r="JJ51" i="10" s="1"/>
  <c r="IM53" i="10"/>
  <c r="IU51" i="10"/>
  <c r="IQ51" i="10"/>
  <c r="IM51" i="10"/>
  <c r="IT47" i="10"/>
  <c r="IV5" i="10" s="1"/>
  <c r="IM57" i="10" s="1"/>
  <c r="IQ57" i="10" s="1"/>
  <c r="IM47" i="10"/>
  <c r="IO51" i="10" s="1"/>
  <c r="IV40" i="10"/>
  <c r="IQ40" i="10"/>
  <c r="IQ38" i="10"/>
  <c r="IT38" i="10" s="1"/>
  <c r="IV38" i="10" s="1"/>
  <c r="IQ37" i="10"/>
  <c r="IT37" i="10" s="1"/>
  <c r="IV37" i="10" s="1"/>
  <c r="IQ36" i="10"/>
  <c r="IT36" i="10" s="1"/>
  <c r="IV36" i="10" s="1"/>
  <c r="IQ35" i="10"/>
  <c r="IT35" i="10" s="1"/>
  <c r="IV35" i="10" s="1"/>
  <c r="IQ34" i="10"/>
  <c r="IT34" i="10" s="1"/>
  <c r="IV34" i="10" s="1"/>
  <c r="IQ33" i="10"/>
  <c r="IT33" i="10" s="1"/>
  <c r="IV33" i="10" s="1"/>
  <c r="IQ32" i="10"/>
  <c r="IT32" i="10" s="1"/>
  <c r="IV32" i="10" s="1"/>
  <c r="IQ31" i="10"/>
  <c r="IT31" i="10" s="1"/>
  <c r="IV31" i="10" s="1"/>
  <c r="IQ30" i="10"/>
  <c r="IT30" i="10" s="1"/>
  <c r="IV30" i="10" s="1"/>
  <c r="IQ29" i="10"/>
  <c r="IT29" i="10" s="1"/>
  <c r="IV29" i="10" s="1"/>
  <c r="IQ28" i="10"/>
  <c r="IT28" i="10" s="1"/>
  <c r="IV28" i="10" s="1"/>
  <c r="IQ27" i="10"/>
  <c r="IT27" i="10" s="1"/>
  <c r="IV27" i="10" s="1"/>
  <c r="IQ26" i="10"/>
  <c r="IT26" i="10" s="1"/>
  <c r="IV26" i="10" s="1"/>
  <c r="IQ25" i="10"/>
  <c r="IT25" i="10" s="1"/>
  <c r="IV25" i="10" s="1"/>
  <c r="IQ24" i="10"/>
  <c r="IT24" i="10" s="1"/>
  <c r="IV24" i="10" s="1"/>
  <c r="IQ23" i="10"/>
  <c r="IT23" i="10" s="1"/>
  <c r="IV23" i="10" s="1"/>
  <c r="IQ22" i="10"/>
  <c r="IT22" i="10" s="1"/>
  <c r="IV22" i="10" s="1"/>
  <c r="IQ21" i="10"/>
  <c r="IT21" i="10" s="1"/>
  <c r="IV21" i="10" s="1"/>
  <c r="IQ20" i="10"/>
  <c r="IT20" i="10" s="1"/>
  <c r="IV20" i="10" s="1"/>
  <c r="IQ19" i="10"/>
  <c r="IT19" i="10" s="1"/>
  <c r="IV19" i="10" s="1"/>
  <c r="IQ18" i="10"/>
  <c r="IT18" i="10" s="1"/>
  <c r="IV18" i="10" s="1"/>
  <c r="IQ17" i="10"/>
  <c r="IT17" i="10" s="1"/>
  <c r="IV17" i="10" s="1"/>
  <c r="IQ16" i="10"/>
  <c r="IT16" i="10" s="1"/>
  <c r="IV16" i="10" s="1"/>
  <c r="IQ15" i="10"/>
  <c r="IT15" i="10" s="1"/>
  <c r="IV15" i="10" s="1"/>
  <c r="IQ14" i="10"/>
  <c r="IT14" i="10" s="1"/>
  <c r="IV14" i="10" s="1"/>
  <c r="IQ13" i="10"/>
  <c r="IT13" i="10" s="1"/>
  <c r="IV13" i="10" s="1"/>
  <c r="IQ12" i="10"/>
  <c r="IT12" i="10" s="1"/>
  <c r="IV12" i="10" s="1"/>
  <c r="IQ11" i="10"/>
  <c r="IT11" i="10" s="1"/>
  <c r="IV11" i="10" s="1"/>
  <c r="IQ10" i="10"/>
  <c r="IT10" i="10" s="1"/>
  <c r="IV10" i="10" s="1"/>
  <c r="IQ9" i="10"/>
  <c r="IT9" i="10" s="1"/>
  <c r="IV9" i="10" s="1"/>
  <c r="IV51" i="10" s="1"/>
  <c r="HZ47" i="10"/>
  <c r="HZ5" i="10" s="1"/>
  <c r="HZ54" i="10" s="1"/>
  <c r="ID54" i="10" s="1"/>
  <c r="IG47" i="10"/>
  <c r="II5" i="10" s="1"/>
  <c r="HZ57" i="10" s="1"/>
  <c r="ID57" i="10" s="1"/>
  <c r="HZ51" i="10"/>
  <c r="HX51" i="10" s="1"/>
  <c r="IB47" i="10" s="1"/>
  <c r="HZ6" i="10" s="1"/>
  <c r="HZ55" i="10" s="1"/>
  <c r="ID55" i="10" s="1"/>
  <c r="IA51" i="10"/>
  <c r="IB51" i="10"/>
  <c r="ID51" i="10"/>
  <c r="IC51" i="10" s="1"/>
  <c r="ID47" i="10" s="1"/>
  <c r="ID5" i="10" s="1"/>
  <c r="HZ56" i="10" s="1"/>
  <c r="ID56" i="10" s="1"/>
  <c r="IE51" i="10"/>
  <c r="IH51" i="10"/>
  <c r="IG51" i="10" s="1"/>
  <c r="II47" i="10" s="1"/>
  <c r="II6" i="10" s="1"/>
  <c r="HZ58" i="10" s="1"/>
  <c r="ID58" i="10" s="1"/>
  <c r="II51" i="10"/>
  <c r="HZ53" i="10"/>
  <c r="GY53" i="10"/>
  <c r="HG51" i="10"/>
  <c r="HC51" i="10"/>
  <c r="GY51" i="10"/>
  <c r="HF47" i="10"/>
  <c r="HH5" i="10" s="1"/>
  <c r="GY57" i="10" s="1"/>
  <c r="HC57" i="10" s="1"/>
  <c r="GY47" i="10"/>
  <c r="HA51" i="10" s="1"/>
  <c r="HH40" i="10"/>
  <c r="HC40" i="10"/>
  <c r="HC38" i="10"/>
  <c r="HF38" i="10" s="1"/>
  <c r="HH38" i="10" s="1"/>
  <c r="HC37" i="10"/>
  <c r="HF37" i="10" s="1"/>
  <c r="HH37" i="10" s="1"/>
  <c r="HC36" i="10"/>
  <c r="HF36" i="10" s="1"/>
  <c r="HH36" i="10" s="1"/>
  <c r="HF35" i="10"/>
  <c r="HH35" i="10" s="1"/>
  <c r="HC35" i="10"/>
  <c r="HC34" i="10"/>
  <c r="HF34" i="10" s="1"/>
  <c r="HH34" i="10" s="1"/>
  <c r="HC33" i="10"/>
  <c r="HF33" i="10" s="1"/>
  <c r="HH33" i="10" s="1"/>
  <c r="HC32" i="10"/>
  <c r="HF32" i="10" s="1"/>
  <c r="HH32" i="10" s="1"/>
  <c r="HC31" i="10"/>
  <c r="HF31" i="10" s="1"/>
  <c r="HH31" i="10" s="1"/>
  <c r="HC30" i="10"/>
  <c r="HF30" i="10" s="1"/>
  <c r="HH30" i="10" s="1"/>
  <c r="HC29" i="10"/>
  <c r="HF29" i="10" s="1"/>
  <c r="HH29" i="10" s="1"/>
  <c r="HC28" i="10"/>
  <c r="HF28" i="10" s="1"/>
  <c r="HH28" i="10" s="1"/>
  <c r="HC27" i="10"/>
  <c r="HF27" i="10" s="1"/>
  <c r="HH27" i="10" s="1"/>
  <c r="HC26" i="10"/>
  <c r="HF26" i="10" s="1"/>
  <c r="HH26" i="10" s="1"/>
  <c r="HC25" i="10"/>
  <c r="HF25" i="10" s="1"/>
  <c r="HH25" i="10" s="1"/>
  <c r="HC24" i="10"/>
  <c r="HF24" i="10" s="1"/>
  <c r="HH24" i="10" s="1"/>
  <c r="HC23" i="10"/>
  <c r="HF23" i="10" s="1"/>
  <c r="HH23" i="10" s="1"/>
  <c r="HC22" i="10"/>
  <c r="HF22" i="10" s="1"/>
  <c r="HH22" i="10" s="1"/>
  <c r="HC21" i="10"/>
  <c r="HF21" i="10" s="1"/>
  <c r="HH21" i="10" s="1"/>
  <c r="HC20" i="10"/>
  <c r="HF20" i="10" s="1"/>
  <c r="HH20" i="10" s="1"/>
  <c r="HC19" i="10"/>
  <c r="HF19" i="10" s="1"/>
  <c r="HH19" i="10" s="1"/>
  <c r="HC18" i="10"/>
  <c r="HF18" i="10" s="1"/>
  <c r="HH18" i="10" s="1"/>
  <c r="HC17" i="10"/>
  <c r="HF17" i="10" s="1"/>
  <c r="HH17" i="10" s="1"/>
  <c r="HC16" i="10"/>
  <c r="HF16" i="10" s="1"/>
  <c r="HH16" i="10" s="1"/>
  <c r="HC15" i="10"/>
  <c r="HF15" i="10" s="1"/>
  <c r="HH15" i="10" s="1"/>
  <c r="HC14" i="10"/>
  <c r="HF14" i="10" s="1"/>
  <c r="HH14" i="10" s="1"/>
  <c r="HC13" i="10"/>
  <c r="HF13" i="10" s="1"/>
  <c r="HH13" i="10" s="1"/>
  <c r="HC12" i="10"/>
  <c r="HF12" i="10" s="1"/>
  <c r="HH12" i="10" s="1"/>
  <c r="HC11" i="10"/>
  <c r="HF11" i="10" s="1"/>
  <c r="HH11" i="10" s="1"/>
  <c r="HC10" i="10"/>
  <c r="HF10" i="10" s="1"/>
  <c r="HH10" i="10" s="1"/>
  <c r="HC9" i="10"/>
  <c r="HF9" i="10" s="1"/>
  <c r="HH9" i="10" s="1"/>
  <c r="HH51" i="10" s="1"/>
  <c r="GY5" i="10"/>
  <c r="GY54" i="10" s="1"/>
  <c r="HC54" i="10" s="1"/>
  <c r="GK53" i="10"/>
  <c r="GS51" i="10"/>
  <c r="GO51" i="10"/>
  <c r="GK51" i="10"/>
  <c r="GR47" i="10"/>
  <c r="GT5" i="10" s="1"/>
  <c r="GK57" i="10" s="1"/>
  <c r="GO57" i="10" s="1"/>
  <c r="GK47" i="10"/>
  <c r="GM51" i="10" s="1"/>
  <c r="GT40" i="10"/>
  <c r="GO40" i="10"/>
  <c r="GO38" i="10"/>
  <c r="GR38" i="10" s="1"/>
  <c r="GT38" i="10" s="1"/>
  <c r="GO37" i="10"/>
  <c r="GR37" i="10" s="1"/>
  <c r="GT37" i="10" s="1"/>
  <c r="GO36" i="10"/>
  <c r="GR36" i="10" s="1"/>
  <c r="GT36" i="10" s="1"/>
  <c r="GO35" i="10"/>
  <c r="GR35" i="10" s="1"/>
  <c r="GT35" i="10" s="1"/>
  <c r="GO34" i="10"/>
  <c r="GR34" i="10" s="1"/>
  <c r="GT34" i="10" s="1"/>
  <c r="GO33" i="10"/>
  <c r="GR33" i="10" s="1"/>
  <c r="GT33" i="10" s="1"/>
  <c r="GO32" i="10"/>
  <c r="GR32" i="10" s="1"/>
  <c r="GT32" i="10" s="1"/>
  <c r="GO31" i="10"/>
  <c r="GR31" i="10" s="1"/>
  <c r="GT31" i="10" s="1"/>
  <c r="GO30" i="10"/>
  <c r="GR30" i="10" s="1"/>
  <c r="GT30" i="10" s="1"/>
  <c r="GO29" i="10"/>
  <c r="GR29" i="10" s="1"/>
  <c r="GT29" i="10" s="1"/>
  <c r="GO28" i="10"/>
  <c r="GR28" i="10" s="1"/>
  <c r="GT28" i="10" s="1"/>
  <c r="GO27" i="10"/>
  <c r="GR27" i="10" s="1"/>
  <c r="GT27" i="10" s="1"/>
  <c r="GO26" i="10"/>
  <c r="GR26" i="10" s="1"/>
  <c r="GT26" i="10" s="1"/>
  <c r="GO25" i="10"/>
  <c r="GR25" i="10" s="1"/>
  <c r="GT25" i="10" s="1"/>
  <c r="GO24" i="10"/>
  <c r="GR24" i="10" s="1"/>
  <c r="GT24" i="10" s="1"/>
  <c r="GO23" i="10"/>
  <c r="GR23" i="10" s="1"/>
  <c r="GT23" i="10" s="1"/>
  <c r="GO22" i="10"/>
  <c r="GR22" i="10" s="1"/>
  <c r="GT22" i="10" s="1"/>
  <c r="GO21" i="10"/>
  <c r="GR21" i="10" s="1"/>
  <c r="GT21" i="10" s="1"/>
  <c r="GO20" i="10"/>
  <c r="GR20" i="10" s="1"/>
  <c r="GT20" i="10" s="1"/>
  <c r="GO19" i="10"/>
  <c r="GR19" i="10" s="1"/>
  <c r="GT19" i="10" s="1"/>
  <c r="GO18" i="10"/>
  <c r="GR18" i="10" s="1"/>
  <c r="GT18" i="10" s="1"/>
  <c r="GO16" i="10"/>
  <c r="GR16" i="10" s="1"/>
  <c r="GT16" i="10" s="1"/>
  <c r="GO15" i="10"/>
  <c r="GR15" i="10" s="1"/>
  <c r="GT15" i="10" s="1"/>
  <c r="GO14" i="10"/>
  <c r="GR14" i="10" s="1"/>
  <c r="GT14" i="10" s="1"/>
  <c r="GO13" i="10"/>
  <c r="GR13" i="10" s="1"/>
  <c r="GT13" i="10" s="1"/>
  <c r="GO12" i="10"/>
  <c r="GR12" i="10" s="1"/>
  <c r="GT12" i="10" s="1"/>
  <c r="GO11" i="10"/>
  <c r="GR11" i="10" s="1"/>
  <c r="GT11" i="10" s="1"/>
  <c r="GO10" i="10"/>
  <c r="GR10" i="10" s="1"/>
  <c r="GT10" i="10" s="1"/>
  <c r="GO9" i="10"/>
  <c r="GR9" i="10" s="1"/>
  <c r="GT9" i="10" s="1"/>
  <c r="GT51" i="10" s="1"/>
  <c r="GK5" i="10"/>
  <c r="GK54" i="10" s="1"/>
  <c r="GO54" i="10" s="1"/>
  <c r="FX53" i="10"/>
  <c r="GF51" i="10"/>
  <c r="GB51" i="10"/>
  <c r="FX51" i="10"/>
  <c r="GE47" i="10"/>
  <c r="GG5" i="10" s="1"/>
  <c r="FX57" i="10" s="1"/>
  <c r="GB57" i="10" s="1"/>
  <c r="FX47" i="10"/>
  <c r="FZ51" i="10" s="1"/>
  <c r="GG40" i="10"/>
  <c r="GB40" i="10"/>
  <c r="GB38" i="10"/>
  <c r="GE38" i="10" s="1"/>
  <c r="GG38" i="10" s="1"/>
  <c r="GB37" i="10"/>
  <c r="GE37" i="10" s="1"/>
  <c r="GG37" i="10" s="1"/>
  <c r="GB36" i="10"/>
  <c r="GE36" i="10" s="1"/>
  <c r="GG36" i="10" s="1"/>
  <c r="GE35" i="10"/>
  <c r="GG35" i="10" s="1"/>
  <c r="GB35" i="10"/>
  <c r="GB34" i="10"/>
  <c r="GE34" i="10" s="1"/>
  <c r="GG34" i="10" s="1"/>
  <c r="GB33" i="10"/>
  <c r="GE33" i="10" s="1"/>
  <c r="GG33" i="10" s="1"/>
  <c r="GB32" i="10"/>
  <c r="GE32" i="10" s="1"/>
  <c r="GG32" i="10" s="1"/>
  <c r="GB31" i="10"/>
  <c r="GE31" i="10" s="1"/>
  <c r="GG31" i="10" s="1"/>
  <c r="GB28" i="10"/>
  <c r="GE28" i="10" s="1"/>
  <c r="GG28" i="10" s="1"/>
  <c r="GB27" i="10"/>
  <c r="GE27" i="10" s="1"/>
  <c r="GG27" i="10" s="1"/>
  <c r="GB26" i="10"/>
  <c r="GE26" i="10" s="1"/>
  <c r="GG26" i="10" s="1"/>
  <c r="GB25" i="10"/>
  <c r="GE25" i="10" s="1"/>
  <c r="GG25" i="10" s="1"/>
  <c r="GB24" i="10"/>
  <c r="GE24" i="10" s="1"/>
  <c r="GG24" i="10" s="1"/>
  <c r="GB23" i="10"/>
  <c r="GE23" i="10" s="1"/>
  <c r="GG23" i="10" s="1"/>
  <c r="GB22" i="10"/>
  <c r="GE22" i="10" s="1"/>
  <c r="GG22" i="10" s="1"/>
  <c r="GB21" i="10"/>
  <c r="GE21" i="10" s="1"/>
  <c r="GG21" i="10" s="1"/>
  <c r="GB20" i="10"/>
  <c r="GE20" i="10" s="1"/>
  <c r="GG20" i="10" s="1"/>
  <c r="GB19" i="10"/>
  <c r="GE19" i="10" s="1"/>
  <c r="GG19" i="10" s="1"/>
  <c r="GE17" i="10"/>
  <c r="GG17" i="10" s="1"/>
  <c r="GB17" i="10"/>
  <c r="GB16" i="10"/>
  <c r="GE16" i="10" s="1"/>
  <c r="GG16" i="10" s="1"/>
  <c r="GB15" i="10"/>
  <c r="GE15" i="10" s="1"/>
  <c r="GG15" i="10" s="1"/>
  <c r="GB14" i="10"/>
  <c r="GE14" i="10" s="1"/>
  <c r="GG14" i="10" s="1"/>
  <c r="GC51" i="10" s="1"/>
  <c r="GB13" i="10"/>
  <c r="GE13" i="10" s="1"/>
  <c r="GG13" i="10" s="1"/>
  <c r="GB12" i="10"/>
  <c r="GE12" i="10" s="1"/>
  <c r="GG12" i="10" s="1"/>
  <c r="GB11" i="10"/>
  <c r="GE11" i="10" s="1"/>
  <c r="GG11" i="10" s="1"/>
  <c r="GB10" i="10"/>
  <c r="GE10" i="10" s="1"/>
  <c r="GG10" i="10" s="1"/>
  <c r="GE9" i="10"/>
  <c r="GG9" i="10" s="1"/>
  <c r="GG51" i="10" s="1"/>
  <c r="GB9" i="10"/>
  <c r="FJ53" i="10"/>
  <c r="FR51" i="10"/>
  <c r="FN51" i="10"/>
  <c r="FJ51" i="10"/>
  <c r="FQ47" i="10"/>
  <c r="FS5" i="10" s="1"/>
  <c r="FJ57" i="10" s="1"/>
  <c r="FN57" i="10" s="1"/>
  <c r="FJ47" i="10"/>
  <c r="FL51" i="10" s="1"/>
  <c r="FS40" i="10"/>
  <c r="FN40" i="10"/>
  <c r="FQ38" i="10"/>
  <c r="FS38" i="10" s="1"/>
  <c r="FN38" i="10"/>
  <c r="FN37" i="10"/>
  <c r="FQ37" i="10" s="1"/>
  <c r="FS37" i="10" s="1"/>
  <c r="FN36" i="10"/>
  <c r="FQ36" i="10" s="1"/>
  <c r="FS36" i="10" s="1"/>
  <c r="FN35" i="10"/>
  <c r="FQ35" i="10" s="1"/>
  <c r="FS35" i="10" s="1"/>
  <c r="FN34" i="10"/>
  <c r="FQ34" i="10" s="1"/>
  <c r="FS34" i="10" s="1"/>
  <c r="FN33" i="10"/>
  <c r="FQ33" i="10" s="1"/>
  <c r="FS33" i="10" s="1"/>
  <c r="FN32" i="10"/>
  <c r="FQ32" i="10" s="1"/>
  <c r="FS32" i="10" s="1"/>
  <c r="FN31" i="10"/>
  <c r="FQ31" i="10" s="1"/>
  <c r="FS31" i="10" s="1"/>
  <c r="FQ30" i="10"/>
  <c r="FS30" i="10" s="1"/>
  <c r="FN30" i="10"/>
  <c r="FN29" i="10"/>
  <c r="FQ29" i="10" s="1"/>
  <c r="FS29" i="10" s="1"/>
  <c r="FN28" i="10"/>
  <c r="FQ28" i="10" s="1"/>
  <c r="FS28" i="10" s="1"/>
  <c r="FN27" i="10"/>
  <c r="FQ27" i="10" s="1"/>
  <c r="FS27" i="10" s="1"/>
  <c r="FN26" i="10"/>
  <c r="FQ26" i="10" s="1"/>
  <c r="FS26" i="10" s="1"/>
  <c r="FN25" i="10"/>
  <c r="FQ25" i="10" s="1"/>
  <c r="FS25" i="10" s="1"/>
  <c r="FQ24" i="10"/>
  <c r="FS24" i="10" s="1"/>
  <c r="FN24" i="10"/>
  <c r="FN23" i="10"/>
  <c r="FQ23" i="10" s="1"/>
  <c r="FS23" i="10" s="1"/>
  <c r="FN22" i="10"/>
  <c r="FQ22" i="10" s="1"/>
  <c r="FS22" i="10" s="1"/>
  <c r="FN21" i="10"/>
  <c r="FQ21" i="10" s="1"/>
  <c r="FS21" i="10" s="1"/>
  <c r="FN20" i="10"/>
  <c r="FQ20" i="10" s="1"/>
  <c r="FS20" i="10" s="1"/>
  <c r="FN19" i="10"/>
  <c r="FQ19" i="10" s="1"/>
  <c r="FS19" i="10" s="1"/>
  <c r="FN18" i="10"/>
  <c r="FQ18" i="10" s="1"/>
  <c r="FS18" i="10" s="1"/>
  <c r="FN16" i="10"/>
  <c r="FQ16" i="10" s="1"/>
  <c r="FS16" i="10" s="1"/>
  <c r="FN15" i="10"/>
  <c r="FQ15" i="10" s="1"/>
  <c r="FS15" i="10" s="1"/>
  <c r="FQ14" i="10"/>
  <c r="FS14" i="10" s="1"/>
  <c r="FN14" i="10"/>
  <c r="FN13" i="10"/>
  <c r="FQ13" i="10" s="1"/>
  <c r="FS13" i="10" s="1"/>
  <c r="FN12" i="10"/>
  <c r="FQ12" i="10" s="1"/>
  <c r="FS12" i="10" s="1"/>
  <c r="FN11" i="10"/>
  <c r="FQ11" i="10" s="1"/>
  <c r="FS11" i="10" s="1"/>
  <c r="FN10" i="10"/>
  <c r="FQ10" i="10" s="1"/>
  <c r="FS10" i="10" s="1"/>
  <c r="FN9" i="10"/>
  <c r="FQ9" i="10" s="1"/>
  <c r="FS9" i="10" s="1"/>
  <c r="FS51" i="10" s="1"/>
  <c r="EW53" i="10"/>
  <c r="FE51" i="10"/>
  <c r="FA51" i="10"/>
  <c r="EW51" i="10"/>
  <c r="FD47" i="10"/>
  <c r="FF5" i="10" s="1"/>
  <c r="EW57" i="10" s="1"/>
  <c r="FA57" i="10" s="1"/>
  <c r="EW47" i="10"/>
  <c r="EY51" i="10" s="1"/>
  <c r="FF40" i="10"/>
  <c r="FA40" i="10"/>
  <c r="FA38" i="10"/>
  <c r="FD38" i="10" s="1"/>
  <c r="FF38" i="10" s="1"/>
  <c r="FD37" i="10"/>
  <c r="FF37" i="10" s="1"/>
  <c r="FA37" i="10"/>
  <c r="FA36" i="10"/>
  <c r="FD36" i="10" s="1"/>
  <c r="FF36" i="10" s="1"/>
  <c r="FD35" i="10"/>
  <c r="FF35" i="10" s="1"/>
  <c r="FA35" i="10"/>
  <c r="FA34" i="10"/>
  <c r="FD34" i="10" s="1"/>
  <c r="FF34" i="10" s="1"/>
  <c r="FA33" i="10"/>
  <c r="FD33" i="10" s="1"/>
  <c r="FF33" i="10" s="1"/>
  <c r="FA32" i="10"/>
  <c r="FD32" i="10" s="1"/>
  <c r="FF32" i="10" s="1"/>
  <c r="FA31" i="10"/>
  <c r="FD31" i="10" s="1"/>
  <c r="FF31" i="10" s="1"/>
  <c r="FA30" i="10"/>
  <c r="FD30" i="10" s="1"/>
  <c r="FF30" i="10" s="1"/>
  <c r="FA29" i="10"/>
  <c r="FD29" i="10" s="1"/>
  <c r="FF29" i="10" s="1"/>
  <c r="FA28" i="10"/>
  <c r="FD28" i="10" s="1"/>
  <c r="FF28" i="10" s="1"/>
  <c r="FA27" i="10"/>
  <c r="FD27" i="10" s="1"/>
  <c r="FF27" i="10" s="1"/>
  <c r="FA26" i="10"/>
  <c r="FD26" i="10" s="1"/>
  <c r="FF26" i="10" s="1"/>
  <c r="FD25" i="10"/>
  <c r="FF25" i="10" s="1"/>
  <c r="FA25" i="10"/>
  <c r="FA24" i="10"/>
  <c r="FD24" i="10" s="1"/>
  <c r="FF24" i="10" s="1"/>
  <c r="FA23" i="10"/>
  <c r="FD23" i="10" s="1"/>
  <c r="FF23" i="10" s="1"/>
  <c r="FA22" i="10"/>
  <c r="FD22" i="10" s="1"/>
  <c r="FF22" i="10" s="1"/>
  <c r="FF21" i="10"/>
  <c r="FD21" i="10"/>
  <c r="FA21" i="10"/>
  <c r="FA20" i="10"/>
  <c r="FD20" i="10" s="1"/>
  <c r="FF20" i="10" s="1"/>
  <c r="FA19" i="10"/>
  <c r="FD19" i="10" s="1"/>
  <c r="FF19" i="10" s="1"/>
  <c r="FA18" i="10"/>
  <c r="FD18" i="10" s="1"/>
  <c r="FF18" i="10" s="1"/>
  <c r="FA17" i="10"/>
  <c r="FD17" i="10" s="1"/>
  <c r="FF17" i="10" s="1"/>
  <c r="FA16" i="10"/>
  <c r="FD16" i="10" s="1"/>
  <c r="FF16" i="10" s="1"/>
  <c r="FA15" i="10"/>
  <c r="FD15" i="10" s="1"/>
  <c r="FF15" i="10" s="1"/>
  <c r="FA14" i="10"/>
  <c r="FD14" i="10" s="1"/>
  <c r="FF14" i="10" s="1"/>
  <c r="FB51" i="10" s="1"/>
  <c r="FA13" i="10"/>
  <c r="FD13" i="10" s="1"/>
  <c r="FF13" i="10" s="1"/>
  <c r="FA12" i="10"/>
  <c r="FD12" i="10" s="1"/>
  <c r="FF12" i="10" s="1"/>
  <c r="FA11" i="10"/>
  <c r="FD11" i="10" s="1"/>
  <c r="FF11" i="10" s="1"/>
  <c r="FA10" i="10"/>
  <c r="FD10" i="10" s="1"/>
  <c r="FF10" i="10" s="1"/>
  <c r="FD9" i="10"/>
  <c r="FF9" i="10" s="1"/>
  <c r="FF51" i="10" s="1"/>
  <c r="EW5" i="10"/>
  <c r="EW54" i="10" s="1"/>
  <c r="FA54" i="10" s="1"/>
  <c r="DV53" i="10"/>
  <c r="ED51" i="10"/>
  <c r="DZ51" i="10"/>
  <c r="DV51" i="10"/>
  <c r="EC47" i="10"/>
  <c r="EE5" i="10" s="1"/>
  <c r="DV57" i="10" s="1"/>
  <c r="DZ57" i="10" s="1"/>
  <c r="DV47" i="10"/>
  <c r="DX51" i="10" s="1"/>
  <c r="EE40" i="10"/>
  <c r="DZ40" i="10"/>
  <c r="DZ38" i="10"/>
  <c r="EC38" i="10" s="1"/>
  <c r="EE38" i="10" s="1"/>
  <c r="DZ37" i="10"/>
  <c r="EC37" i="10" s="1"/>
  <c r="EE37" i="10" s="1"/>
  <c r="DZ36" i="10"/>
  <c r="EC36" i="10" s="1"/>
  <c r="EE36" i="10" s="1"/>
  <c r="DZ35" i="10"/>
  <c r="EC35" i="10" s="1"/>
  <c r="EE35" i="10" s="1"/>
  <c r="DZ34" i="10"/>
  <c r="EC34" i="10" s="1"/>
  <c r="EE34" i="10" s="1"/>
  <c r="DZ33" i="10"/>
  <c r="EC33" i="10" s="1"/>
  <c r="EE33" i="10" s="1"/>
  <c r="DZ32" i="10"/>
  <c r="EC32" i="10" s="1"/>
  <c r="EE32" i="10" s="1"/>
  <c r="DZ30" i="10"/>
  <c r="EC30" i="10" s="1"/>
  <c r="EE30" i="10" s="1"/>
  <c r="DZ29" i="10"/>
  <c r="EC29" i="10" s="1"/>
  <c r="EE29" i="10" s="1"/>
  <c r="EE28" i="10"/>
  <c r="EC28" i="10"/>
  <c r="DZ28" i="10"/>
  <c r="DZ27" i="10"/>
  <c r="EC27" i="10" s="1"/>
  <c r="EE27" i="10" s="1"/>
  <c r="DZ26" i="10"/>
  <c r="EC26" i="10" s="1"/>
  <c r="EE26" i="10" s="1"/>
  <c r="DZ25" i="10"/>
  <c r="EC25" i="10" s="1"/>
  <c r="EE25" i="10" s="1"/>
  <c r="DZ24" i="10"/>
  <c r="EC24" i="10" s="1"/>
  <c r="EE24" i="10" s="1"/>
  <c r="DZ23" i="10"/>
  <c r="EC23" i="10" s="1"/>
  <c r="EE23" i="10" s="1"/>
  <c r="DZ22" i="10"/>
  <c r="EC22" i="10" s="1"/>
  <c r="EE22" i="10" s="1"/>
  <c r="DZ21" i="10"/>
  <c r="EC21" i="10" s="1"/>
  <c r="EE21" i="10" s="1"/>
  <c r="DZ20" i="10"/>
  <c r="EC20" i="10" s="1"/>
  <c r="EE20" i="10" s="1"/>
  <c r="DZ19" i="10"/>
  <c r="EC19" i="10" s="1"/>
  <c r="EE19" i="10" s="1"/>
  <c r="DZ18" i="10"/>
  <c r="EC18" i="10" s="1"/>
  <c r="EE18" i="10" s="1"/>
  <c r="DZ17" i="10"/>
  <c r="EC17" i="10" s="1"/>
  <c r="EE17" i="10" s="1"/>
  <c r="DZ16" i="10"/>
  <c r="EC16" i="10" s="1"/>
  <c r="EE16" i="10" s="1"/>
  <c r="DZ14" i="10"/>
  <c r="EC14" i="10" s="1"/>
  <c r="EE14" i="10" s="1"/>
  <c r="DZ13" i="10"/>
  <c r="EC13" i="10" s="1"/>
  <c r="EE13" i="10" s="1"/>
  <c r="DZ12" i="10"/>
  <c r="EC12" i="10" s="1"/>
  <c r="EE12" i="10" s="1"/>
  <c r="DZ11" i="10"/>
  <c r="EC11" i="10" s="1"/>
  <c r="EE11" i="10" s="1"/>
  <c r="DZ10" i="10"/>
  <c r="EC10" i="10" s="1"/>
  <c r="EE10" i="10" s="1"/>
  <c r="DZ9" i="10"/>
  <c r="EC9" i="10" s="1"/>
  <c r="EE9" i="10" s="1"/>
  <c r="EE51" i="10" s="1"/>
  <c r="DH53" i="10"/>
  <c r="DP51" i="10"/>
  <c r="DL51" i="10"/>
  <c r="DH51" i="10"/>
  <c r="DO47" i="10"/>
  <c r="DQ5" i="10" s="1"/>
  <c r="DH57" i="10" s="1"/>
  <c r="DL57" i="10" s="1"/>
  <c r="DH47" i="10"/>
  <c r="DJ51" i="10" s="1"/>
  <c r="DQ40" i="10"/>
  <c r="DL40" i="10"/>
  <c r="DL38" i="10"/>
  <c r="DO38" i="10" s="1"/>
  <c r="DQ38" i="10" s="1"/>
  <c r="DL37" i="10"/>
  <c r="DO37" i="10" s="1"/>
  <c r="DQ37" i="10" s="1"/>
  <c r="DL36" i="10"/>
  <c r="DO36" i="10" s="1"/>
  <c r="DQ36" i="10" s="1"/>
  <c r="DO35" i="10"/>
  <c r="DQ35" i="10" s="1"/>
  <c r="DL35" i="10"/>
  <c r="DL34" i="10"/>
  <c r="DO34" i="10" s="1"/>
  <c r="DQ34" i="10" s="1"/>
  <c r="DL33" i="10"/>
  <c r="DO33" i="10" s="1"/>
  <c r="DQ33" i="10" s="1"/>
  <c r="DL32" i="10"/>
  <c r="DO32" i="10" s="1"/>
  <c r="DQ32" i="10" s="1"/>
  <c r="DL31" i="10"/>
  <c r="DO31" i="10" s="1"/>
  <c r="DQ31" i="10" s="1"/>
  <c r="DL30" i="10"/>
  <c r="DO30" i="10" s="1"/>
  <c r="DQ30" i="10" s="1"/>
  <c r="DL29" i="10"/>
  <c r="DO29" i="10" s="1"/>
  <c r="DQ29" i="10" s="1"/>
  <c r="DL28" i="10"/>
  <c r="DO28" i="10" s="1"/>
  <c r="DQ28" i="10" s="1"/>
  <c r="DL27" i="10"/>
  <c r="DO27" i="10" s="1"/>
  <c r="DQ27" i="10" s="1"/>
  <c r="DL26" i="10"/>
  <c r="DO26" i="10" s="1"/>
  <c r="DQ26" i="10" s="1"/>
  <c r="DL25" i="10"/>
  <c r="DO25" i="10" s="1"/>
  <c r="DQ25" i="10" s="1"/>
  <c r="DL24" i="10"/>
  <c r="DO24" i="10" s="1"/>
  <c r="DQ24" i="10" s="1"/>
  <c r="DL23" i="10"/>
  <c r="DO23" i="10" s="1"/>
  <c r="DQ23" i="10" s="1"/>
  <c r="DL22" i="10"/>
  <c r="DO22" i="10" s="1"/>
  <c r="DQ22" i="10" s="1"/>
  <c r="DL21" i="10"/>
  <c r="DO21" i="10" s="1"/>
  <c r="DQ21" i="10" s="1"/>
  <c r="DL20" i="10"/>
  <c r="DO20" i="10" s="1"/>
  <c r="DQ20" i="10" s="1"/>
  <c r="DL19" i="10"/>
  <c r="DO19" i="10" s="1"/>
  <c r="DQ19" i="10" s="1"/>
  <c r="DL18" i="10"/>
  <c r="DO18" i="10" s="1"/>
  <c r="DQ18" i="10" s="1"/>
  <c r="DL17" i="10"/>
  <c r="DO17" i="10" s="1"/>
  <c r="DQ17" i="10" s="1"/>
  <c r="DL15" i="10"/>
  <c r="DO15" i="10" s="1"/>
  <c r="DQ15" i="10" s="1"/>
  <c r="DQ14" i="10"/>
  <c r="DO14" i="10"/>
  <c r="DL14" i="10"/>
  <c r="DL12" i="10"/>
  <c r="DO12" i="10" s="1"/>
  <c r="DQ12" i="10" s="1"/>
  <c r="DL11" i="10"/>
  <c r="DO11" i="10" s="1"/>
  <c r="DQ11" i="10" s="1"/>
  <c r="DL10" i="10"/>
  <c r="DO10" i="10" s="1"/>
  <c r="DQ10" i="10" s="1"/>
  <c r="DL9" i="10"/>
  <c r="DQ9" i="10" s="1"/>
  <c r="DQ51" i="10" s="1"/>
  <c r="CG53" i="10"/>
  <c r="BS53" i="10"/>
  <c r="CO51" i="10"/>
  <c r="CK51" i="10"/>
  <c r="CG51" i="10"/>
  <c r="CA51" i="10"/>
  <c r="BW51" i="10"/>
  <c r="BU51" i="10"/>
  <c r="BS51" i="10"/>
  <c r="CN47" i="10"/>
  <c r="CG47" i="10"/>
  <c r="CI51" i="10" s="1"/>
  <c r="BZ47" i="10"/>
  <c r="CB5" i="10" s="1"/>
  <c r="BS57" i="10" s="1"/>
  <c r="BW57" i="10" s="1"/>
  <c r="BS47" i="10"/>
  <c r="CP40" i="10"/>
  <c r="CK40" i="10"/>
  <c r="CB40" i="10"/>
  <c r="BW40" i="10"/>
  <c r="CK38" i="10"/>
  <c r="CN38" i="10" s="1"/>
  <c r="CP38" i="10" s="1"/>
  <c r="BW38" i="10"/>
  <c r="BZ38" i="10" s="1"/>
  <c r="CB38" i="10" s="1"/>
  <c r="CK37" i="10"/>
  <c r="CN37" i="10" s="1"/>
  <c r="CP37" i="10" s="1"/>
  <c r="BW37" i="10"/>
  <c r="BZ37" i="10" s="1"/>
  <c r="CB37" i="10" s="1"/>
  <c r="CK36" i="10"/>
  <c r="CN36" i="10" s="1"/>
  <c r="CP36" i="10" s="1"/>
  <c r="BW36" i="10"/>
  <c r="BZ36" i="10" s="1"/>
  <c r="CB36" i="10" s="1"/>
  <c r="CK35" i="10"/>
  <c r="CN35" i="10" s="1"/>
  <c r="CP35" i="10" s="1"/>
  <c r="BZ35" i="10"/>
  <c r="CB35" i="10" s="1"/>
  <c r="BW35" i="10"/>
  <c r="CK34" i="10"/>
  <c r="CN34" i="10" s="1"/>
  <c r="CP34" i="10" s="1"/>
  <c r="BW34" i="10"/>
  <c r="BZ34" i="10" s="1"/>
  <c r="CB34" i="10" s="1"/>
  <c r="CK33" i="10"/>
  <c r="CN33" i="10" s="1"/>
  <c r="CP33" i="10" s="1"/>
  <c r="BW33" i="10"/>
  <c r="BZ33" i="10" s="1"/>
  <c r="CB33" i="10" s="1"/>
  <c r="CK32" i="10"/>
  <c r="CN32" i="10" s="1"/>
  <c r="CP32" i="10" s="1"/>
  <c r="BW32" i="10"/>
  <c r="BZ32" i="10" s="1"/>
  <c r="CB32" i="10" s="1"/>
  <c r="CK31" i="10"/>
  <c r="CN31" i="10" s="1"/>
  <c r="CP31" i="10" s="1"/>
  <c r="BW31" i="10"/>
  <c r="BZ31" i="10" s="1"/>
  <c r="CB31" i="10" s="1"/>
  <c r="CK30" i="10"/>
  <c r="CN30" i="10" s="1"/>
  <c r="CP30" i="10" s="1"/>
  <c r="BW30" i="10"/>
  <c r="BZ30" i="10" s="1"/>
  <c r="CB30" i="10" s="1"/>
  <c r="CK29" i="10"/>
  <c r="CN29" i="10" s="1"/>
  <c r="CP29" i="10" s="1"/>
  <c r="BW29" i="10"/>
  <c r="BZ29" i="10" s="1"/>
  <c r="CB29" i="10" s="1"/>
  <c r="CK28" i="10"/>
  <c r="CN28" i="10" s="1"/>
  <c r="CP28" i="10" s="1"/>
  <c r="BZ28" i="10"/>
  <c r="CB28" i="10" s="1"/>
  <c r="BW28" i="10"/>
  <c r="CK27" i="10"/>
  <c r="CN27" i="10" s="1"/>
  <c r="CP27" i="10" s="1"/>
  <c r="BW27" i="10"/>
  <c r="BZ27" i="10" s="1"/>
  <c r="CB27" i="10" s="1"/>
  <c r="CK26" i="10"/>
  <c r="CN26" i="10" s="1"/>
  <c r="CP26" i="10" s="1"/>
  <c r="BW26" i="10"/>
  <c r="BZ26" i="10" s="1"/>
  <c r="CB26" i="10" s="1"/>
  <c r="CK25" i="10"/>
  <c r="CN25" i="10" s="1"/>
  <c r="CP25" i="10" s="1"/>
  <c r="BZ25" i="10"/>
  <c r="CB25" i="10" s="1"/>
  <c r="BW25" i="10"/>
  <c r="CK24" i="10"/>
  <c r="CN24" i="10" s="1"/>
  <c r="CP24" i="10" s="1"/>
  <c r="BZ24" i="10"/>
  <c r="CB24" i="10" s="1"/>
  <c r="BW24" i="10"/>
  <c r="CK23" i="10"/>
  <c r="CN23" i="10" s="1"/>
  <c r="CP23" i="10" s="1"/>
  <c r="BW23" i="10"/>
  <c r="BZ23" i="10" s="1"/>
  <c r="CB23" i="10" s="1"/>
  <c r="BW22" i="10"/>
  <c r="BZ22" i="10" s="1"/>
  <c r="CB22" i="10" s="1"/>
  <c r="CK21" i="10"/>
  <c r="CN21" i="10" s="1"/>
  <c r="CP21" i="10" s="1"/>
  <c r="BZ21" i="10"/>
  <c r="CB21" i="10" s="1"/>
  <c r="BW21" i="10"/>
  <c r="CK20" i="10"/>
  <c r="CN20" i="10" s="1"/>
  <c r="CP20" i="10" s="1"/>
  <c r="BZ20" i="10"/>
  <c r="CB20" i="10" s="1"/>
  <c r="BW20" i="10"/>
  <c r="CK19" i="10"/>
  <c r="CN19" i="10" s="1"/>
  <c r="CP19" i="10" s="1"/>
  <c r="BW19" i="10"/>
  <c r="BZ19" i="10" s="1"/>
  <c r="CB19" i="10" s="1"/>
  <c r="CK18" i="10"/>
  <c r="CN18" i="10" s="1"/>
  <c r="CP18" i="10" s="1"/>
  <c r="BW18" i="10"/>
  <c r="BZ18" i="10" s="1"/>
  <c r="CB18" i="10" s="1"/>
  <c r="CK17" i="10"/>
  <c r="CN17" i="10" s="1"/>
  <c r="CP17" i="10" s="1"/>
  <c r="BZ17" i="10"/>
  <c r="CB17" i="10" s="1"/>
  <c r="BW17" i="10"/>
  <c r="CK16" i="10"/>
  <c r="CN16" i="10" s="1"/>
  <c r="CP16" i="10" s="1"/>
  <c r="BW16" i="10"/>
  <c r="BZ16" i="10" s="1"/>
  <c r="CB16" i="10" s="1"/>
  <c r="CK15" i="10"/>
  <c r="CN15" i="10" s="1"/>
  <c r="CP15" i="10" s="1"/>
  <c r="BW15" i="10"/>
  <c r="BZ15" i="10" s="1"/>
  <c r="CB15" i="10" s="1"/>
  <c r="CK14" i="10"/>
  <c r="CN14" i="10" s="1"/>
  <c r="CP14" i="10" s="1"/>
  <c r="CL51" i="10" s="1"/>
  <c r="BW14" i="10"/>
  <c r="BZ14" i="10" s="1"/>
  <c r="CB14" i="10" s="1"/>
  <c r="CK13" i="10"/>
  <c r="CN13" i="10" s="1"/>
  <c r="CP13" i="10" s="1"/>
  <c r="BW13" i="10"/>
  <c r="BZ13" i="10" s="1"/>
  <c r="CB13" i="10" s="1"/>
  <c r="CK12" i="10"/>
  <c r="CN12" i="10" s="1"/>
  <c r="CP12" i="10" s="1"/>
  <c r="BW12" i="10"/>
  <c r="BZ12" i="10" s="1"/>
  <c r="CB12" i="10" s="1"/>
  <c r="CK11" i="10"/>
  <c r="CN11" i="10" s="1"/>
  <c r="CP11" i="10" s="1"/>
  <c r="BW11" i="10"/>
  <c r="BZ11" i="10" s="1"/>
  <c r="CB11" i="10" s="1"/>
  <c r="CK10" i="10"/>
  <c r="CN10" i="10" s="1"/>
  <c r="CP10" i="10" s="1"/>
  <c r="BW10" i="10"/>
  <c r="BZ10" i="10" s="1"/>
  <c r="CB10" i="10" s="1"/>
  <c r="CK9" i="10"/>
  <c r="CN9" i="10" s="1"/>
  <c r="CP9" i="10" s="1"/>
  <c r="CP51" i="10" s="1"/>
  <c r="CN51" i="10" s="1"/>
  <c r="CP47" i="10" s="1"/>
  <c r="CP6" i="10" s="1"/>
  <c r="CG58" i="10" s="1"/>
  <c r="CK58" i="10" s="1"/>
  <c r="BW9" i="10"/>
  <c r="BZ9" i="10" s="1"/>
  <c r="CB9" i="10" s="1"/>
  <c r="CB51" i="10" s="1"/>
  <c r="CP5" i="10"/>
  <c r="CG57" i="10" s="1"/>
  <c r="CK57" i="10" s="1"/>
  <c r="CG5" i="10"/>
  <c r="CG54" i="10" s="1"/>
  <c r="CK54" i="10" s="1"/>
  <c r="BS5" i="10"/>
  <c r="BS54" i="10" s="1"/>
  <c r="BW54" i="10" s="1"/>
  <c r="AD53" i="10"/>
  <c r="AL51" i="10"/>
  <c r="AH51" i="10"/>
  <c r="AD51" i="10"/>
  <c r="AK47" i="10"/>
  <c r="AM5" i="10" s="1"/>
  <c r="AD57" i="10" s="1"/>
  <c r="AH57" i="10" s="1"/>
  <c r="AD47" i="10"/>
  <c r="AF51" i="10" s="1"/>
  <c r="AM40" i="10"/>
  <c r="AH40" i="10"/>
  <c r="AH38" i="10"/>
  <c r="AK38" i="10" s="1"/>
  <c r="AM38" i="10" s="1"/>
  <c r="AK37" i="10"/>
  <c r="AM37" i="10" s="1"/>
  <c r="AH37" i="10"/>
  <c r="AK36" i="10"/>
  <c r="AM36" i="10" s="1"/>
  <c r="AH36" i="10"/>
  <c r="AH35" i="10"/>
  <c r="AK35" i="10" s="1"/>
  <c r="AM35" i="10" s="1"/>
  <c r="AH34" i="10"/>
  <c r="AK34" i="10" s="1"/>
  <c r="AM34" i="10" s="1"/>
  <c r="AK33" i="10"/>
  <c r="AM33" i="10" s="1"/>
  <c r="AH33" i="10"/>
  <c r="AK32" i="10"/>
  <c r="AM32" i="10" s="1"/>
  <c r="AH32" i="10"/>
  <c r="AH31" i="10"/>
  <c r="AK31" i="10" s="1"/>
  <c r="AM31" i="10" s="1"/>
  <c r="AH30" i="10"/>
  <c r="AK30" i="10" s="1"/>
  <c r="AM30" i="10" s="1"/>
  <c r="AK29" i="10"/>
  <c r="AM29" i="10" s="1"/>
  <c r="AH29" i="10"/>
  <c r="AK28" i="10"/>
  <c r="AM28" i="10" s="1"/>
  <c r="AH28" i="10"/>
  <c r="AH27" i="10"/>
  <c r="AK27" i="10" s="1"/>
  <c r="AM27" i="10" s="1"/>
  <c r="AH26" i="10"/>
  <c r="AK26" i="10" s="1"/>
  <c r="AM26" i="10" s="1"/>
  <c r="AK25" i="10"/>
  <c r="AM25" i="10" s="1"/>
  <c r="AH25" i="10"/>
  <c r="AK24" i="10"/>
  <c r="AM24" i="10" s="1"/>
  <c r="AH24" i="10"/>
  <c r="AH23" i="10"/>
  <c r="AK23" i="10" s="1"/>
  <c r="AM23" i="10" s="1"/>
  <c r="AH22" i="10"/>
  <c r="AK22" i="10" s="1"/>
  <c r="AM22" i="10" s="1"/>
  <c r="AK21" i="10"/>
  <c r="AM21" i="10" s="1"/>
  <c r="AH21" i="10"/>
  <c r="AK20" i="10"/>
  <c r="AM20" i="10" s="1"/>
  <c r="AH20" i="10"/>
  <c r="AH19" i="10"/>
  <c r="AK19" i="10" s="1"/>
  <c r="AM19" i="10" s="1"/>
  <c r="AH18" i="10"/>
  <c r="AK18" i="10" s="1"/>
  <c r="AM18" i="10" s="1"/>
  <c r="AK17" i="10"/>
  <c r="AM17" i="10" s="1"/>
  <c r="AH17" i="10"/>
  <c r="AK16" i="10"/>
  <c r="AM16" i="10" s="1"/>
  <c r="AH16" i="10"/>
  <c r="AH15" i="10"/>
  <c r="AK15" i="10" s="1"/>
  <c r="AM15" i="10" s="1"/>
  <c r="AH14" i="10"/>
  <c r="AK14" i="10" s="1"/>
  <c r="AM14" i="10" s="1"/>
  <c r="AK13" i="10"/>
  <c r="AM13" i="10" s="1"/>
  <c r="AH13" i="10"/>
  <c r="AK12" i="10"/>
  <c r="AM12" i="10" s="1"/>
  <c r="AH12" i="10"/>
  <c r="AH11" i="10"/>
  <c r="AK11" i="10" s="1"/>
  <c r="AM11" i="10" s="1"/>
  <c r="AH10" i="10"/>
  <c r="AK10" i="10" s="1"/>
  <c r="AM10" i="10" s="1"/>
  <c r="AK9" i="10"/>
  <c r="AM9" i="10" s="1"/>
  <c r="AM51" i="10" s="1"/>
  <c r="AK51" i="10" s="1"/>
  <c r="AM47" i="10" s="1"/>
  <c r="AM6" i="10" s="1"/>
  <c r="AD58" i="10" s="1"/>
  <c r="AH58" i="10" s="1"/>
  <c r="AH9" i="10"/>
  <c r="AD5" i="10"/>
  <c r="AD54" i="10" s="1"/>
  <c r="AH54" i="10" s="1"/>
  <c r="Q53" i="10"/>
  <c r="Y51" i="10"/>
  <c r="U51" i="10"/>
  <c r="Q51" i="10"/>
  <c r="X47" i="10"/>
  <c r="Z5" i="10" s="1"/>
  <c r="Q57" i="10" s="1"/>
  <c r="U57" i="10" s="1"/>
  <c r="Q47" i="10"/>
  <c r="S51" i="10" s="1"/>
  <c r="Z40" i="10"/>
  <c r="U40" i="10"/>
  <c r="U38" i="10"/>
  <c r="X38" i="10" s="1"/>
  <c r="Z38" i="10" s="1"/>
  <c r="U37" i="10"/>
  <c r="X37" i="10" s="1"/>
  <c r="Z37" i="10" s="1"/>
  <c r="U36" i="10"/>
  <c r="X36" i="10" s="1"/>
  <c r="Z36" i="10" s="1"/>
  <c r="Z35" i="10"/>
  <c r="X35" i="10"/>
  <c r="U35" i="10"/>
  <c r="U34" i="10"/>
  <c r="X34" i="10" s="1"/>
  <c r="Z34" i="10" s="1"/>
  <c r="U33" i="10"/>
  <c r="X33" i="10" s="1"/>
  <c r="Z33" i="10" s="1"/>
  <c r="U32" i="10"/>
  <c r="X32" i="10" s="1"/>
  <c r="Z32" i="10" s="1"/>
  <c r="U31" i="10"/>
  <c r="X31" i="10" s="1"/>
  <c r="Z31" i="10" s="1"/>
  <c r="U30" i="10"/>
  <c r="X30" i="10" s="1"/>
  <c r="Z30" i="10" s="1"/>
  <c r="U29" i="10"/>
  <c r="X29" i="10" s="1"/>
  <c r="Z29" i="10" s="1"/>
  <c r="Z28" i="10"/>
  <c r="X28" i="10"/>
  <c r="U28" i="10"/>
  <c r="X27" i="10"/>
  <c r="Z27" i="10" s="1"/>
  <c r="U27" i="10"/>
  <c r="U26" i="10"/>
  <c r="X26" i="10" s="1"/>
  <c r="Z26" i="10" s="1"/>
  <c r="U25" i="10"/>
  <c r="X25" i="10" s="1"/>
  <c r="Z25" i="10" s="1"/>
  <c r="U24" i="10"/>
  <c r="X24" i="10" s="1"/>
  <c r="Z24" i="10" s="1"/>
  <c r="U23" i="10"/>
  <c r="X23" i="10" s="1"/>
  <c r="Z23" i="10" s="1"/>
  <c r="U22" i="10"/>
  <c r="X22" i="10" s="1"/>
  <c r="Z22" i="10" s="1"/>
  <c r="U21" i="10"/>
  <c r="X21" i="10" s="1"/>
  <c r="Z21" i="10" s="1"/>
  <c r="X20" i="10"/>
  <c r="Z20" i="10" s="1"/>
  <c r="U20" i="10"/>
  <c r="U19" i="10"/>
  <c r="X19" i="10" s="1"/>
  <c r="Z19" i="10" s="1"/>
  <c r="U18" i="10"/>
  <c r="X18" i="10" s="1"/>
  <c r="Z18" i="10" s="1"/>
  <c r="U17" i="10"/>
  <c r="X17" i="10" s="1"/>
  <c r="Z17" i="10" s="1"/>
  <c r="U16" i="10"/>
  <c r="X16" i="10" s="1"/>
  <c r="Z16" i="10" s="1"/>
  <c r="U15" i="10"/>
  <c r="X15" i="10" s="1"/>
  <c r="Z15" i="10" s="1"/>
  <c r="X14" i="10"/>
  <c r="Z14" i="10" s="1"/>
  <c r="U14" i="10"/>
  <c r="U13" i="10"/>
  <c r="X13" i="10" s="1"/>
  <c r="Z13" i="10" s="1"/>
  <c r="U12" i="10"/>
  <c r="X12" i="10" s="1"/>
  <c r="Z12" i="10" s="1"/>
  <c r="X11" i="10"/>
  <c r="Z11" i="10" s="1"/>
  <c r="U11" i="10"/>
  <c r="U10" i="10"/>
  <c r="X10" i="10" s="1"/>
  <c r="Z10" i="10" s="1"/>
  <c r="U9" i="10"/>
  <c r="Z9" i="10" s="1"/>
  <c r="Z51" i="10" s="1"/>
  <c r="X51" i="10" s="1"/>
  <c r="Z47" i="10" s="1"/>
  <c r="Z6" i="10" s="1"/>
  <c r="Q58" i="10" s="1"/>
  <c r="U58" i="10" s="1"/>
  <c r="Q5" i="10"/>
  <c r="Q54" i="10" s="1"/>
  <c r="U54" i="10" s="1"/>
  <c r="G57" i="10"/>
  <c r="C57" i="10"/>
  <c r="C53" i="10"/>
  <c r="K51" i="10"/>
  <c r="G51" i="10"/>
  <c r="C51" i="10"/>
  <c r="J47" i="10"/>
  <c r="C47" i="10"/>
  <c r="E51" i="10" s="1"/>
  <c r="L40" i="10"/>
  <c r="G40" i="10"/>
  <c r="G38" i="10"/>
  <c r="J38" i="10" s="1"/>
  <c r="L38" i="10" s="1"/>
  <c r="G37" i="10"/>
  <c r="J37" i="10" s="1"/>
  <c r="L37" i="10" s="1"/>
  <c r="G36" i="10"/>
  <c r="J36" i="10" s="1"/>
  <c r="L36" i="10" s="1"/>
  <c r="L35" i="10"/>
  <c r="J35" i="10"/>
  <c r="G35" i="10"/>
  <c r="G34" i="10"/>
  <c r="J34" i="10" s="1"/>
  <c r="L34" i="10" s="1"/>
  <c r="G33" i="10"/>
  <c r="J33" i="10" s="1"/>
  <c r="L33" i="10" s="1"/>
  <c r="G32" i="10"/>
  <c r="J32" i="10" s="1"/>
  <c r="L32" i="10" s="1"/>
  <c r="G31" i="10"/>
  <c r="J31" i="10" s="1"/>
  <c r="L31" i="10" s="1"/>
  <c r="G30" i="10"/>
  <c r="J30" i="10" s="1"/>
  <c r="L30" i="10" s="1"/>
  <c r="G29" i="10"/>
  <c r="J29" i="10" s="1"/>
  <c r="L29" i="10" s="1"/>
  <c r="G28" i="10"/>
  <c r="J28" i="10" s="1"/>
  <c r="L28" i="10" s="1"/>
  <c r="G27" i="10"/>
  <c r="J27" i="10" s="1"/>
  <c r="L27" i="10" s="1"/>
  <c r="G26" i="10"/>
  <c r="J26" i="10" s="1"/>
  <c r="L26" i="10" s="1"/>
  <c r="G25" i="10"/>
  <c r="J25" i="10" s="1"/>
  <c r="L25" i="10" s="1"/>
  <c r="G24" i="10"/>
  <c r="J24" i="10" s="1"/>
  <c r="L24" i="10" s="1"/>
  <c r="G23" i="10"/>
  <c r="J23" i="10" s="1"/>
  <c r="L23" i="10" s="1"/>
  <c r="J22" i="10"/>
  <c r="L22" i="10" s="1"/>
  <c r="G22" i="10"/>
  <c r="G21" i="10"/>
  <c r="J21" i="10" s="1"/>
  <c r="L21" i="10" s="1"/>
  <c r="G20" i="10"/>
  <c r="J20" i="10" s="1"/>
  <c r="L20" i="10" s="1"/>
  <c r="G19" i="10"/>
  <c r="J19" i="10" s="1"/>
  <c r="L19" i="10" s="1"/>
  <c r="G18" i="10"/>
  <c r="J18" i="10" s="1"/>
  <c r="L18" i="10" s="1"/>
  <c r="G17" i="10"/>
  <c r="J17" i="10" s="1"/>
  <c r="L17" i="10" s="1"/>
  <c r="G16" i="10"/>
  <c r="J16" i="10" s="1"/>
  <c r="L16" i="10" s="1"/>
  <c r="G15" i="10"/>
  <c r="J15" i="10" s="1"/>
  <c r="L15" i="10" s="1"/>
  <c r="J14" i="10"/>
  <c r="L14" i="10" s="1"/>
  <c r="G14" i="10"/>
  <c r="G13" i="10"/>
  <c r="J13" i="10" s="1"/>
  <c r="L13" i="10" s="1"/>
  <c r="G12" i="10"/>
  <c r="J12" i="10" s="1"/>
  <c r="L12" i="10" s="1"/>
  <c r="G11" i="10"/>
  <c r="J11" i="10" s="1"/>
  <c r="L11" i="10" s="1"/>
  <c r="G10" i="10"/>
  <c r="J10" i="10" s="1"/>
  <c r="L10" i="10" s="1"/>
  <c r="G9" i="10"/>
  <c r="J9" i="10" s="1"/>
  <c r="L9" i="10" s="1"/>
  <c r="L51" i="10" s="1"/>
  <c r="J51" i="10" s="1"/>
  <c r="L47" i="10" s="1"/>
  <c r="L6" i="10" s="1"/>
  <c r="C58" i="10" s="1"/>
  <c r="G58" i="10" s="1"/>
  <c r="L5" i="10"/>
  <c r="C5" i="10"/>
  <c r="C54" i="10" s="1"/>
  <c r="G54" i="10" s="1"/>
  <c r="IZ53" i="9"/>
  <c r="JH51" i="9"/>
  <c r="JD51" i="9"/>
  <c r="IZ51" i="9"/>
  <c r="JG47" i="9"/>
  <c r="JI5" i="9" s="1"/>
  <c r="IZ57" i="9" s="1"/>
  <c r="JD57" i="9" s="1"/>
  <c r="IZ47" i="9"/>
  <c r="JB51" i="9" s="1"/>
  <c r="JI40" i="9"/>
  <c r="JD40" i="9"/>
  <c r="JG38" i="9"/>
  <c r="JI38" i="9" s="1"/>
  <c r="JD38" i="9"/>
  <c r="JD37" i="9"/>
  <c r="JG37" i="9" s="1"/>
  <c r="JI37" i="9" s="1"/>
  <c r="JG36" i="9"/>
  <c r="JI36" i="9" s="1"/>
  <c r="JD36" i="9"/>
  <c r="JD35" i="9"/>
  <c r="JG35" i="9" s="1"/>
  <c r="JI35" i="9" s="1"/>
  <c r="JG34" i="9"/>
  <c r="JI34" i="9" s="1"/>
  <c r="JD34" i="9"/>
  <c r="JD33" i="9"/>
  <c r="JG33" i="9" s="1"/>
  <c r="JI33" i="9" s="1"/>
  <c r="JG32" i="9"/>
  <c r="JI32" i="9" s="1"/>
  <c r="JD32" i="9"/>
  <c r="JD31" i="9"/>
  <c r="JG31" i="9" s="1"/>
  <c r="JI31" i="9" s="1"/>
  <c r="JG30" i="9"/>
  <c r="JI30" i="9" s="1"/>
  <c r="JD30" i="9"/>
  <c r="JD29" i="9"/>
  <c r="JG29" i="9" s="1"/>
  <c r="JI29" i="9" s="1"/>
  <c r="JG28" i="9"/>
  <c r="JI28" i="9" s="1"/>
  <c r="JD28" i="9"/>
  <c r="JD27" i="9"/>
  <c r="JG27" i="9" s="1"/>
  <c r="JI27" i="9" s="1"/>
  <c r="JG26" i="9"/>
  <c r="JI26" i="9" s="1"/>
  <c r="JD26" i="9"/>
  <c r="JD25" i="9"/>
  <c r="JG25" i="9" s="1"/>
  <c r="JI25" i="9" s="1"/>
  <c r="JG24" i="9"/>
  <c r="JI24" i="9" s="1"/>
  <c r="JD24" i="9"/>
  <c r="JD23" i="9"/>
  <c r="JG23" i="9" s="1"/>
  <c r="JI23" i="9" s="1"/>
  <c r="JG22" i="9"/>
  <c r="JI22" i="9" s="1"/>
  <c r="JD22" i="9"/>
  <c r="JD21" i="9"/>
  <c r="JG21" i="9" s="1"/>
  <c r="JI21" i="9" s="1"/>
  <c r="JG20" i="9"/>
  <c r="JI20" i="9" s="1"/>
  <c r="JD20" i="9"/>
  <c r="JD19" i="9"/>
  <c r="JG19" i="9" s="1"/>
  <c r="JI19" i="9" s="1"/>
  <c r="JG18" i="9"/>
  <c r="JI18" i="9" s="1"/>
  <c r="JD18" i="9"/>
  <c r="JD17" i="9"/>
  <c r="JG17" i="9" s="1"/>
  <c r="JI17" i="9" s="1"/>
  <c r="JG16" i="9"/>
  <c r="JI16" i="9" s="1"/>
  <c r="JD16" i="9"/>
  <c r="JD15" i="9"/>
  <c r="JG15" i="9" s="1"/>
  <c r="JI15" i="9" s="1"/>
  <c r="JG14" i="9"/>
  <c r="JI14" i="9" s="1"/>
  <c r="JD14" i="9"/>
  <c r="JD13" i="9"/>
  <c r="JG13" i="9" s="1"/>
  <c r="JI13" i="9" s="1"/>
  <c r="JG12" i="9"/>
  <c r="JI12" i="9" s="1"/>
  <c r="JD12" i="9"/>
  <c r="JD11" i="9"/>
  <c r="JG11" i="9" s="1"/>
  <c r="JI11" i="9" s="1"/>
  <c r="JG10" i="9"/>
  <c r="JI10" i="9" s="1"/>
  <c r="JD10" i="9"/>
  <c r="JD9" i="9"/>
  <c r="JG9" i="9" s="1"/>
  <c r="JI9" i="9" s="1"/>
  <c r="JI51" i="9" s="1"/>
  <c r="JG51" i="9" s="1"/>
  <c r="JI47" i="9" s="1"/>
  <c r="JI6" i="9" s="1"/>
  <c r="IZ58" i="9" s="1"/>
  <c r="JD58" i="9" s="1"/>
  <c r="IM53" i="9"/>
  <c r="IU51" i="9"/>
  <c r="IQ51" i="9"/>
  <c r="IM51" i="9"/>
  <c r="IT47" i="9"/>
  <c r="IM47" i="9"/>
  <c r="IO51" i="9" s="1"/>
  <c r="IV40" i="9"/>
  <c r="IQ40" i="9"/>
  <c r="IQ38" i="9"/>
  <c r="IT38" i="9" s="1"/>
  <c r="IV38" i="9" s="1"/>
  <c r="IQ37" i="9"/>
  <c r="IT37" i="9" s="1"/>
  <c r="IV37" i="9" s="1"/>
  <c r="IQ36" i="9"/>
  <c r="IT36" i="9" s="1"/>
  <c r="IV36" i="9" s="1"/>
  <c r="IT35" i="9"/>
  <c r="IV35" i="9" s="1"/>
  <c r="IQ35" i="9"/>
  <c r="IQ34" i="9"/>
  <c r="IT34" i="9" s="1"/>
  <c r="IV34" i="9" s="1"/>
  <c r="IQ32" i="9"/>
  <c r="IT32" i="9" s="1"/>
  <c r="IV32" i="9" s="1"/>
  <c r="IQ31" i="9"/>
  <c r="IT31" i="9" s="1"/>
  <c r="IV31" i="9" s="1"/>
  <c r="IQ30" i="9"/>
  <c r="IT30" i="9" s="1"/>
  <c r="IV30" i="9" s="1"/>
  <c r="IQ29" i="9"/>
  <c r="IT29" i="9" s="1"/>
  <c r="IV29" i="9" s="1"/>
  <c r="IQ28" i="9"/>
  <c r="IT28" i="9" s="1"/>
  <c r="IV28" i="9" s="1"/>
  <c r="IQ27" i="9"/>
  <c r="IT27" i="9" s="1"/>
  <c r="IV27" i="9" s="1"/>
  <c r="IQ26" i="9"/>
  <c r="IT26" i="9" s="1"/>
  <c r="IV26" i="9" s="1"/>
  <c r="IQ25" i="9"/>
  <c r="IT25" i="9" s="1"/>
  <c r="IV25" i="9" s="1"/>
  <c r="IQ24" i="9"/>
  <c r="IT24" i="9" s="1"/>
  <c r="IV24" i="9" s="1"/>
  <c r="IQ23" i="9"/>
  <c r="IT23" i="9" s="1"/>
  <c r="IV23" i="9" s="1"/>
  <c r="IQ22" i="9"/>
  <c r="IT22" i="9" s="1"/>
  <c r="IV22" i="9" s="1"/>
  <c r="IQ21" i="9"/>
  <c r="IT21" i="9" s="1"/>
  <c r="IV21" i="9" s="1"/>
  <c r="IQ20" i="9"/>
  <c r="IT20" i="9" s="1"/>
  <c r="IV20" i="9" s="1"/>
  <c r="IQ19" i="9"/>
  <c r="IT19" i="9" s="1"/>
  <c r="IV19" i="9" s="1"/>
  <c r="IQ18" i="9"/>
  <c r="IT18" i="9" s="1"/>
  <c r="IV18" i="9" s="1"/>
  <c r="IQ17" i="9"/>
  <c r="IT17" i="9" s="1"/>
  <c r="IV17" i="9" s="1"/>
  <c r="IQ16" i="9"/>
  <c r="IT16" i="9" s="1"/>
  <c r="IV16" i="9" s="1"/>
  <c r="IQ14" i="9"/>
  <c r="IT14" i="9" s="1"/>
  <c r="IV14" i="9" s="1"/>
  <c r="IR51" i="9" s="1"/>
  <c r="IQ13" i="9"/>
  <c r="IT13" i="9" s="1"/>
  <c r="IV13" i="9" s="1"/>
  <c r="IQ12" i="9"/>
  <c r="IT12" i="9" s="1"/>
  <c r="IV12" i="9" s="1"/>
  <c r="IQ11" i="9"/>
  <c r="IT11" i="9" s="1"/>
  <c r="IV11" i="9" s="1"/>
  <c r="IQ10" i="9"/>
  <c r="IT10" i="9" s="1"/>
  <c r="IV10" i="9" s="1"/>
  <c r="IT9" i="9"/>
  <c r="IV9" i="9" s="1"/>
  <c r="IV51" i="9" s="1"/>
  <c r="IQ9" i="9"/>
  <c r="IV5" i="9"/>
  <c r="IM57" i="9" s="1"/>
  <c r="IQ57" i="9" s="1"/>
  <c r="IM5" i="9"/>
  <c r="IM54" i="9" s="1"/>
  <c r="IQ54" i="9" s="1"/>
  <c r="HY53" i="9"/>
  <c r="IG51" i="9"/>
  <c r="IC51" i="9"/>
  <c r="HY51" i="9"/>
  <c r="IF47" i="9"/>
  <c r="HY47" i="9"/>
  <c r="IA51" i="9" s="1"/>
  <c r="IH40" i="9"/>
  <c r="IC40" i="9"/>
  <c r="IF38" i="9"/>
  <c r="IH38" i="9" s="1"/>
  <c r="IC38" i="9"/>
  <c r="IC37" i="9"/>
  <c r="IF37" i="9" s="1"/>
  <c r="IH37" i="9" s="1"/>
  <c r="IF36" i="9"/>
  <c r="IH36" i="9" s="1"/>
  <c r="IC36" i="9"/>
  <c r="IC35" i="9"/>
  <c r="IF35" i="9" s="1"/>
  <c r="IH35" i="9" s="1"/>
  <c r="IF34" i="9"/>
  <c r="IH34" i="9" s="1"/>
  <c r="IC34" i="9"/>
  <c r="IC33" i="9"/>
  <c r="IF33" i="9" s="1"/>
  <c r="IH33" i="9" s="1"/>
  <c r="IF32" i="9"/>
  <c r="IH32" i="9" s="1"/>
  <c r="IC32" i="9"/>
  <c r="IC31" i="9"/>
  <c r="IF31" i="9" s="1"/>
  <c r="IH31" i="9" s="1"/>
  <c r="IF30" i="9"/>
  <c r="IH30" i="9" s="1"/>
  <c r="IC30" i="9"/>
  <c r="IC29" i="9"/>
  <c r="IF29" i="9" s="1"/>
  <c r="IH29" i="9" s="1"/>
  <c r="IF28" i="9"/>
  <c r="IH28" i="9" s="1"/>
  <c r="IC28" i="9"/>
  <c r="IC27" i="9"/>
  <c r="IF27" i="9" s="1"/>
  <c r="IH27" i="9" s="1"/>
  <c r="IF26" i="9"/>
  <c r="IH26" i="9" s="1"/>
  <c r="IC26" i="9"/>
  <c r="IC25" i="9"/>
  <c r="IF25" i="9" s="1"/>
  <c r="IH25" i="9" s="1"/>
  <c r="IF24" i="9"/>
  <c r="IH24" i="9" s="1"/>
  <c r="IC24" i="9"/>
  <c r="IC23" i="9"/>
  <c r="IF23" i="9" s="1"/>
  <c r="IH23" i="9" s="1"/>
  <c r="IF22" i="9"/>
  <c r="IH22" i="9" s="1"/>
  <c r="IC22" i="9"/>
  <c r="IC21" i="9"/>
  <c r="IF21" i="9" s="1"/>
  <c r="IH21" i="9" s="1"/>
  <c r="IF20" i="9"/>
  <c r="IH20" i="9" s="1"/>
  <c r="IC20" i="9"/>
  <c r="IC19" i="9"/>
  <c r="IF19" i="9" s="1"/>
  <c r="IH19" i="9" s="1"/>
  <c r="IF18" i="9"/>
  <c r="IH18" i="9" s="1"/>
  <c r="IC18" i="9"/>
  <c r="IC17" i="9"/>
  <c r="IF17" i="9" s="1"/>
  <c r="IH17" i="9" s="1"/>
  <c r="IF16" i="9"/>
  <c r="IH16" i="9" s="1"/>
  <c r="IC16" i="9"/>
  <c r="IC15" i="9"/>
  <c r="IF15" i="9" s="1"/>
  <c r="IH15" i="9" s="1"/>
  <c r="IF14" i="9"/>
  <c r="IH14" i="9" s="1"/>
  <c r="IC14" i="9"/>
  <c r="IC13" i="9"/>
  <c r="IF13" i="9" s="1"/>
  <c r="IH13" i="9" s="1"/>
  <c r="IF12" i="9"/>
  <c r="IH12" i="9" s="1"/>
  <c r="IC12" i="9"/>
  <c r="IC11" i="9"/>
  <c r="IF11" i="9" s="1"/>
  <c r="IH11" i="9" s="1"/>
  <c r="IF10" i="9"/>
  <c r="IH10" i="9" s="1"/>
  <c r="IC10" i="9"/>
  <c r="IC9" i="9"/>
  <c r="IF9" i="9" s="1"/>
  <c r="IH9" i="9" s="1"/>
  <c r="IH51" i="9" s="1"/>
  <c r="IF51" i="9" s="1"/>
  <c r="IH47" i="9" s="1"/>
  <c r="IH6" i="9" s="1"/>
  <c r="HY58" i="9" s="1"/>
  <c r="IC58" i="9" s="1"/>
  <c r="IH5" i="9"/>
  <c r="HY57" i="9" s="1"/>
  <c r="IC57" i="9" s="1"/>
  <c r="HL53" i="9"/>
  <c r="HT51" i="9"/>
  <c r="HP51" i="9"/>
  <c r="HL51" i="9"/>
  <c r="HS47" i="9"/>
  <c r="HL47" i="9"/>
  <c r="HN51" i="9" s="1"/>
  <c r="HU40" i="9"/>
  <c r="HP40" i="9"/>
  <c r="HP38" i="9"/>
  <c r="HS38" i="9" s="1"/>
  <c r="HU38" i="9" s="1"/>
  <c r="HU37" i="9"/>
  <c r="HS37" i="9"/>
  <c r="HP37" i="9"/>
  <c r="HP36" i="9"/>
  <c r="HS36" i="9" s="1"/>
  <c r="HU36" i="9" s="1"/>
  <c r="HP35" i="9"/>
  <c r="HS35" i="9" s="1"/>
  <c r="HU35" i="9" s="1"/>
  <c r="HP34" i="9"/>
  <c r="HS34" i="9" s="1"/>
  <c r="HU34" i="9" s="1"/>
  <c r="HS33" i="9"/>
  <c r="HU33" i="9" s="1"/>
  <c r="HP33" i="9"/>
  <c r="HS32" i="9"/>
  <c r="HU32" i="9" s="1"/>
  <c r="HP32" i="9"/>
  <c r="HP31" i="9"/>
  <c r="HS31" i="9" s="1"/>
  <c r="HU31" i="9" s="1"/>
  <c r="HP30" i="9"/>
  <c r="HS30" i="9" s="1"/>
  <c r="HU30" i="9" s="1"/>
  <c r="HU29" i="9"/>
  <c r="HS29" i="9"/>
  <c r="HP29" i="9"/>
  <c r="HP28" i="9"/>
  <c r="HS28" i="9" s="1"/>
  <c r="HU28" i="9" s="1"/>
  <c r="HP27" i="9"/>
  <c r="HS27" i="9" s="1"/>
  <c r="HU27" i="9" s="1"/>
  <c r="HP26" i="9"/>
  <c r="HS26" i="9" s="1"/>
  <c r="HU26" i="9" s="1"/>
  <c r="HS25" i="9"/>
  <c r="HU25" i="9" s="1"/>
  <c r="HP25" i="9"/>
  <c r="HS24" i="9"/>
  <c r="HU24" i="9" s="1"/>
  <c r="HP24" i="9"/>
  <c r="HP23" i="9"/>
  <c r="HS23" i="9" s="1"/>
  <c r="HU23" i="9" s="1"/>
  <c r="HP22" i="9"/>
  <c r="HS22" i="9" s="1"/>
  <c r="HU22" i="9" s="1"/>
  <c r="HU21" i="9"/>
  <c r="HS21" i="9"/>
  <c r="HP21" i="9"/>
  <c r="HP20" i="9"/>
  <c r="HS20" i="9" s="1"/>
  <c r="HU20" i="9" s="1"/>
  <c r="HP19" i="9"/>
  <c r="HS19" i="9" s="1"/>
  <c r="HU19" i="9" s="1"/>
  <c r="HP18" i="9"/>
  <c r="HS18" i="9" s="1"/>
  <c r="HU18" i="9" s="1"/>
  <c r="HS17" i="9"/>
  <c r="HU17" i="9" s="1"/>
  <c r="HP17" i="9"/>
  <c r="HS16" i="9"/>
  <c r="HU16" i="9" s="1"/>
  <c r="HP16" i="9"/>
  <c r="HP15" i="9"/>
  <c r="HS15" i="9" s="1"/>
  <c r="HU15" i="9" s="1"/>
  <c r="HP14" i="9"/>
  <c r="HS14" i="9" s="1"/>
  <c r="HU14" i="9" s="1"/>
  <c r="HU13" i="9"/>
  <c r="HS13" i="9"/>
  <c r="HP13" i="9"/>
  <c r="HP12" i="9"/>
  <c r="HS12" i="9" s="1"/>
  <c r="HU12" i="9" s="1"/>
  <c r="HP11" i="9"/>
  <c r="HS11" i="9" s="1"/>
  <c r="HU11" i="9" s="1"/>
  <c r="HP10" i="9"/>
  <c r="HS10" i="9" s="1"/>
  <c r="HU10" i="9" s="1"/>
  <c r="HS9" i="9"/>
  <c r="HU9" i="9" s="1"/>
  <c r="HU51" i="9" s="1"/>
  <c r="HP9" i="9"/>
  <c r="HU5" i="9"/>
  <c r="HL57" i="9" s="1"/>
  <c r="HP57" i="9" s="1"/>
  <c r="HL5" i="9"/>
  <c r="HL54" i="9" s="1"/>
  <c r="HP54" i="9" s="1"/>
  <c r="GX53" i="9"/>
  <c r="HF51" i="9"/>
  <c r="HB51" i="9"/>
  <c r="HA51" i="9" s="1"/>
  <c r="HB47" i="9" s="1"/>
  <c r="HB5" i="9" s="1"/>
  <c r="GX56" i="9" s="1"/>
  <c r="HB56" i="9" s="1"/>
  <c r="GX51" i="9"/>
  <c r="HE47" i="9"/>
  <c r="GX47" i="9"/>
  <c r="GZ51" i="9" s="1"/>
  <c r="HG40" i="9"/>
  <c r="HB40" i="9"/>
  <c r="HE38" i="9"/>
  <c r="HG38" i="9" s="1"/>
  <c r="HB38" i="9"/>
  <c r="HG37" i="9"/>
  <c r="HE37" i="9"/>
  <c r="HB37" i="9"/>
  <c r="HE36" i="9"/>
  <c r="HG36" i="9" s="1"/>
  <c r="HB36" i="9"/>
  <c r="HB35" i="9"/>
  <c r="HE35" i="9" s="1"/>
  <c r="HG35" i="9" s="1"/>
  <c r="HG34" i="9"/>
  <c r="HE34" i="9"/>
  <c r="HB34" i="9"/>
  <c r="HB33" i="9"/>
  <c r="HE33" i="9" s="1"/>
  <c r="HG33" i="9" s="1"/>
  <c r="HE32" i="9"/>
  <c r="HG32" i="9" s="1"/>
  <c r="HB32" i="9"/>
  <c r="HB31" i="9"/>
  <c r="HE31" i="9" s="1"/>
  <c r="HG31" i="9" s="1"/>
  <c r="HE30" i="9"/>
  <c r="HG30" i="9" s="1"/>
  <c r="HB30" i="9"/>
  <c r="HG29" i="9"/>
  <c r="HE29" i="9"/>
  <c r="HB29" i="9"/>
  <c r="HE28" i="9"/>
  <c r="HG28" i="9" s="1"/>
  <c r="HB28" i="9"/>
  <c r="HB27" i="9"/>
  <c r="HE27" i="9" s="1"/>
  <c r="HG27" i="9" s="1"/>
  <c r="HG26" i="9"/>
  <c r="HE26" i="9"/>
  <c r="HB26" i="9"/>
  <c r="HB25" i="9"/>
  <c r="HE25" i="9" s="1"/>
  <c r="HG25" i="9" s="1"/>
  <c r="HE24" i="9"/>
  <c r="HG24" i="9" s="1"/>
  <c r="HB24" i="9"/>
  <c r="HB23" i="9"/>
  <c r="HE23" i="9" s="1"/>
  <c r="HG23" i="9" s="1"/>
  <c r="HE22" i="9"/>
  <c r="HG22" i="9" s="1"/>
  <c r="HB22" i="9"/>
  <c r="HG21" i="9"/>
  <c r="HE21" i="9"/>
  <c r="HB21" i="9"/>
  <c r="HE20" i="9"/>
  <c r="HG20" i="9" s="1"/>
  <c r="HB20" i="9"/>
  <c r="HB19" i="9"/>
  <c r="HE19" i="9" s="1"/>
  <c r="HG19" i="9" s="1"/>
  <c r="HG18" i="9"/>
  <c r="HE18" i="9"/>
  <c r="HB18" i="9"/>
  <c r="HB17" i="9"/>
  <c r="HE17" i="9" s="1"/>
  <c r="HG17" i="9" s="1"/>
  <c r="HB16" i="9"/>
  <c r="HE16" i="9" s="1"/>
  <c r="HG16" i="9" s="1"/>
  <c r="HB15" i="9"/>
  <c r="HE15" i="9" s="1"/>
  <c r="HG15" i="9" s="1"/>
  <c r="HE14" i="9"/>
  <c r="HG14" i="9" s="1"/>
  <c r="HC51" i="9" s="1"/>
  <c r="HB14" i="9"/>
  <c r="HE13" i="9"/>
  <c r="HG13" i="9" s="1"/>
  <c r="HB13" i="9"/>
  <c r="HE12" i="9"/>
  <c r="HG12" i="9" s="1"/>
  <c r="HB12" i="9"/>
  <c r="HB11" i="9"/>
  <c r="HE11" i="9" s="1"/>
  <c r="HG11" i="9" s="1"/>
  <c r="HG10" i="9"/>
  <c r="HE10" i="9"/>
  <c r="HB10" i="9"/>
  <c r="HB9" i="9"/>
  <c r="HE9" i="9" s="1"/>
  <c r="HG9" i="9" s="1"/>
  <c r="HG51" i="9" s="1"/>
  <c r="HE51" i="9" s="1"/>
  <c r="HG47" i="9" s="1"/>
  <c r="HG6" i="9" s="1"/>
  <c r="GX58" i="9" s="1"/>
  <c r="HB58" i="9" s="1"/>
  <c r="HG5" i="9"/>
  <c r="GX57" i="9" s="1"/>
  <c r="HB57" i="9" s="1"/>
  <c r="GK53" i="9"/>
  <c r="GS51" i="9"/>
  <c r="GO51" i="9"/>
  <c r="GK51" i="9"/>
  <c r="GR47" i="9"/>
  <c r="GT5" i="9" s="1"/>
  <c r="GK57" i="9" s="1"/>
  <c r="GO57" i="9" s="1"/>
  <c r="GK47" i="9"/>
  <c r="GM51" i="9" s="1"/>
  <c r="GT40" i="9"/>
  <c r="GO40" i="9"/>
  <c r="GR38" i="9"/>
  <c r="GT38" i="9" s="1"/>
  <c r="GO38" i="9"/>
  <c r="GO37" i="9"/>
  <c r="GR37" i="9" s="1"/>
  <c r="GT37" i="9" s="1"/>
  <c r="GO36" i="9"/>
  <c r="GR36" i="9" s="1"/>
  <c r="GT36" i="9" s="1"/>
  <c r="GO35" i="9"/>
  <c r="GR35" i="9" s="1"/>
  <c r="GT35" i="9" s="1"/>
  <c r="GR34" i="9"/>
  <c r="GT34" i="9" s="1"/>
  <c r="GO34" i="9"/>
  <c r="GO33" i="9"/>
  <c r="GR33" i="9" s="1"/>
  <c r="GT33" i="9" s="1"/>
  <c r="GT32" i="9"/>
  <c r="GR32" i="9"/>
  <c r="GO32" i="9"/>
  <c r="GT31" i="9"/>
  <c r="GR31" i="9"/>
  <c r="GO31" i="9"/>
  <c r="GR30" i="9"/>
  <c r="GT30" i="9" s="1"/>
  <c r="GO30" i="9"/>
  <c r="GO29" i="9"/>
  <c r="GR29" i="9" s="1"/>
  <c r="GT29" i="9" s="1"/>
  <c r="GO28" i="9"/>
  <c r="GR28" i="9" s="1"/>
  <c r="GT28" i="9" s="1"/>
  <c r="GT27" i="9"/>
  <c r="GR27" i="9"/>
  <c r="GO27" i="9"/>
  <c r="GR26" i="9"/>
  <c r="GT26" i="9" s="1"/>
  <c r="GO26" i="9"/>
  <c r="GO25" i="9"/>
  <c r="GR25" i="9" s="1"/>
  <c r="GT25" i="9" s="1"/>
  <c r="GT24" i="9"/>
  <c r="GR24" i="9"/>
  <c r="GO24" i="9"/>
  <c r="GT23" i="9"/>
  <c r="GR23" i="9"/>
  <c r="GO23" i="9"/>
  <c r="GR22" i="9"/>
  <c r="GT22" i="9" s="1"/>
  <c r="GO22" i="9"/>
  <c r="GO21" i="9"/>
  <c r="GR21" i="9" s="1"/>
  <c r="GT21" i="9" s="1"/>
  <c r="GO20" i="9"/>
  <c r="GR20" i="9" s="1"/>
  <c r="GT20" i="9" s="1"/>
  <c r="GT19" i="9"/>
  <c r="GR19" i="9"/>
  <c r="GO19" i="9"/>
  <c r="GR18" i="9"/>
  <c r="GT18" i="9" s="1"/>
  <c r="GO18" i="9"/>
  <c r="GO17" i="9"/>
  <c r="GR17" i="9" s="1"/>
  <c r="GT17" i="9" s="1"/>
  <c r="GT16" i="9"/>
  <c r="GR16" i="9"/>
  <c r="GO16" i="9"/>
  <c r="GT15" i="9"/>
  <c r="GR15" i="9"/>
  <c r="GO15" i="9"/>
  <c r="GR14" i="9"/>
  <c r="GT14" i="9" s="1"/>
  <c r="GO14" i="9"/>
  <c r="GO13" i="9"/>
  <c r="GR13" i="9" s="1"/>
  <c r="GT13" i="9" s="1"/>
  <c r="GO12" i="9"/>
  <c r="GR12" i="9" s="1"/>
  <c r="GT12" i="9" s="1"/>
  <c r="GT11" i="9"/>
  <c r="GR11" i="9"/>
  <c r="GO11" i="9"/>
  <c r="GO9" i="9"/>
  <c r="GR9" i="9" s="1"/>
  <c r="GT9" i="9" s="1"/>
  <c r="GT51" i="9" s="1"/>
  <c r="GR51" i="9" s="1"/>
  <c r="GT47" i="9" s="1"/>
  <c r="GT6" i="9" s="1"/>
  <c r="GK58" i="9" s="1"/>
  <c r="GO58" i="9" s="1"/>
  <c r="FW53" i="9"/>
  <c r="GE51" i="9"/>
  <c r="GA51" i="9"/>
  <c r="FW51" i="9"/>
  <c r="GD47" i="9"/>
  <c r="GF5" i="9" s="1"/>
  <c r="FW57" i="9" s="1"/>
  <c r="GA57" i="9" s="1"/>
  <c r="FW47" i="9"/>
  <c r="FY51" i="9" s="1"/>
  <c r="GF40" i="9"/>
  <c r="GA40" i="9"/>
  <c r="GA38" i="9"/>
  <c r="GD38" i="9" s="1"/>
  <c r="GF38" i="9" s="1"/>
  <c r="GA37" i="9"/>
  <c r="GD37" i="9" s="1"/>
  <c r="GF37" i="9" s="1"/>
  <c r="GA36" i="9"/>
  <c r="GD36" i="9" s="1"/>
  <c r="GF36" i="9" s="1"/>
  <c r="GF35" i="9"/>
  <c r="GD35" i="9"/>
  <c r="GA35" i="9"/>
  <c r="GD34" i="9"/>
  <c r="GF34" i="9" s="1"/>
  <c r="GA34" i="9"/>
  <c r="GA33" i="9"/>
  <c r="GD33" i="9" s="1"/>
  <c r="GF33" i="9" s="1"/>
  <c r="GF32" i="9"/>
  <c r="GD32" i="9"/>
  <c r="GA32" i="9"/>
  <c r="GA31" i="9"/>
  <c r="GD31" i="9" s="1"/>
  <c r="GF31" i="9" s="1"/>
  <c r="GD30" i="9"/>
  <c r="GF30" i="9" s="1"/>
  <c r="GA30" i="9"/>
  <c r="GA29" i="9"/>
  <c r="GD29" i="9" s="1"/>
  <c r="GF29" i="9" s="1"/>
  <c r="GD28" i="9"/>
  <c r="GF28" i="9" s="1"/>
  <c r="GA28" i="9"/>
  <c r="GD27" i="9"/>
  <c r="GF27" i="9" s="1"/>
  <c r="GA27" i="9"/>
  <c r="GD26" i="9"/>
  <c r="GF26" i="9" s="1"/>
  <c r="GA26" i="9"/>
  <c r="GA25" i="9"/>
  <c r="GD25" i="9" s="1"/>
  <c r="GF25" i="9" s="1"/>
  <c r="GA24" i="9"/>
  <c r="GD24" i="9" s="1"/>
  <c r="GF24" i="9" s="1"/>
  <c r="GA23" i="9"/>
  <c r="GD23" i="9" s="1"/>
  <c r="GF23" i="9" s="1"/>
  <c r="GA22" i="9"/>
  <c r="GD22" i="9" s="1"/>
  <c r="GF22" i="9" s="1"/>
  <c r="GA21" i="9"/>
  <c r="GD21" i="9" s="1"/>
  <c r="GF21" i="9" s="1"/>
  <c r="GD20" i="9"/>
  <c r="GF20" i="9" s="1"/>
  <c r="GA20" i="9"/>
  <c r="GF19" i="9"/>
  <c r="GD19" i="9"/>
  <c r="GA19" i="9"/>
  <c r="GD18" i="9"/>
  <c r="GF18" i="9" s="1"/>
  <c r="GA18" i="9"/>
  <c r="GA17" i="9"/>
  <c r="GD17" i="9" s="1"/>
  <c r="GF17" i="9" s="1"/>
  <c r="GA15" i="9"/>
  <c r="GD15" i="9" s="1"/>
  <c r="GF15" i="9" s="1"/>
  <c r="GD14" i="9"/>
  <c r="GF14" i="9" s="1"/>
  <c r="GA14" i="9"/>
  <c r="GA13" i="9"/>
  <c r="GD13" i="9" s="1"/>
  <c r="GF13" i="9" s="1"/>
  <c r="GD12" i="9"/>
  <c r="GF12" i="9" s="1"/>
  <c r="GA12" i="9"/>
  <c r="GF11" i="9"/>
  <c r="GD11" i="9"/>
  <c r="GA11" i="9"/>
  <c r="GD10" i="9"/>
  <c r="GF10" i="9" s="1"/>
  <c r="GA10" i="9"/>
  <c r="GA9" i="9"/>
  <c r="GD9" i="9" s="1"/>
  <c r="GF9" i="9" s="1"/>
  <c r="GF51" i="9" s="1"/>
  <c r="GD51" i="9" s="1"/>
  <c r="GF47" i="9" s="1"/>
  <c r="GF6" i="9" s="1"/>
  <c r="FW58" i="9" s="1"/>
  <c r="GA58" i="9" s="1"/>
  <c r="FJ53" i="9"/>
  <c r="FR51" i="9"/>
  <c r="FN51" i="9"/>
  <c r="FJ51" i="9"/>
  <c r="FQ47" i="9"/>
  <c r="FJ47" i="9"/>
  <c r="FL51" i="9" s="1"/>
  <c r="FS40" i="9"/>
  <c r="FN40" i="9"/>
  <c r="FN38" i="9"/>
  <c r="FQ38" i="9" s="1"/>
  <c r="FS38" i="9" s="1"/>
  <c r="FS37" i="9"/>
  <c r="FQ37" i="9"/>
  <c r="FN37" i="9"/>
  <c r="FN36" i="9"/>
  <c r="FQ36" i="9" s="1"/>
  <c r="FS36" i="9" s="1"/>
  <c r="FN35" i="9"/>
  <c r="FQ35" i="9" s="1"/>
  <c r="FS35" i="9" s="1"/>
  <c r="FN34" i="9"/>
  <c r="FQ34" i="9" s="1"/>
  <c r="FS34" i="9" s="1"/>
  <c r="FQ33" i="9"/>
  <c r="FS33" i="9" s="1"/>
  <c r="FN33" i="9"/>
  <c r="FQ32" i="9"/>
  <c r="FS32" i="9" s="1"/>
  <c r="FN32" i="9"/>
  <c r="FQ31" i="9"/>
  <c r="FS31" i="9" s="1"/>
  <c r="FN31" i="9"/>
  <c r="FN30" i="9"/>
  <c r="FQ30" i="9" s="1"/>
  <c r="FS30" i="9" s="1"/>
  <c r="FS29" i="9"/>
  <c r="FQ29" i="9"/>
  <c r="FN29" i="9"/>
  <c r="FN28" i="9"/>
  <c r="FQ28" i="9" s="1"/>
  <c r="FS28" i="9" s="1"/>
  <c r="FN27" i="9"/>
  <c r="FQ27" i="9" s="1"/>
  <c r="FS27" i="9" s="1"/>
  <c r="FN26" i="9"/>
  <c r="FQ26" i="9" s="1"/>
  <c r="FS26" i="9" s="1"/>
  <c r="FQ25" i="9"/>
  <c r="FS25" i="9" s="1"/>
  <c r="FN25" i="9"/>
  <c r="FQ24" i="9"/>
  <c r="FS24" i="9" s="1"/>
  <c r="FN24" i="9"/>
  <c r="FQ23" i="9"/>
  <c r="FS23" i="9" s="1"/>
  <c r="FN23" i="9"/>
  <c r="FN22" i="9"/>
  <c r="FQ22" i="9" s="1"/>
  <c r="FS22" i="9" s="1"/>
  <c r="FS21" i="9"/>
  <c r="FQ21" i="9"/>
  <c r="FN21" i="9"/>
  <c r="FN20" i="9"/>
  <c r="FQ20" i="9" s="1"/>
  <c r="FS20" i="9" s="1"/>
  <c r="FN19" i="9"/>
  <c r="FQ19" i="9" s="1"/>
  <c r="FS19" i="9" s="1"/>
  <c r="FN18" i="9"/>
  <c r="FQ18" i="9" s="1"/>
  <c r="FS18" i="9" s="1"/>
  <c r="FQ17" i="9"/>
  <c r="FS17" i="9" s="1"/>
  <c r="FN17" i="9"/>
  <c r="FQ16" i="9"/>
  <c r="FS16" i="9" s="1"/>
  <c r="FN16" i="9"/>
  <c r="FQ15" i="9"/>
  <c r="FS15" i="9" s="1"/>
  <c r="FN15" i="9"/>
  <c r="FN14" i="9"/>
  <c r="FQ14" i="9" s="1"/>
  <c r="FS14" i="9" s="1"/>
  <c r="FS13" i="9"/>
  <c r="FQ13" i="9"/>
  <c r="FN13" i="9"/>
  <c r="FN12" i="9"/>
  <c r="FQ12" i="9" s="1"/>
  <c r="FS12" i="9" s="1"/>
  <c r="FN11" i="9"/>
  <c r="FQ11" i="9" s="1"/>
  <c r="FS11" i="9" s="1"/>
  <c r="FN10" i="9"/>
  <c r="FQ10" i="9" s="1"/>
  <c r="FS10" i="9" s="1"/>
  <c r="FQ9" i="9"/>
  <c r="FS9" i="9" s="1"/>
  <c r="FS51" i="9" s="1"/>
  <c r="FN9" i="9"/>
  <c r="FS5" i="9"/>
  <c r="FJ57" i="9" s="1"/>
  <c r="FN57" i="9" s="1"/>
  <c r="FJ5" i="9"/>
  <c r="FJ54" i="9" s="1"/>
  <c r="FN54" i="9" s="1"/>
  <c r="EV53" i="9"/>
  <c r="FD51" i="9"/>
  <c r="EZ51" i="9"/>
  <c r="EV51" i="9"/>
  <c r="FC47" i="9"/>
  <c r="FE5" i="9" s="1"/>
  <c r="EV57" i="9" s="1"/>
  <c r="EZ57" i="9" s="1"/>
  <c r="EV47" i="9"/>
  <c r="EX51" i="9" s="1"/>
  <c r="FE40" i="9"/>
  <c r="EZ40" i="9"/>
  <c r="EZ38" i="9"/>
  <c r="FC38" i="9" s="1"/>
  <c r="FE38" i="9" s="1"/>
  <c r="EZ37" i="9"/>
  <c r="FC37" i="9" s="1"/>
  <c r="FE37" i="9" s="1"/>
  <c r="EZ36" i="9"/>
  <c r="FC36" i="9" s="1"/>
  <c r="FE36" i="9" s="1"/>
  <c r="EZ35" i="9"/>
  <c r="FC35" i="9" s="1"/>
  <c r="FE35" i="9" s="1"/>
  <c r="FC34" i="9"/>
  <c r="FE34" i="9" s="1"/>
  <c r="EZ34" i="9"/>
  <c r="FC33" i="9"/>
  <c r="FE33" i="9" s="1"/>
  <c r="EZ33" i="9"/>
  <c r="FC32" i="9"/>
  <c r="FE32" i="9" s="1"/>
  <c r="EZ32" i="9"/>
  <c r="EZ31" i="9"/>
  <c r="FC31" i="9" s="1"/>
  <c r="FE31" i="9" s="1"/>
  <c r="EZ30" i="9"/>
  <c r="FC30" i="9" s="1"/>
  <c r="FE30" i="9" s="1"/>
  <c r="EZ29" i="9"/>
  <c r="FC29" i="9" s="1"/>
  <c r="FE29" i="9" s="1"/>
  <c r="EZ28" i="9"/>
  <c r="FC28" i="9" s="1"/>
  <c r="FE28" i="9" s="1"/>
  <c r="EZ27" i="9"/>
  <c r="FC27" i="9" s="1"/>
  <c r="FE27" i="9" s="1"/>
  <c r="FC26" i="9"/>
  <c r="FE26" i="9" s="1"/>
  <c r="EZ26" i="9"/>
  <c r="FC25" i="9"/>
  <c r="FE25" i="9" s="1"/>
  <c r="EZ25" i="9"/>
  <c r="FC24" i="9"/>
  <c r="FE24" i="9" s="1"/>
  <c r="EZ24" i="9"/>
  <c r="EZ23" i="9"/>
  <c r="FC23" i="9" s="1"/>
  <c r="FE23" i="9" s="1"/>
  <c r="EZ22" i="9"/>
  <c r="FC22" i="9" s="1"/>
  <c r="FE22" i="9" s="1"/>
  <c r="EZ21" i="9"/>
  <c r="FC21" i="9" s="1"/>
  <c r="FE21" i="9" s="1"/>
  <c r="EZ20" i="9"/>
  <c r="FC20" i="9" s="1"/>
  <c r="FE20" i="9" s="1"/>
  <c r="EZ19" i="9"/>
  <c r="FC19" i="9" s="1"/>
  <c r="FE19" i="9" s="1"/>
  <c r="FC18" i="9"/>
  <c r="FE18" i="9" s="1"/>
  <c r="EZ18" i="9"/>
  <c r="FC17" i="9"/>
  <c r="FE17" i="9" s="1"/>
  <c r="EZ17" i="9"/>
  <c r="FC16" i="9"/>
  <c r="FE16" i="9" s="1"/>
  <c r="EZ16" i="9"/>
  <c r="EZ15" i="9"/>
  <c r="FC15" i="9" s="1"/>
  <c r="FE15" i="9" s="1"/>
  <c r="EZ14" i="9"/>
  <c r="FC14" i="9" s="1"/>
  <c r="FE14" i="9" s="1"/>
  <c r="EZ13" i="9"/>
  <c r="FC13" i="9" s="1"/>
  <c r="FE13" i="9" s="1"/>
  <c r="EZ12" i="9"/>
  <c r="FC12" i="9" s="1"/>
  <c r="FE12" i="9" s="1"/>
  <c r="EZ11" i="9"/>
  <c r="FC11" i="9" s="1"/>
  <c r="FE11" i="9" s="1"/>
  <c r="FC10" i="9"/>
  <c r="FE10" i="9" s="1"/>
  <c r="EZ10" i="9"/>
  <c r="FC9" i="9"/>
  <c r="FE9" i="9" s="1"/>
  <c r="FE51" i="9" s="1"/>
  <c r="EZ9" i="9"/>
  <c r="EI53" i="9"/>
  <c r="EQ51" i="9"/>
  <c r="EM51" i="9"/>
  <c r="EI51" i="9"/>
  <c r="EP47" i="9"/>
  <c r="EI47" i="9"/>
  <c r="EK51" i="9" s="1"/>
  <c r="ER40" i="9"/>
  <c r="EM40" i="9"/>
  <c r="EP38" i="9"/>
  <c r="ER38" i="9" s="1"/>
  <c r="EM38" i="9"/>
  <c r="EM37" i="9"/>
  <c r="EP37" i="9" s="1"/>
  <c r="ER37" i="9" s="1"/>
  <c r="EM36" i="9"/>
  <c r="EP36" i="9" s="1"/>
  <c r="ER36" i="9" s="1"/>
  <c r="EM35" i="9"/>
  <c r="EP35" i="9" s="1"/>
  <c r="ER35" i="9" s="1"/>
  <c r="EM34" i="9"/>
  <c r="EP34" i="9" s="1"/>
  <c r="ER34" i="9" s="1"/>
  <c r="EM33" i="9"/>
  <c r="EP33" i="9" s="1"/>
  <c r="ER33" i="9" s="1"/>
  <c r="EP32" i="9"/>
  <c r="ER32" i="9" s="1"/>
  <c r="EM32" i="9"/>
  <c r="EP31" i="9"/>
  <c r="ER31" i="9" s="1"/>
  <c r="EM31" i="9"/>
  <c r="EP30" i="9"/>
  <c r="ER30" i="9" s="1"/>
  <c r="EM30" i="9"/>
  <c r="EM29" i="9"/>
  <c r="EP29" i="9" s="1"/>
  <c r="ER29" i="9" s="1"/>
  <c r="EM28" i="9"/>
  <c r="EP28" i="9" s="1"/>
  <c r="ER28" i="9" s="1"/>
  <c r="EM27" i="9"/>
  <c r="EP27" i="9" s="1"/>
  <c r="ER27" i="9" s="1"/>
  <c r="EM26" i="9"/>
  <c r="EP26" i="9" s="1"/>
  <c r="ER26" i="9" s="1"/>
  <c r="EM25" i="9"/>
  <c r="EP25" i="9" s="1"/>
  <c r="ER25" i="9" s="1"/>
  <c r="EP24" i="9"/>
  <c r="ER24" i="9" s="1"/>
  <c r="EM24" i="9"/>
  <c r="EP23" i="9"/>
  <c r="ER23" i="9" s="1"/>
  <c r="EM23" i="9"/>
  <c r="EP22" i="9"/>
  <c r="ER22" i="9" s="1"/>
  <c r="EM22" i="9"/>
  <c r="EM21" i="9"/>
  <c r="EP21" i="9" s="1"/>
  <c r="ER21" i="9" s="1"/>
  <c r="EM20" i="9"/>
  <c r="EP20" i="9" s="1"/>
  <c r="ER20" i="9" s="1"/>
  <c r="EM19" i="9"/>
  <c r="EP19" i="9" s="1"/>
  <c r="ER19" i="9" s="1"/>
  <c r="EM18" i="9"/>
  <c r="EP18" i="9" s="1"/>
  <c r="ER18" i="9" s="1"/>
  <c r="EM17" i="9"/>
  <c r="EP17" i="9" s="1"/>
  <c r="ER17" i="9" s="1"/>
  <c r="EP16" i="9"/>
  <c r="ER16" i="9" s="1"/>
  <c r="EM16" i="9"/>
  <c r="EP15" i="9"/>
  <c r="ER15" i="9" s="1"/>
  <c r="EM15" i="9"/>
  <c r="EP14" i="9"/>
  <c r="ER14" i="9" s="1"/>
  <c r="EM14" i="9"/>
  <c r="EM13" i="9"/>
  <c r="EP13" i="9" s="1"/>
  <c r="ER13" i="9" s="1"/>
  <c r="EM11" i="9"/>
  <c r="EP11" i="9" s="1"/>
  <c r="ER11" i="9" s="1"/>
  <c r="EM10" i="9"/>
  <c r="EP10" i="9" s="1"/>
  <c r="ER10" i="9" s="1"/>
  <c r="EM9" i="9"/>
  <c r="EP9" i="9" s="1"/>
  <c r="ER9" i="9" s="1"/>
  <c r="ER51" i="9" s="1"/>
  <c r="EP51" i="9" s="1"/>
  <c r="ER47" i="9" s="1"/>
  <c r="ER6" i="9" s="1"/>
  <c r="EI58" i="9" s="1"/>
  <c r="EM58" i="9" s="1"/>
  <c r="ER5" i="9"/>
  <c r="EI57" i="9" s="1"/>
  <c r="EM57" i="9" s="1"/>
  <c r="EI5" i="9"/>
  <c r="EI54" i="9" s="1"/>
  <c r="EM54" i="9" s="1"/>
  <c r="DU53" i="9"/>
  <c r="EC51" i="9"/>
  <c r="DY51" i="9"/>
  <c r="DU51" i="9"/>
  <c r="EB47" i="9"/>
  <c r="DU47" i="9"/>
  <c r="DW51" i="9" s="1"/>
  <c r="ED40" i="9"/>
  <c r="DY40" i="9"/>
  <c r="DY38" i="9"/>
  <c r="EB38" i="9" s="1"/>
  <c r="ED38" i="9" s="1"/>
  <c r="DY37" i="9"/>
  <c r="EB37" i="9" s="1"/>
  <c r="ED37" i="9" s="1"/>
  <c r="DY36" i="9"/>
  <c r="EB36" i="9" s="1"/>
  <c r="ED36" i="9" s="1"/>
  <c r="DY35" i="9"/>
  <c r="EB35" i="9" s="1"/>
  <c r="ED35" i="9" s="1"/>
  <c r="DY34" i="9"/>
  <c r="EB34" i="9" s="1"/>
  <c r="ED34" i="9" s="1"/>
  <c r="DY33" i="9"/>
  <c r="EB33" i="9" s="1"/>
  <c r="ED33" i="9" s="1"/>
  <c r="DY32" i="9"/>
  <c r="EB32" i="9" s="1"/>
  <c r="ED32" i="9" s="1"/>
  <c r="DY31" i="9"/>
  <c r="EB31" i="9" s="1"/>
  <c r="ED31" i="9" s="1"/>
  <c r="DY30" i="9"/>
  <c r="EB30" i="9" s="1"/>
  <c r="ED30" i="9" s="1"/>
  <c r="DY29" i="9"/>
  <c r="EB29" i="9" s="1"/>
  <c r="ED29" i="9" s="1"/>
  <c r="DY28" i="9"/>
  <c r="EB28" i="9" s="1"/>
  <c r="ED28" i="9" s="1"/>
  <c r="DY27" i="9"/>
  <c r="EB27" i="9" s="1"/>
  <c r="ED27" i="9" s="1"/>
  <c r="DY26" i="9"/>
  <c r="EB26" i="9" s="1"/>
  <c r="ED26" i="9" s="1"/>
  <c r="EB25" i="9"/>
  <c r="ED25" i="9" s="1"/>
  <c r="DY25" i="9"/>
  <c r="EB24" i="9"/>
  <c r="ED24" i="9" s="1"/>
  <c r="DY24" i="9"/>
  <c r="DY23" i="9"/>
  <c r="EB23" i="9" s="1"/>
  <c r="ED23" i="9" s="1"/>
  <c r="DY22" i="9"/>
  <c r="EB22" i="9" s="1"/>
  <c r="ED22" i="9" s="1"/>
  <c r="DY21" i="9"/>
  <c r="EB21" i="9" s="1"/>
  <c r="ED21" i="9" s="1"/>
  <c r="DY20" i="9"/>
  <c r="EB20" i="9" s="1"/>
  <c r="ED20" i="9" s="1"/>
  <c r="DY19" i="9"/>
  <c r="EB19" i="9" s="1"/>
  <c r="ED19" i="9" s="1"/>
  <c r="DY18" i="9"/>
  <c r="EB18" i="9" s="1"/>
  <c r="ED18" i="9" s="1"/>
  <c r="DY17" i="9"/>
  <c r="EB17" i="9" s="1"/>
  <c r="ED17" i="9" s="1"/>
  <c r="DY16" i="9"/>
  <c r="EB16" i="9" s="1"/>
  <c r="ED16" i="9" s="1"/>
  <c r="DY15" i="9"/>
  <c r="EB15" i="9" s="1"/>
  <c r="ED15" i="9" s="1"/>
  <c r="DY14" i="9"/>
  <c r="EB14" i="9" s="1"/>
  <c r="ED14" i="9" s="1"/>
  <c r="DY13" i="9"/>
  <c r="EB13" i="9" s="1"/>
  <c r="ED13" i="9" s="1"/>
  <c r="DY12" i="9"/>
  <c r="EB12" i="9" s="1"/>
  <c r="ED12" i="9" s="1"/>
  <c r="DY11" i="9"/>
  <c r="EB11" i="9" s="1"/>
  <c r="ED11" i="9" s="1"/>
  <c r="DY10" i="9"/>
  <c r="EB10" i="9" s="1"/>
  <c r="ED10" i="9" s="1"/>
  <c r="EB9" i="9"/>
  <c r="ED9" i="9" s="1"/>
  <c r="ED51" i="9" s="1"/>
  <c r="DY9" i="9"/>
  <c r="ED5" i="9"/>
  <c r="DU57" i="9" s="1"/>
  <c r="DY57" i="9" s="1"/>
  <c r="DU5" i="9"/>
  <c r="DU54" i="9" s="1"/>
  <c r="DY54" i="9" s="1"/>
  <c r="DH53" i="9"/>
  <c r="DP51" i="9"/>
  <c r="DL51" i="9"/>
  <c r="DH51" i="9"/>
  <c r="DO47" i="9"/>
  <c r="DQ5" i="9" s="1"/>
  <c r="DH57" i="9" s="1"/>
  <c r="DL57" i="9" s="1"/>
  <c r="DH47" i="9"/>
  <c r="DJ51" i="9" s="1"/>
  <c r="DQ40" i="9"/>
  <c r="DL40" i="9"/>
  <c r="DO38" i="9"/>
  <c r="DQ38" i="9" s="1"/>
  <c r="DL38" i="9"/>
  <c r="DL37" i="9"/>
  <c r="DO37" i="9" s="1"/>
  <c r="DQ37" i="9" s="1"/>
  <c r="DQ36" i="9"/>
  <c r="DO36" i="9"/>
  <c r="DL36" i="9"/>
  <c r="DL35" i="9"/>
  <c r="DO35" i="9" s="1"/>
  <c r="DQ35" i="9" s="1"/>
  <c r="DL34" i="9"/>
  <c r="DO34" i="9" s="1"/>
  <c r="DQ34" i="9" s="1"/>
  <c r="DL33" i="9"/>
  <c r="DO33" i="9" s="1"/>
  <c r="DQ33" i="9" s="1"/>
  <c r="DO32" i="9"/>
  <c r="DQ32" i="9" s="1"/>
  <c r="DL32" i="9"/>
  <c r="DO31" i="9"/>
  <c r="DQ31" i="9" s="1"/>
  <c r="DL31" i="9"/>
  <c r="DO30" i="9"/>
  <c r="DQ30" i="9" s="1"/>
  <c r="DL30" i="9"/>
  <c r="DL29" i="9"/>
  <c r="DO29" i="9" s="1"/>
  <c r="DQ29" i="9" s="1"/>
  <c r="DQ28" i="9"/>
  <c r="DO28" i="9"/>
  <c r="DL28" i="9"/>
  <c r="DL27" i="9"/>
  <c r="DO27" i="9" s="1"/>
  <c r="DQ27" i="9" s="1"/>
  <c r="DL26" i="9"/>
  <c r="DO26" i="9" s="1"/>
  <c r="DQ26" i="9" s="1"/>
  <c r="DL25" i="9"/>
  <c r="DO25" i="9" s="1"/>
  <c r="DQ25" i="9" s="1"/>
  <c r="DO24" i="9"/>
  <c r="DQ24" i="9" s="1"/>
  <c r="DL24" i="9"/>
  <c r="DO23" i="9"/>
  <c r="DQ23" i="9" s="1"/>
  <c r="DL23" i="9"/>
  <c r="DO22" i="9"/>
  <c r="DQ22" i="9" s="1"/>
  <c r="DL22" i="9"/>
  <c r="DL21" i="9"/>
  <c r="DO21" i="9" s="1"/>
  <c r="DQ21" i="9" s="1"/>
  <c r="DQ20" i="9"/>
  <c r="DO20" i="9"/>
  <c r="DL20" i="9"/>
  <c r="DL19" i="9"/>
  <c r="DO19" i="9" s="1"/>
  <c r="DQ19" i="9" s="1"/>
  <c r="DL18" i="9"/>
  <c r="DO18" i="9" s="1"/>
  <c r="DQ18" i="9" s="1"/>
  <c r="DL17" i="9"/>
  <c r="DO17" i="9" s="1"/>
  <c r="DQ17" i="9" s="1"/>
  <c r="DO16" i="9"/>
  <c r="DQ16" i="9" s="1"/>
  <c r="DL16" i="9"/>
  <c r="DO15" i="9"/>
  <c r="DQ15" i="9" s="1"/>
  <c r="DL15" i="9"/>
  <c r="DO14" i="9"/>
  <c r="DQ14" i="9" s="1"/>
  <c r="DM51" i="9" s="1"/>
  <c r="DL14" i="9"/>
  <c r="DL13" i="9"/>
  <c r="DO13" i="9" s="1"/>
  <c r="DQ13" i="9" s="1"/>
  <c r="DQ12" i="9"/>
  <c r="DO12" i="9"/>
  <c r="DL12" i="9"/>
  <c r="DL11" i="9"/>
  <c r="DO11" i="9" s="1"/>
  <c r="DQ11" i="9" s="1"/>
  <c r="DL10" i="9"/>
  <c r="DO10" i="9" s="1"/>
  <c r="DQ10" i="9" s="1"/>
  <c r="DL9" i="9"/>
  <c r="DO9" i="9" s="1"/>
  <c r="DQ9" i="9" s="1"/>
  <c r="DQ51" i="9" s="1"/>
  <c r="DO51" i="9" s="1"/>
  <c r="DQ47" i="9" s="1"/>
  <c r="DQ6" i="9" s="1"/>
  <c r="DH58" i="9" s="1"/>
  <c r="DL58" i="9" s="1"/>
  <c r="DH5" i="9"/>
  <c r="DH54" i="9" s="1"/>
  <c r="DL54" i="9" s="1"/>
  <c r="CT53" i="9"/>
  <c r="DB51" i="9"/>
  <c r="CX51" i="9"/>
  <c r="CT51" i="9"/>
  <c r="DA47" i="9"/>
  <c r="CT47" i="9"/>
  <c r="CV51" i="9" s="1"/>
  <c r="DC40" i="9"/>
  <c r="CX40" i="9"/>
  <c r="DA38" i="9"/>
  <c r="DC38" i="9" s="1"/>
  <c r="CX38" i="9"/>
  <c r="DC37" i="9"/>
  <c r="DA37" i="9"/>
  <c r="CX37" i="9"/>
  <c r="DC36" i="9"/>
  <c r="DA36" i="9"/>
  <c r="CX36" i="9"/>
  <c r="CX35" i="9"/>
  <c r="DA35" i="9" s="1"/>
  <c r="DC35" i="9" s="1"/>
  <c r="CX34" i="9"/>
  <c r="DA34" i="9" s="1"/>
  <c r="DC34" i="9" s="1"/>
  <c r="CX33" i="9"/>
  <c r="DA33" i="9" s="1"/>
  <c r="DC33" i="9" s="1"/>
  <c r="DA32" i="9"/>
  <c r="DC32" i="9" s="1"/>
  <c r="CX32" i="9"/>
  <c r="DA31" i="9"/>
  <c r="DC31" i="9" s="1"/>
  <c r="CX31" i="9"/>
  <c r="DA30" i="9"/>
  <c r="DC30" i="9" s="1"/>
  <c r="CX30" i="9"/>
  <c r="DC29" i="9"/>
  <c r="DA29" i="9"/>
  <c r="CX29" i="9"/>
  <c r="DC28" i="9"/>
  <c r="DA28" i="9"/>
  <c r="CX28" i="9"/>
  <c r="CX27" i="9"/>
  <c r="DA27" i="9" s="1"/>
  <c r="DC27" i="9" s="1"/>
  <c r="CX26" i="9"/>
  <c r="DA26" i="9" s="1"/>
  <c r="DC26" i="9" s="1"/>
  <c r="CX25" i="9"/>
  <c r="DA25" i="9" s="1"/>
  <c r="DC25" i="9" s="1"/>
  <c r="DA24" i="9"/>
  <c r="DC24" i="9" s="1"/>
  <c r="CX24" i="9"/>
  <c r="DA23" i="9"/>
  <c r="DC23" i="9" s="1"/>
  <c r="CX23" i="9"/>
  <c r="DA22" i="9"/>
  <c r="DC22" i="9" s="1"/>
  <c r="CX22" i="9"/>
  <c r="DC21" i="9"/>
  <c r="DA21" i="9"/>
  <c r="CX21" i="9"/>
  <c r="DC20" i="9"/>
  <c r="DA20" i="9"/>
  <c r="CX20" i="9"/>
  <c r="CX19" i="9"/>
  <c r="DA19" i="9" s="1"/>
  <c r="DC19" i="9" s="1"/>
  <c r="CX18" i="9"/>
  <c r="DA18" i="9" s="1"/>
  <c r="DC18" i="9" s="1"/>
  <c r="CX17" i="9"/>
  <c r="DA17" i="9" s="1"/>
  <c r="DC17" i="9" s="1"/>
  <c r="DA16" i="9"/>
  <c r="DC16" i="9" s="1"/>
  <c r="CX16" i="9"/>
  <c r="DA15" i="9"/>
  <c r="DC15" i="9" s="1"/>
  <c r="CX15" i="9"/>
  <c r="DA14" i="9"/>
  <c r="DC14" i="9" s="1"/>
  <c r="CX14" i="9"/>
  <c r="DC13" i="9"/>
  <c r="DA13" i="9"/>
  <c r="CX13" i="9"/>
  <c r="CX11" i="9"/>
  <c r="DA11" i="9" s="1"/>
  <c r="DC11" i="9" s="1"/>
  <c r="CX10" i="9"/>
  <c r="DA10" i="9" s="1"/>
  <c r="DC10" i="9" s="1"/>
  <c r="CX9" i="9"/>
  <c r="DA9" i="9" s="1"/>
  <c r="DC9" i="9" s="1"/>
  <c r="DC51" i="9" s="1"/>
  <c r="DA51" i="9" s="1"/>
  <c r="DC47" i="9" s="1"/>
  <c r="DC6" i="9" s="1"/>
  <c r="CT58" i="9" s="1"/>
  <c r="CX58" i="9" s="1"/>
  <c r="DC5" i="9"/>
  <c r="CT57" i="9" s="1"/>
  <c r="CX57" i="9" s="1"/>
  <c r="CT5" i="9"/>
  <c r="CT54" i="9" s="1"/>
  <c r="CX54" i="9" s="1"/>
  <c r="CG53" i="9"/>
  <c r="CO51" i="9"/>
  <c r="CK51" i="9"/>
  <c r="CG51" i="9"/>
  <c r="CN47" i="9"/>
  <c r="CP5" i="9" s="1"/>
  <c r="CG57" i="9" s="1"/>
  <c r="CK57" i="9" s="1"/>
  <c r="CG47" i="9"/>
  <c r="CI51" i="9" s="1"/>
  <c r="CP40" i="9"/>
  <c r="CK40" i="9"/>
  <c r="CK37" i="9"/>
  <c r="CN37" i="9" s="1"/>
  <c r="CP37" i="9" s="1"/>
  <c r="CK36" i="9"/>
  <c r="CN36" i="9" s="1"/>
  <c r="CP36" i="9" s="1"/>
  <c r="CK35" i="9"/>
  <c r="CN35" i="9" s="1"/>
  <c r="CP35" i="9" s="1"/>
  <c r="CK34" i="9"/>
  <c r="CN34" i="9" s="1"/>
  <c r="CP34" i="9" s="1"/>
  <c r="CN33" i="9"/>
  <c r="CP33" i="9" s="1"/>
  <c r="CK33" i="9"/>
  <c r="CN32" i="9"/>
  <c r="CP32" i="9" s="1"/>
  <c r="CK32" i="9"/>
  <c r="CK31" i="9"/>
  <c r="CN31" i="9" s="1"/>
  <c r="CP31" i="9" s="1"/>
  <c r="CK30" i="9"/>
  <c r="CN30" i="9" s="1"/>
  <c r="CP30" i="9" s="1"/>
  <c r="CK29" i="9"/>
  <c r="CN29" i="9" s="1"/>
  <c r="CP29" i="9" s="1"/>
  <c r="CK28" i="9"/>
  <c r="CN28" i="9" s="1"/>
  <c r="CP28" i="9" s="1"/>
  <c r="CK27" i="9"/>
  <c r="CN27" i="9" s="1"/>
  <c r="CP27" i="9" s="1"/>
  <c r="CK26" i="9"/>
  <c r="CN26" i="9" s="1"/>
  <c r="CP26" i="9" s="1"/>
  <c r="CN25" i="9"/>
  <c r="CP25" i="9" s="1"/>
  <c r="CK25" i="9"/>
  <c r="CN24" i="9"/>
  <c r="CP24" i="9" s="1"/>
  <c r="CK24" i="9"/>
  <c r="CK23" i="9"/>
  <c r="CN23" i="9" s="1"/>
  <c r="CP23" i="9" s="1"/>
  <c r="CK22" i="9"/>
  <c r="CN22" i="9" s="1"/>
  <c r="CP22" i="9" s="1"/>
  <c r="CK21" i="9"/>
  <c r="CN21" i="9" s="1"/>
  <c r="CP21" i="9" s="1"/>
  <c r="CK20" i="9"/>
  <c r="CN20" i="9" s="1"/>
  <c r="CP20" i="9" s="1"/>
  <c r="CK19" i="9"/>
  <c r="CN19" i="9" s="1"/>
  <c r="CP19" i="9" s="1"/>
  <c r="CK18" i="9"/>
  <c r="CN18" i="9" s="1"/>
  <c r="CP18" i="9" s="1"/>
  <c r="CN17" i="9"/>
  <c r="CP17" i="9" s="1"/>
  <c r="CK17" i="9"/>
  <c r="CN16" i="9"/>
  <c r="CP16" i="9" s="1"/>
  <c r="CK16" i="9"/>
  <c r="CK15" i="9"/>
  <c r="CN15" i="9" s="1"/>
  <c r="CP15" i="9" s="1"/>
  <c r="CK14" i="9"/>
  <c r="CN14" i="9" s="1"/>
  <c r="CP14" i="9" s="1"/>
  <c r="CK13" i="9"/>
  <c r="CN13" i="9" s="1"/>
  <c r="CP13" i="9" s="1"/>
  <c r="CK12" i="9"/>
  <c r="CN12" i="9" s="1"/>
  <c r="CP12" i="9" s="1"/>
  <c r="CK11" i="9"/>
  <c r="CN11" i="9" s="1"/>
  <c r="CP11" i="9" s="1"/>
  <c r="CK10" i="9"/>
  <c r="CN10" i="9" s="1"/>
  <c r="CP10" i="9" s="1"/>
  <c r="CN9" i="9"/>
  <c r="CP9" i="9" s="1"/>
  <c r="CP51" i="9" s="1"/>
  <c r="CK9" i="9"/>
  <c r="BS53" i="9"/>
  <c r="CA51" i="9"/>
  <c r="BW51" i="9"/>
  <c r="BS51" i="9"/>
  <c r="BZ47" i="9"/>
  <c r="BS47" i="9"/>
  <c r="BU51" i="9" s="1"/>
  <c r="CB40" i="9"/>
  <c r="BW40" i="9"/>
  <c r="BW38" i="9"/>
  <c r="BZ38" i="9" s="1"/>
  <c r="CB38" i="9" s="1"/>
  <c r="BW37" i="9"/>
  <c r="BZ37" i="9" s="1"/>
  <c r="CB37" i="9" s="1"/>
  <c r="BW36" i="9"/>
  <c r="BZ36" i="9" s="1"/>
  <c r="CB36" i="9" s="1"/>
  <c r="BW35" i="9"/>
  <c r="BZ35" i="9" s="1"/>
  <c r="CB35" i="9" s="1"/>
  <c r="BW34" i="9"/>
  <c r="BZ34" i="9" s="1"/>
  <c r="CB34" i="9" s="1"/>
  <c r="BW33" i="9"/>
  <c r="BZ33" i="9" s="1"/>
  <c r="CB33" i="9" s="1"/>
  <c r="BW32" i="9"/>
  <c r="BZ32" i="9" s="1"/>
  <c r="CB32" i="9" s="1"/>
  <c r="BW31" i="9"/>
  <c r="BZ31" i="9" s="1"/>
  <c r="CB31" i="9" s="1"/>
  <c r="BW30" i="9"/>
  <c r="BZ30" i="9" s="1"/>
  <c r="CB30" i="9" s="1"/>
  <c r="BW29" i="9"/>
  <c r="BZ29" i="9" s="1"/>
  <c r="CB29" i="9" s="1"/>
  <c r="CB28" i="9"/>
  <c r="BZ28" i="9"/>
  <c r="BW28" i="9"/>
  <c r="BW27" i="9"/>
  <c r="BZ27" i="9" s="1"/>
  <c r="CB27" i="9" s="1"/>
  <c r="BW26" i="9"/>
  <c r="BZ26" i="9" s="1"/>
  <c r="CB26" i="9" s="1"/>
  <c r="BW25" i="9"/>
  <c r="BZ25" i="9" s="1"/>
  <c r="CB25" i="9" s="1"/>
  <c r="BZ24" i="9"/>
  <c r="CB24" i="9" s="1"/>
  <c r="BW24" i="9"/>
  <c r="BW23" i="9"/>
  <c r="BZ23" i="9" s="1"/>
  <c r="CB23" i="9" s="1"/>
  <c r="BW22" i="9"/>
  <c r="BZ22" i="9" s="1"/>
  <c r="CB22" i="9" s="1"/>
  <c r="CB21" i="9"/>
  <c r="BZ21" i="9"/>
  <c r="BW21" i="9"/>
  <c r="BW20" i="9"/>
  <c r="BZ20" i="9" s="1"/>
  <c r="CB20" i="9" s="1"/>
  <c r="BW19" i="9"/>
  <c r="BZ19" i="9" s="1"/>
  <c r="CB19" i="9" s="1"/>
  <c r="BW18" i="9"/>
  <c r="BZ18" i="9" s="1"/>
  <c r="CB18" i="9" s="1"/>
  <c r="BW17" i="9"/>
  <c r="BZ17" i="9" s="1"/>
  <c r="CB17" i="9" s="1"/>
  <c r="BW15" i="9"/>
  <c r="BZ15" i="9" s="1"/>
  <c r="CB15" i="9" s="1"/>
  <c r="BZ14" i="9"/>
  <c r="CB14" i="9" s="1"/>
  <c r="BX51" i="9" s="1"/>
  <c r="BW14" i="9"/>
  <c r="BW13" i="9"/>
  <c r="BZ13" i="9" s="1"/>
  <c r="CB13" i="9" s="1"/>
  <c r="BW12" i="9"/>
  <c r="BZ12" i="9" s="1"/>
  <c r="CB12" i="9" s="1"/>
  <c r="BW11" i="9"/>
  <c r="BZ11" i="9" s="1"/>
  <c r="CB11" i="9" s="1"/>
  <c r="BW10" i="9"/>
  <c r="BZ10" i="9" s="1"/>
  <c r="CB10" i="9" s="1"/>
  <c r="BW9" i="9"/>
  <c r="BZ9" i="9" s="1"/>
  <c r="CB9" i="9" s="1"/>
  <c r="CB51" i="9" s="1"/>
  <c r="BZ51" i="9" s="1"/>
  <c r="CB47" i="9" s="1"/>
  <c r="CB6" i="9" s="1"/>
  <c r="BS58" i="9" s="1"/>
  <c r="BW58" i="9" s="1"/>
  <c r="CB5" i="9"/>
  <c r="BS57" i="9" s="1"/>
  <c r="BW57" i="9" s="1"/>
  <c r="BS5" i="9"/>
  <c r="BS54" i="9" s="1"/>
  <c r="BW54" i="9" s="1"/>
  <c r="AE53" i="9"/>
  <c r="AM51" i="9"/>
  <c r="AI51" i="9"/>
  <c r="AE51" i="9"/>
  <c r="AL47" i="9"/>
  <c r="AE47" i="9"/>
  <c r="AG51" i="9" s="1"/>
  <c r="AN40" i="9"/>
  <c r="AI40" i="9"/>
  <c r="AL38" i="9"/>
  <c r="AN38" i="9" s="1"/>
  <c r="AI38" i="9"/>
  <c r="AL37" i="9"/>
  <c r="AN37" i="9" s="1"/>
  <c r="AI37" i="9"/>
  <c r="AI36" i="9"/>
  <c r="AL36" i="9" s="1"/>
  <c r="AN36" i="9" s="1"/>
  <c r="AN35" i="9"/>
  <c r="AL35" i="9"/>
  <c r="AI35" i="9"/>
  <c r="AI34" i="9"/>
  <c r="AL34" i="9" s="1"/>
  <c r="AN34" i="9" s="1"/>
  <c r="AI33" i="9"/>
  <c r="AL33" i="9" s="1"/>
  <c r="AN33" i="9" s="1"/>
  <c r="AI32" i="9"/>
  <c r="AL32" i="9" s="1"/>
  <c r="AN32" i="9" s="1"/>
  <c r="AL31" i="9"/>
  <c r="AN31" i="9" s="1"/>
  <c r="AI31" i="9"/>
  <c r="AL30" i="9"/>
  <c r="AN30" i="9" s="1"/>
  <c r="AI30" i="9"/>
  <c r="AL29" i="9"/>
  <c r="AN29" i="9" s="1"/>
  <c r="AI29" i="9"/>
  <c r="AI28" i="9"/>
  <c r="AL28" i="9" s="1"/>
  <c r="AN28" i="9" s="1"/>
  <c r="AN27" i="9"/>
  <c r="AL27" i="9"/>
  <c r="AI27" i="9"/>
  <c r="AI26" i="9"/>
  <c r="AL26" i="9" s="1"/>
  <c r="AN26" i="9" s="1"/>
  <c r="AI25" i="9"/>
  <c r="AL25" i="9" s="1"/>
  <c r="AN25" i="9" s="1"/>
  <c r="AI24" i="9"/>
  <c r="AL24" i="9" s="1"/>
  <c r="AN24" i="9" s="1"/>
  <c r="AL23" i="9"/>
  <c r="AN23" i="9" s="1"/>
  <c r="AI23" i="9"/>
  <c r="AL22" i="9"/>
  <c r="AN22" i="9" s="1"/>
  <c r="AI22" i="9"/>
  <c r="AL21" i="9"/>
  <c r="AN21" i="9" s="1"/>
  <c r="AI21" i="9"/>
  <c r="AI20" i="9"/>
  <c r="AL20" i="9" s="1"/>
  <c r="AN20" i="9" s="1"/>
  <c r="AN19" i="9"/>
  <c r="AL19" i="9"/>
  <c r="AI19" i="9"/>
  <c r="AI18" i="9"/>
  <c r="AL18" i="9" s="1"/>
  <c r="AN18" i="9" s="1"/>
  <c r="AI17" i="9"/>
  <c r="AL17" i="9" s="1"/>
  <c r="AN17" i="9" s="1"/>
  <c r="AI16" i="9"/>
  <c r="AL16" i="9" s="1"/>
  <c r="AN16" i="9" s="1"/>
  <c r="AL15" i="9"/>
  <c r="AN15" i="9" s="1"/>
  <c r="AI15" i="9"/>
  <c r="AL14" i="9"/>
  <c r="AN14" i="9" s="1"/>
  <c r="AJ51" i="9" s="1"/>
  <c r="AH51" i="9" s="1"/>
  <c r="AI47" i="9" s="1"/>
  <c r="AI5" i="9" s="1"/>
  <c r="AE56" i="9" s="1"/>
  <c r="AI56" i="9" s="1"/>
  <c r="AI14" i="9"/>
  <c r="AL13" i="9"/>
  <c r="AN13" i="9" s="1"/>
  <c r="AI13" i="9"/>
  <c r="AI12" i="9"/>
  <c r="AL12" i="9" s="1"/>
  <c r="AN12" i="9" s="1"/>
  <c r="AN11" i="9"/>
  <c r="AL11" i="9"/>
  <c r="AI11" i="9"/>
  <c r="AI10" i="9"/>
  <c r="AL10" i="9" s="1"/>
  <c r="AN10" i="9" s="1"/>
  <c r="AI9" i="9"/>
  <c r="AL9" i="9" s="1"/>
  <c r="AN9" i="9" s="1"/>
  <c r="AN51" i="9" s="1"/>
  <c r="AL51" i="9" s="1"/>
  <c r="AN47" i="9" s="1"/>
  <c r="AN6" i="9" s="1"/>
  <c r="AE58" i="9" s="1"/>
  <c r="AI58" i="9" s="1"/>
  <c r="AN5" i="9"/>
  <c r="AE57" i="9" s="1"/>
  <c r="AI57" i="9" s="1"/>
  <c r="AE5" i="9"/>
  <c r="AE54" i="9" s="1"/>
  <c r="AI54" i="9" s="1"/>
  <c r="Q53" i="8"/>
  <c r="Y51" i="8"/>
  <c r="U51" i="8"/>
  <c r="Q51" i="8"/>
  <c r="X47" i="8"/>
  <c r="Z5" i="8" s="1"/>
  <c r="Q57" i="8" s="1"/>
  <c r="U57" i="8" s="1"/>
  <c r="Q47" i="8"/>
  <c r="S51" i="8" s="1"/>
  <c r="Z40" i="8"/>
  <c r="U40" i="8"/>
  <c r="U38" i="8"/>
  <c r="X38" i="8" s="1"/>
  <c r="Z38" i="8" s="1"/>
  <c r="U37" i="8"/>
  <c r="X37" i="8" s="1"/>
  <c r="Z37" i="8" s="1"/>
  <c r="U36" i="8"/>
  <c r="X36" i="8" s="1"/>
  <c r="Z36" i="8" s="1"/>
  <c r="X35" i="8"/>
  <c r="Z35" i="8" s="1"/>
  <c r="U35" i="8"/>
  <c r="U34" i="8"/>
  <c r="X34" i="8" s="1"/>
  <c r="Z34" i="8" s="1"/>
  <c r="X33" i="8"/>
  <c r="Z33" i="8" s="1"/>
  <c r="U33" i="8"/>
  <c r="Z32" i="8"/>
  <c r="X32" i="8"/>
  <c r="U32" i="8"/>
  <c r="U31" i="8"/>
  <c r="X31" i="8" s="1"/>
  <c r="Z31" i="8" s="1"/>
  <c r="U30" i="8"/>
  <c r="X30" i="8" s="1"/>
  <c r="Z30" i="8" s="1"/>
  <c r="U29" i="8"/>
  <c r="X29" i="8" s="1"/>
  <c r="Z29" i="8" s="1"/>
  <c r="U28" i="8"/>
  <c r="X28" i="8" s="1"/>
  <c r="Z28" i="8" s="1"/>
  <c r="U27" i="8"/>
  <c r="X27" i="8" s="1"/>
  <c r="Z27" i="8" s="1"/>
  <c r="U26" i="8"/>
  <c r="X26" i="8" s="1"/>
  <c r="Z26" i="8" s="1"/>
  <c r="U25" i="8"/>
  <c r="X25" i="8" s="1"/>
  <c r="Z25" i="8" s="1"/>
  <c r="U24" i="8"/>
  <c r="X24" i="8" s="1"/>
  <c r="Z24" i="8" s="1"/>
  <c r="U23" i="8"/>
  <c r="X23" i="8" s="1"/>
  <c r="Z23" i="8" s="1"/>
  <c r="U22" i="8"/>
  <c r="X22" i="8" s="1"/>
  <c r="Z22" i="8" s="1"/>
  <c r="U21" i="8"/>
  <c r="X21" i="8" s="1"/>
  <c r="Z21" i="8" s="1"/>
  <c r="U20" i="8"/>
  <c r="X20" i="8" s="1"/>
  <c r="Z20" i="8" s="1"/>
  <c r="X19" i="8"/>
  <c r="Z19" i="8" s="1"/>
  <c r="U19" i="8"/>
  <c r="U18" i="8"/>
  <c r="X18" i="8" s="1"/>
  <c r="Z18" i="8" s="1"/>
  <c r="X17" i="8"/>
  <c r="Z17" i="8" s="1"/>
  <c r="U17" i="8"/>
  <c r="Z16" i="8"/>
  <c r="X16" i="8"/>
  <c r="U16" i="8"/>
  <c r="U15" i="8"/>
  <c r="X15" i="8" s="1"/>
  <c r="Z15" i="8" s="1"/>
  <c r="U14" i="8"/>
  <c r="X14" i="8" s="1"/>
  <c r="Z14" i="8" s="1"/>
  <c r="U13" i="8"/>
  <c r="X13" i="8" s="1"/>
  <c r="Z13" i="8" s="1"/>
  <c r="U12" i="8"/>
  <c r="X12" i="8" s="1"/>
  <c r="Z12" i="8" s="1"/>
  <c r="X11" i="8"/>
  <c r="Z11" i="8" s="1"/>
  <c r="U11" i="8"/>
  <c r="U10" i="8"/>
  <c r="X10" i="8" s="1"/>
  <c r="Z10" i="8" s="1"/>
  <c r="X9" i="8"/>
  <c r="Z9" i="8" s="1"/>
  <c r="Z51" i="8" s="1"/>
  <c r="U9" i="8"/>
  <c r="Q5" i="8"/>
  <c r="Q54" i="8" s="1"/>
  <c r="U54" i="8" s="1"/>
  <c r="C53" i="8"/>
  <c r="K51" i="8"/>
  <c r="G51" i="8"/>
  <c r="C51" i="8"/>
  <c r="J47" i="8"/>
  <c r="L5" i="8" s="1"/>
  <c r="C57" i="8" s="1"/>
  <c r="G57" i="8" s="1"/>
  <c r="C47" i="8"/>
  <c r="E51" i="8" s="1"/>
  <c r="L40" i="8"/>
  <c r="G40" i="8"/>
  <c r="G38" i="8"/>
  <c r="J38" i="8" s="1"/>
  <c r="L38" i="8" s="1"/>
  <c r="G37" i="8"/>
  <c r="J37" i="8" s="1"/>
  <c r="L37" i="8" s="1"/>
  <c r="G36" i="8"/>
  <c r="J36" i="8" s="1"/>
  <c r="L36" i="8" s="1"/>
  <c r="L35" i="8"/>
  <c r="J35" i="8"/>
  <c r="G35" i="8"/>
  <c r="G34" i="8"/>
  <c r="J34" i="8" s="1"/>
  <c r="L34" i="8" s="1"/>
  <c r="G33" i="8"/>
  <c r="J33" i="8" s="1"/>
  <c r="L33" i="8" s="1"/>
  <c r="G32" i="8"/>
  <c r="J32" i="8" s="1"/>
  <c r="L32" i="8" s="1"/>
  <c r="G31" i="8"/>
  <c r="J31" i="8" s="1"/>
  <c r="L31" i="8" s="1"/>
  <c r="G30" i="8"/>
  <c r="J30" i="8" s="1"/>
  <c r="L30" i="8" s="1"/>
  <c r="G29" i="8"/>
  <c r="J29" i="8" s="1"/>
  <c r="L29" i="8" s="1"/>
  <c r="G28" i="8"/>
  <c r="J28" i="8" s="1"/>
  <c r="L28" i="8" s="1"/>
  <c r="G27" i="8"/>
  <c r="J27" i="8" s="1"/>
  <c r="L27" i="8" s="1"/>
  <c r="G26" i="8"/>
  <c r="J26" i="8" s="1"/>
  <c r="L26" i="8" s="1"/>
  <c r="G25" i="8"/>
  <c r="J25" i="8" s="1"/>
  <c r="L25" i="8" s="1"/>
  <c r="J24" i="8"/>
  <c r="L24" i="8" s="1"/>
  <c r="G24" i="8"/>
  <c r="G23" i="8"/>
  <c r="J23" i="8" s="1"/>
  <c r="L23" i="8" s="1"/>
  <c r="J22" i="8"/>
  <c r="L22" i="8" s="1"/>
  <c r="G22" i="8"/>
  <c r="G21" i="8"/>
  <c r="J21" i="8" s="1"/>
  <c r="L21" i="8" s="1"/>
  <c r="G20" i="8"/>
  <c r="J20" i="8" s="1"/>
  <c r="L20" i="8" s="1"/>
  <c r="G19" i="8"/>
  <c r="J19" i="8" s="1"/>
  <c r="L19" i="8" s="1"/>
  <c r="G18" i="8"/>
  <c r="J18" i="8" s="1"/>
  <c r="L18" i="8" s="1"/>
  <c r="G17" i="8"/>
  <c r="J17" i="8" s="1"/>
  <c r="L17" i="8" s="1"/>
  <c r="G16" i="8"/>
  <c r="J16" i="8" s="1"/>
  <c r="L16" i="8" s="1"/>
  <c r="G15" i="8"/>
  <c r="J15" i="8" s="1"/>
  <c r="L15" i="8" s="1"/>
  <c r="J14" i="8"/>
  <c r="L14" i="8" s="1"/>
  <c r="G14" i="8"/>
  <c r="G13" i="8"/>
  <c r="J13" i="8" s="1"/>
  <c r="L13" i="8" s="1"/>
  <c r="G12" i="8"/>
  <c r="J12" i="8" s="1"/>
  <c r="L12" i="8" s="1"/>
  <c r="G11" i="8"/>
  <c r="J11" i="8" s="1"/>
  <c r="L11" i="8" s="1"/>
  <c r="G10" i="8"/>
  <c r="J10" i="8" s="1"/>
  <c r="L10" i="8" s="1"/>
  <c r="G9" i="8"/>
  <c r="J9" i="8" s="1"/>
  <c r="L9" i="8" s="1"/>
  <c r="L51" i="8" s="1"/>
  <c r="J51" i="8" s="1"/>
  <c r="L47" i="8" s="1"/>
  <c r="L6" i="8" s="1"/>
  <c r="C58" i="8" s="1"/>
  <c r="G58" i="8" s="1"/>
  <c r="C5" i="8"/>
  <c r="C54" i="8" s="1"/>
  <c r="G54" i="8" s="1"/>
  <c r="BF53" i="9"/>
  <c r="BN51" i="9"/>
  <c r="BJ51" i="9"/>
  <c r="BF51" i="9"/>
  <c r="BM47" i="9"/>
  <c r="BO5" i="9" s="1"/>
  <c r="BF57" i="9" s="1"/>
  <c r="BJ57" i="9" s="1"/>
  <c r="BF47" i="9"/>
  <c r="BH51" i="9" s="1"/>
  <c r="BO40" i="9"/>
  <c r="BJ40" i="9"/>
  <c r="BM38" i="9"/>
  <c r="BO38" i="9" s="1"/>
  <c r="BJ38" i="9"/>
  <c r="BJ37" i="9"/>
  <c r="BM37" i="9" s="1"/>
  <c r="BO37" i="9" s="1"/>
  <c r="BJ36" i="9"/>
  <c r="BM36" i="9" s="1"/>
  <c r="BO36" i="9" s="1"/>
  <c r="BO35" i="9"/>
  <c r="BM35" i="9"/>
  <c r="BJ35" i="9"/>
  <c r="BM34" i="9"/>
  <c r="BO34" i="9" s="1"/>
  <c r="BJ34" i="9"/>
  <c r="BJ33" i="9"/>
  <c r="BM33" i="9" s="1"/>
  <c r="BO33" i="9" s="1"/>
  <c r="BO32" i="9"/>
  <c r="BM32" i="9"/>
  <c r="BJ32" i="9"/>
  <c r="BO31" i="9"/>
  <c r="BM31" i="9"/>
  <c r="BJ31" i="9"/>
  <c r="BM30" i="9"/>
  <c r="BO30" i="9" s="1"/>
  <c r="BJ30" i="9"/>
  <c r="BJ29" i="9"/>
  <c r="BM29" i="9" s="1"/>
  <c r="BO29" i="9" s="1"/>
  <c r="BJ28" i="9"/>
  <c r="BM28" i="9" s="1"/>
  <c r="BO28" i="9" s="1"/>
  <c r="BO27" i="9"/>
  <c r="BM27" i="9"/>
  <c r="BJ27" i="9"/>
  <c r="BM26" i="9"/>
  <c r="BO26" i="9" s="1"/>
  <c r="BJ26" i="9"/>
  <c r="BJ25" i="9"/>
  <c r="BM25" i="9" s="1"/>
  <c r="BO25" i="9" s="1"/>
  <c r="BO24" i="9"/>
  <c r="BM24" i="9"/>
  <c r="BJ24" i="9"/>
  <c r="BO23" i="9"/>
  <c r="BM23" i="9"/>
  <c r="BJ23" i="9"/>
  <c r="BM22" i="9"/>
  <c r="BO22" i="9" s="1"/>
  <c r="BJ22" i="9"/>
  <c r="BJ21" i="9"/>
  <c r="BM21" i="9" s="1"/>
  <c r="BO21" i="9" s="1"/>
  <c r="BJ20" i="9"/>
  <c r="BM20" i="9" s="1"/>
  <c r="BO20" i="9" s="1"/>
  <c r="BO19" i="9"/>
  <c r="BM19" i="9"/>
  <c r="BJ19" i="9"/>
  <c r="BM18" i="9"/>
  <c r="BO18" i="9" s="1"/>
  <c r="BJ18" i="9"/>
  <c r="BJ17" i="9"/>
  <c r="BM17" i="9" s="1"/>
  <c r="BO17" i="9" s="1"/>
  <c r="BO16" i="9"/>
  <c r="BM16" i="9"/>
  <c r="BJ16" i="9"/>
  <c r="BO15" i="9"/>
  <c r="BM15" i="9"/>
  <c r="BJ15" i="9"/>
  <c r="BJ14" i="9"/>
  <c r="BM14" i="9" s="1"/>
  <c r="BO14" i="9" s="1"/>
  <c r="BJ13" i="9"/>
  <c r="BM13" i="9" s="1"/>
  <c r="BO13" i="9" s="1"/>
  <c r="BJ12" i="9"/>
  <c r="BM12" i="9" s="1"/>
  <c r="BO12" i="9" s="1"/>
  <c r="BO11" i="9"/>
  <c r="BM11" i="9"/>
  <c r="BJ11" i="9"/>
  <c r="BM10" i="9"/>
  <c r="BO10" i="9" s="1"/>
  <c r="BJ10" i="9"/>
  <c r="BJ9" i="9"/>
  <c r="BM9" i="9" s="1"/>
  <c r="BO9" i="9" s="1"/>
  <c r="BO51" i="9" s="1"/>
  <c r="BM51" i="9" s="1"/>
  <c r="BO47" i="9" s="1"/>
  <c r="BO6" i="9" s="1"/>
  <c r="BF58" i="9" s="1"/>
  <c r="BJ58" i="9" s="1"/>
  <c r="AR53" i="9"/>
  <c r="AZ51" i="9"/>
  <c r="AV51" i="9"/>
  <c r="AR51" i="9"/>
  <c r="AY47" i="9"/>
  <c r="BA5" i="9" s="1"/>
  <c r="AR57" i="9" s="1"/>
  <c r="AV57" i="9" s="1"/>
  <c r="AR47" i="9"/>
  <c r="AT51" i="9" s="1"/>
  <c r="BA40" i="9"/>
  <c r="AV40" i="9"/>
  <c r="AV38" i="9"/>
  <c r="AY38" i="9" s="1"/>
  <c r="BA38" i="9" s="1"/>
  <c r="AV37" i="9"/>
  <c r="AY37" i="9" s="1"/>
  <c r="BA37" i="9" s="1"/>
  <c r="AV36" i="9"/>
  <c r="AY36" i="9" s="1"/>
  <c r="BA36" i="9" s="1"/>
  <c r="AV35" i="9"/>
  <c r="AY35" i="9" s="1"/>
  <c r="BA35" i="9" s="1"/>
  <c r="AV34" i="9"/>
  <c r="AY34" i="9" s="1"/>
  <c r="BA34" i="9" s="1"/>
  <c r="AV33" i="9"/>
  <c r="AY33" i="9" s="1"/>
  <c r="BA33" i="9" s="1"/>
  <c r="AV32" i="9"/>
  <c r="AY32" i="9" s="1"/>
  <c r="BA32" i="9" s="1"/>
  <c r="AY31" i="9"/>
  <c r="BA31" i="9" s="1"/>
  <c r="AV31" i="9"/>
  <c r="AV30" i="9"/>
  <c r="AY30" i="9" s="1"/>
  <c r="BA30" i="9" s="1"/>
  <c r="AV29" i="9"/>
  <c r="AY29" i="9" s="1"/>
  <c r="BA29" i="9" s="1"/>
  <c r="AV28" i="9"/>
  <c r="AY28" i="9" s="1"/>
  <c r="BA28" i="9" s="1"/>
  <c r="AV27" i="9"/>
  <c r="AY27" i="9" s="1"/>
  <c r="BA27" i="9" s="1"/>
  <c r="AV26" i="9"/>
  <c r="AY26" i="9" s="1"/>
  <c r="BA26" i="9" s="1"/>
  <c r="AV25" i="9"/>
  <c r="AY25" i="9" s="1"/>
  <c r="BA25" i="9" s="1"/>
  <c r="AY24" i="9"/>
  <c r="BA24" i="9" s="1"/>
  <c r="AV24" i="9"/>
  <c r="AV23" i="9"/>
  <c r="AY23" i="9" s="1"/>
  <c r="BA23" i="9" s="1"/>
  <c r="AV22" i="9"/>
  <c r="AY22" i="9" s="1"/>
  <c r="BA22" i="9" s="1"/>
  <c r="AV21" i="9"/>
  <c r="AY21" i="9" s="1"/>
  <c r="BA21" i="9" s="1"/>
  <c r="AV20" i="9"/>
  <c r="AY20" i="9" s="1"/>
  <c r="BA20" i="9" s="1"/>
  <c r="AV19" i="9"/>
  <c r="AY19" i="9" s="1"/>
  <c r="BA19" i="9" s="1"/>
  <c r="AV18" i="9"/>
  <c r="AY18" i="9" s="1"/>
  <c r="BA18" i="9" s="1"/>
  <c r="AV17" i="9"/>
  <c r="AY17" i="9" s="1"/>
  <c r="BA17" i="9" s="1"/>
  <c r="AV16" i="9"/>
  <c r="AY16" i="9" s="1"/>
  <c r="BA16" i="9" s="1"/>
  <c r="AV15" i="9"/>
  <c r="AY15" i="9" s="1"/>
  <c r="BA15" i="9" s="1"/>
  <c r="AV14" i="9"/>
  <c r="AY14" i="9" s="1"/>
  <c r="BA14" i="9" s="1"/>
  <c r="AV13" i="9"/>
  <c r="AY13" i="9" s="1"/>
  <c r="BA13" i="9" s="1"/>
  <c r="AV12" i="9"/>
  <c r="AY12" i="9" s="1"/>
  <c r="BA12" i="9" s="1"/>
  <c r="AV11" i="9"/>
  <c r="AY11" i="9" s="1"/>
  <c r="BA11" i="9" s="1"/>
  <c r="AV10" i="9"/>
  <c r="AY10" i="9" s="1"/>
  <c r="BA10" i="9" s="1"/>
  <c r="AV9" i="9"/>
  <c r="AY9" i="9" s="1"/>
  <c r="BA9" i="9" s="1"/>
  <c r="BA51" i="9" s="1"/>
  <c r="AR5" i="9"/>
  <c r="AR54" i="9" s="1"/>
  <c r="AV54" i="9" s="1"/>
  <c r="Q53" i="9"/>
  <c r="Y51" i="9"/>
  <c r="U51" i="9"/>
  <c r="Q51" i="9"/>
  <c r="X47" i="9"/>
  <c r="Z5" i="9" s="1"/>
  <c r="Q57" i="9" s="1"/>
  <c r="U57" i="9" s="1"/>
  <c r="Q47" i="9"/>
  <c r="S51" i="9" s="1"/>
  <c r="Z40" i="9"/>
  <c r="U40" i="9"/>
  <c r="U38" i="9"/>
  <c r="X38" i="9" s="1"/>
  <c r="Z38" i="9" s="1"/>
  <c r="U37" i="9"/>
  <c r="X37" i="9" s="1"/>
  <c r="Z37" i="9" s="1"/>
  <c r="U36" i="9"/>
  <c r="X36" i="9" s="1"/>
  <c r="Z36" i="9" s="1"/>
  <c r="U35" i="9"/>
  <c r="X35" i="9" s="1"/>
  <c r="Z35" i="9" s="1"/>
  <c r="U34" i="9"/>
  <c r="X34" i="9" s="1"/>
  <c r="Z34" i="9" s="1"/>
  <c r="X33" i="9"/>
  <c r="Z33" i="9" s="1"/>
  <c r="U33" i="9"/>
  <c r="X32" i="9"/>
  <c r="Z32" i="9" s="1"/>
  <c r="U32" i="9"/>
  <c r="U31" i="9"/>
  <c r="X31" i="9" s="1"/>
  <c r="Z31" i="9" s="1"/>
  <c r="U30" i="9"/>
  <c r="X30" i="9" s="1"/>
  <c r="Z30" i="9" s="1"/>
  <c r="U29" i="9"/>
  <c r="X29" i="9" s="1"/>
  <c r="Z29" i="9" s="1"/>
  <c r="U28" i="9"/>
  <c r="X28" i="9" s="1"/>
  <c r="Z28" i="9" s="1"/>
  <c r="U27" i="9"/>
  <c r="X27" i="9" s="1"/>
  <c r="Z27" i="9" s="1"/>
  <c r="U26" i="9"/>
  <c r="X26" i="9" s="1"/>
  <c r="Z26" i="9" s="1"/>
  <c r="U25" i="9"/>
  <c r="X25" i="9" s="1"/>
  <c r="Z25" i="9" s="1"/>
  <c r="X24" i="9"/>
  <c r="Z24" i="9" s="1"/>
  <c r="U24" i="9"/>
  <c r="U23" i="9"/>
  <c r="X23" i="9" s="1"/>
  <c r="Z23" i="9" s="1"/>
  <c r="U22" i="9"/>
  <c r="X22" i="9" s="1"/>
  <c r="Z22" i="9" s="1"/>
  <c r="U21" i="9"/>
  <c r="X21" i="9" s="1"/>
  <c r="Z21" i="9" s="1"/>
  <c r="U20" i="9"/>
  <c r="X20" i="9" s="1"/>
  <c r="Z20" i="9" s="1"/>
  <c r="U19" i="9"/>
  <c r="X19" i="9" s="1"/>
  <c r="Z19" i="9" s="1"/>
  <c r="U18" i="9"/>
  <c r="X18" i="9" s="1"/>
  <c r="Z18" i="9" s="1"/>
  <c r="U17" i="9"/>
  <c r="X17" i="9" s="1"/>
  <c r="Z17" i="9" s="1"/>
  <c r="X16" i="9"/>
  <c r="Z16" i="9" s="1"/>
  <c r="U16" i="9"/>
  <c r="U15" i="9"/>
  <c r="X15" i="9" s="1"/>
  <c r="Z15" i="9" s="1"/>
  <c r="U14" i="9"/>
  <c r="X14" i="9" s="1"/>
  <c r="Z14" i="9" s="1"/>
  <c r="U13" i="9"/>
  <c r="X13" i="9" s="1"/>
  <c r="Z13" i="9" s="1"/>
  <c r="U12" i="9"/>
  <c r="X12" i="9" s="1"/>
  <c r="Z12" i="9" s="1"/>
  <c r="U11" i="9"/>
  <c r="X11" i="9" s="1"/>
  <c r="Z11" i="9" s="1"/>
  <c r="U10" i="9"/>
  <c r="X10" i="9" s="1"/>
  <c r="Z10" i="9" s="1"/>
  <c r="U9" i="9"/>
  <c r="X9" i="9" s="1"/>
  <c r="Z9" i="9" s="1"/>
  <c r="Z51" i="9" s="1"/>
  <c r="C53" i="9"/>
  <c r="K51" i="9"/>
  <c r="G51" i="9"/>
  <c r="C51" i="9"/>
  <c r="J47" i="9"/>
  <c r="L5" i="9" s="1"/>
  <c r="C57" i="9" s="1"/>
  <c r="G57" i="9" s="1"/>
  <c r="C47" i="9"/>
  <c r="E51" i="9" s="1"/>
  <c r="L40" i="9"/>
  <c r="G40" i="9"/>
  <c r="G38" i="9"/>
  <c r="J38" i="9" s="1"/>
  <c r="L38" i="9" s="1"/>
  <c r="G37" i="9"/>
  <c r="J37" i="9" s="1"/>
  <c r="L37" i="9" s="1"/>
  <c r="G36" i="9"/>
  <c r="J36" i="9" s="1"/>
  <c r="L36" i="9" s="1"/>
  <c r="L35" i="9"/>
  <c r="J35" i="9"/>
  <c r="G35" i="9"/>
  <c r="G34" i="9"/>
  <c r="J34" i="9" s="1"/>
  <c r="L34" i="9" s="1"/>
  <c r="G33" i="9"/>
  <c r="J33" i="9" s="1"/>
  <c r="L33" i="9" s="1"/>
  <c r="J32" i="9"/>
  <c r="L32" i="9" s="1"/>
  <c r="G32" i="9"/>
  <c r="G31" i="9"/>
  <c r="J31" i="9" s="1"/>
  <c r="L31" i="9" s="1"/>
  <c r="G30" i="9"/>
  <c r="J30" i="9" s="1"/>
  <c r="L30" i="9" s="1"/>
  <c r="G29" i="9"/>
  <c r="J29" i="9" s="1"/>
  <c r="L29" i="9" s="1"/>
  <c r="G28" i="9"/>
  <c r="J28" i="9" s="1"/>
  <c r="L28" i="9" s="1"/>
  <c r="G27" i="9"/>
  <c r="J27" i="9" s="1"/>
  <c r="L27" i="9" s="1"/>
  <c r="G26" i="9"/>
  <c r="J26" i="9" s="1"/>
  <c r="L26" i="9" s="1"/>
  <c r="G25" i="9"/>
  <c r="J25" i="9" s="1"/>
  <c r="L25" i="9" s="1"/>
  <c r="G24" i="9"/>
  <c r="J24" i="9" s="1"/>
  <c r="L24" i="9" s="1"/>
  <c r="G23" i="9"/>
  <c r="J23" i="9" s="1"/>
  <c r="L23" i="9" s="1"/>
  <c r="G22" i="9"/>
  <c r="J22" i="9" s="1"/>
  <c r="L22" i="9" s="1"/>
  <c r="G21" i="9"/>
  <c r="J21" i="9" s="1"/>
  <c r="L21" i="9" s="1"/>
  <c r="G20" i="9"/>
  <c r="J20" i="9" s="1"/>
  <c r="L20" i="9" s="1"/>
  <c r="G19" i="9"/>
  <c r="J19" i="9" s="1"/>
  <c r="L19" i="9" s="1"/>
  <c r="G18" i="9"/>
  <c r="J18" i="9" s="1"/>
  <c r="L18" i="9" s="1"/>
  <c r="G17" i="9"/>
  <c r="J17" i="9" s="1"/>
  <c r="L17" i="9" s="1"/>
  <c r="G16" i="9"/>
  <c r="J16" i="9" s="1"/>
  <c r="L16" i="9" s="1"/>
  <c r="G15" i="9"/>
  <c r="J15" i="9" s="1"/>
  <c r="L15" i="9" s="1"/>
  <c r="J14" i="9"/>
  <c r="L14" i="9" s="1"/>
  <c r="G14" i="9"/>
  <c r="G13" i="9"/>
  <c r="J13" i="9" s="1"/>
  <c r="L13" i="9" s="1"/>
  <c r="G12" i="9"/>
  <c r="J12" i="9" s="1"/>
  <c r="L12" i="9" s="1"/>
  <c r="G11" i="9"/>
  <c r="J11" i="9" s="1"/>
  <c r="L11" i="9" s="1"/>
  <c r="G10" i="9"/>
  <c r="J10" i="9" s="1"/>
  <c r="L10" i="9" s="1"/>
  <c r="G9" i="9"/>
  <c r="J9" i="9" s="1"/>
  <c r="L9" i="9" s="1"/>
  <c r="L51" i="9" s="1"/>
  <c r="DW53" i="11"/>
  <c r="EE51" i="11"/>
  <c r="EA51" i="11"/>
  <c r="DW51" i="11"/>
  <c r="ED47" i="11"/>
  <c r="EF5" i="11" s="1"/>
  <c r="DW57" i="11" s="1"/>
  <c r="EA57" i="11" s="1"/>
  <c r="DW47" i="11"/>
  <c r="DY51" i="11" s="1"/>
  <c r="EF40" i="11"/>
  <c r="EA40" i="11"/>
  <c r="EA38" i="11"/>
  <c r="ED38" i="11" s="1"/>
  <c r="EF38" i="11" s="1"/>
  <c r="EA37" i="11"/>
  <c r="ED37" i="11" s="1"/>
  <c r="EF37" i="11" s="1"/>
  <c r="EA36" i="11"/>
  <c r="ED36" i="11" s="1"/>
  <c r="EF36" i="11" s="1"/>
  <c r="EA35" i="11"/>
  <c r="ED35" i="11" s="1"/>
  <c r="EF35" i="11" s="1"/>
  <c r="EA34" i="11"/>
  <c r="ED34" i="11" s="1"/>
  <c r="EF34" i="11" s="1"/>
  <c r="ED33" i="11"/>
  <c r="EF33" i="11" s="1"/>
  <c r="EA33" i="11"/>
  <c r="ED32" i="11"/>
  <c r="EF32" i="11" s="1"/>
  <c r="EA32" i="11"/>
  <c r="EA31" i="11"/>
  <c r="ED31" i="11" s="1"/>
  <c r="EF31" i="11" s="1"/>
  <c r="EA30" i="11"/>
  <c r="ED30" i="11" s="1"/>
  <c r="EF30" i="11" s="1"/>
  <c r="EA29" i="11"/>
  <c r="ED29" i="11" s="1"/>
  <c r="EF29" i="11" s="1"/>
  <c r="EA28" i="11"/>
  <c r="ED28" i="11" s="1"/>
  <c r="EF28" i="11" s="1"/>
  <c r="EA27" i="11"/>
  <c r="ED27" i="11" s="1"/>
  <c r="EF27" i="11" s="1"/>
  <c r="EA26" i="11"/>
  <c r="ED26" i="11" s="1"/>
  <c r="EF26" i="11" s="1"/>
  <c r="ED25" i="11"/>
  <c r="EF25" i="11" s="1"/>
  <c r="EA25" i="11"/>
  <c r="ED24" i="11"/>
  <c r="EF24" i="11" s="1"/>
  <c r="EA24" i="11"/>
  <c r="EA23" i="11"/>
  <c r="ED23" i="11" s="1"/>
  <c r="EF23" i="11" s="1"/>
  <c r="EA22" i="11"/>
  <c r="ED22" i="11" s="1"/>
  <c r="EF22" i="11" s="1"/>
  <c r="EA21" i="11"/>
  <c r="ED21" i="11" s="1"/>
  <c r="EF21" i="11" s="1"/>
  <c r="EA20" i="11"/>
  <c r="ED20" i="11" s="1"/>
  <c r="EF20" i="11" s="1"/>
  <c r="EA19" i="11"/>
  <c r="ED19" i="11" s="1"/>
  <c r="EF19" i="11" s="1"/>
  <c r="EA18" i="11"/>
  <c r="ED18" i="11" s="1"/>
  <c r="EF18" i="11" s="1"/>
  <c r="ED17" i="11"/>
  <c r="EF17" i="11" s="1"/>
  <c r="EA17" i="11"/>
  <c r="ED16" i="11"/>
  <c r="EF16" i="11" s="1"/>
  <c r="EA16" i="11"/>
  <c r="EA15" i="11"/>
  <c r="ED15" i="11" s="1"/>
  <c r="EF15" i="11" s="1"/>
  <c r="EA14" i="11"/>
  <c r="ED14" i="11" s="1"/>
  <c r="EF14" i="11" s="1"/>
  <c r="EB51" i="11" s="1"/>
  <c r="EA13" i="11"/>
  <c r="ED13" i="11" s="1"/>
  <c r="EF13" i="11" s="1"/>
  <c r="EA12" i="11"/>
  <c r="ED12" i="11" s="1"/>
  <c r="EF12" i="11" s="1"/>
  <c r="EA11" i="11"/>
  <c r="ED11" i="11" s="1"/>
  <c r="EF11" i="11" s="1"/>
  <c r="EA10" i="11"/>
  <c r="ED10" i="11" s="1"/>
  <c r="EF10" i="11" s="1"/>
  <c r="ED9" i="11"/>
  <c r="EF9" i="11" s="1"/>
  <c r="EF51" i="11" s="1"/>
  <c r="EA9" i="11"/>
  <c r="DW5" i="11"/>
  <c r="DW54" i="11" s="1"/>
  <c r="EA54" i="11" s="1"/>
  <c r="DI53" i="11"/>
  <c r="DQ51" i="11"/>
  <c r="DM51" i="11"/>
  <c r="DI51" i="11"/>
  <c r="DP47" i="11"/>
  <c r="DR5" i="11" s="1"/>
  <c r="DI57" i="11" s="1"/>
  <c r="DM57" i="11" s="1"/>
  <c r="DI47" i="11"/>
  <c r="DK51" i="11" s="1"/>
  <c r="DR40" i="11"/>
  <c r="DM40" i="11"/>
  <c r="DP38" i="11"/>
  <c r="DR38" i="11" s="1"/>
  <c r="DM38" i="11"/>
  <c r="DM37" i="11"/>
  <c r="DP37" i="11" s="1"/>
  <c r="DR37" i="11" s="1"/>
  <c r="DR36" i="11"/>
  <c r="DP36" i="11"/>
  <c r="DM36" i="11"/>
  <c r="DM35" i="11"/>
  <c r="DP35" i="11" s="1"/>
  <c r="DR35" i="11" s="1"/>
  <c r="DM34" i="11"/>
  <c r="DP34" i="11" s="1"/>
  <c r="DR34" i="11" s="1"/>
  <c r="DM33" i="11"/>
  <c r="DP33" i="11" s="1"/>
  <c r="DR33" i="11" s="1"/>
  <c r="DP31" i="11"/>
  <c r="DR31" i="11" s="1"/>
  <c r="DM31" i="11"/>
  <c r="DP30" i="11"/>
  <c r="DR30" i="11" s="1"/>
  <c r="DM30" i="11"/>
  <c r="DM29" i="11"/>
  <c r="DP29" i="11" s="1"/>
  <c r="DR29" i="11" s="1"/>
  <c r="DM28" i="11"/>
  <c r="DP28" i="11" s="1"/>
  <c r="DR28" i="11" s="1"/>
  <c r="DM27" i="11"/>
  <c r="DP27" i="11" s="1"/>
  <c r="DR27" i="11" s="1"/>
  <c r="DM26" i="11"/>
  <c r="DP26" i="11" s="1"/>
  <c r="DR26" i="11" s="1"/>
  <c r="DM25" i="11"/>
  <c r="DP25" i="11" s="1"/>
  <c r="DR25" i="11" s="1"/>
  <c r="DP24" i="11"/>
  <c r="DR24" i="11" s="1"/>
  <c r="DM24" i="11"/>
  <c r="DP23" i="11"/>
  <c r="DR23" i="11" s="1"/>
  <c r="DM23" i="11"/>
  <c r="DP22" i="11"/>
  <c r="DR22" i="11" s="1"/>
  <c r="DM22" i="11"/>
  <c r="DM21" i="11"/>
  <c r="DP21" i="11" s="1"/>
  <c r="DR21" i="11" s="1"/>
  <c r="DR20" i="11"/>
  <c r="DP20" i="11"/>
  <c r="DM20" i="11"/>
  <c r="DM19" i="11"/>
  <c r="DP19" i="11" s="1"/>
  <c r="DR19" i="11" s="1"/>
  <c r="DM18" i="11"/>
  <c r="DP18" i="11" s="1"/>
  <c r="DR18" i="11" s="1"/>
  <c r="DM17" i="11"/>
  <c r="DP17" i="11" s="1"/>
  <c r="DR17" i="11" s="1"/>
  <c r="DP16" i="11"/>
  <c r="DR16" i="11" s="1"/>
  <c r="DM16" i="11"/>
  <c r="DP15" i="11"/>
  <c r="DR15" i="11" s="1"/>
  <c r="DM15" i="11"/>
  <c r="DP14" i="11"/>
  <c r="DR14" i="11" s="1"/>
  <c r="DM14" i="11"/>
  <c r="DM13" i="11"/>
  <c r="DP13" i="11" s="1"/>
  <c r="DR13" i="11" s="1"/>
  <c r="DR12" i="11"/>
  <c r="DP12" i="11"/>
  <c r="DM12" i="11"/>
  <c r="DM11" i="11"/>
  <c r="DP11" i="11" s="1"/>
  <c r="DR11" i="11" s="1"/>
  <c r="DM10" i="11"/>
  <c r="DP10" i="11" s="1"/>
  <c r="DR10" i="11" s="1"/>
  <c r="DM9" i="11"/>
  <c r="DP9" i="11" s="1"/>
  <c r="DR9" i="11" s="1"/>
  <c r="DR51" i="11" s="1"/>
  <c r="DP51" i="11" s="1"/>
  <c r="DR47" i="11" s="1"/>
  <c r="DR6" i="11" s="1"/>
  <c r="DI58" i="11" s="1"/>
  <c r="DM58" i="11" s="1"/>
  <c r="CG53" i="11"/>
  <c r="CO51" i="11"/>
  <c r="CK51" i="11"/>
  <c r="CG51" i="11"/>
  <c r="CN47" i="11"/>
  <c r="CG47" i="11"/>
  <c r="CI51" i="11" s="1"/>
  <c r="CP40" i="11"/>
  <c r="CK40" i="11"/>
  <c r="CK38" i="11"/>
  <c r="CN38" i="11" s="1"/>
  <c r="CP38" i="11" s="1"/>
  <c r="CP37" i="11"/>
  <c r="CN37" i="11"/>
  <c r="CK37" i="11"/>
  <c r="CK36" i="11"/>
  <c r="CN36" i="11" s="1"/>
  <c r="CP36" i="11" s="1"/>
  <c r="CK35" i="11"/>
  <c r="CN35" i="11" s="1"/>
  <c r="CP35" i="11" s="1"/>
  <c r="CK34" i="11"/>
  <c r="CN34" i="11" s="1"/>
  <c r="CP34" i="11" s="1"/>
  <c r="CN33" i="11"/>
  <c r="CP33" i="11" s="1"/>
  <c r="CK33" i="11"/>
  <c r="CN32" i="11"/>
  <c r="CP32" i="11" s="1"/>
  <c r="CK32" i="11"/>
  <c r="CN31" i="11"/>
  <c r="CP31" i="11" s="1"/>
  <c r="CK31" i="11"/>
  <c r="CK30" i="11"/>
  <c r="CN30" i="11" s="1"/>
  <c r="CP30" i="11" s="1"/>
  <c r="CP29" i="11"/>
  <c r="CN29" i="11"/>
  <c r="CK29" i="11"/>
  <c r="CK28" i="11"/>
  <c r="CN28" i="11" s="1"/>
  <c r="CP28" i="11" s="1"/>
  <c r="CK27" i="11"/>
  <c r="CN27" i="11" s="1"/>
  <c r="CP27" i="11" s="1"/>
  <c r="CK26" i="11"/>
  <c r="CN26" i="11" s="1"/>
  <c r="CP26" i="11" s="1"/>
  <c r="CN25" i="11"/>
  <c r="CP25" i="11" s="1"/>
  <c r="CK25" i="11"/>
  <c r="CN24" i="11"/>
  <c r="CP24" i="11" s="1"/>
  <c r="CK24" i="11"/>
  <c r="CN23" i="11"/>
  <c r="CP23" i="11" s="1"/>
  <c r="CK23" i="11"/>
  <c r="CK22" i="11"/>
  <c r="CN22" i="11" s="1"/>
  <c r="CP22" i="11" s="1"/>
  <c r="CK21" i="11"/>
  <c r="CN21" i="11" s="1"/>
  <c r="CP21" i="11" s="1"/>
  <c r="CK20" i="11"/>
  <c r="CN20" i="11" s="1"/>
  <c r="CP20" i="11" s="1"/>
  <c r="CK19" i="11"/>
  <c r="CN19" i="11" s="1"/>
  <c r="CP19" i="11" s="1"/>
  <c r="CK18" i="11"/>
  <c r="CN18" i="11" s="1"/>
  <c r="CP18" i="11" s="1"/>
  <c r="CN17" i="11"/>
  <c r="CP17" i="11" s="1"/>
  <c r="CK17" i="11"/>
  <c r="CN16" i="11"/>
  <c r="CP16" i="11" s="1"/>
  <c r="CK16" i="11"/>
  <c r="CN15" i="11"/>
  <c r="CP15" i="11" s="1"/>
  <c r="CK15" i="11"/>
  <c r="CK14" i="11"/>
  <c r="CN14" i="11" s="1"/>
  <c r="CP14" i="11" s="1"/>
  <c r="CP13" i="11"/>
  <c r="CN13" i="11"/>
  <c r="CK13" i="11"/>
  <c r="CK12" i="11"/>
  <c r="CN12" i="11" s="1"/>
  <c r="CP12" i="11" s="1"/>
  <c r="CK11" i="11"/>
  <c r="CN11" i="11" s="1"/>
  <c r="CP11" i="11" s="1"/>
  <c r="CK10" i="11"/>
  <c r="CN10" i="11" s="1"/>
  <c r="CP10" i="11" s="1"/>
  <c r="CN9" i="11"/>
  <c r="CP9" i="11" s="1"/>
  <c r="CP51" i="11" s="1"/>
  <c r="CK9" i="11"/>
  <c r="CP5" i="11"/>
  <c r="CG57" i="11" s="1"/>
  <c r="CK57" i="11" s="1"/>
  <c r="CG5" i="11"/>
  <c r="CG54" i="11" s="1"/>
  <c r="CK54" i="11" s="1"/>
  <c r="BS53" i="11"/>
  <c r="CA51" i="11"/>
  <c r="BW51" i="11"/>
  <c r="BS51" i="11"/>
  <c r="BZ47" i="11"/>
  <c r="CB5" i="11" s="1"/>
  <c r="BS57" i="11" s="1"/>
  <c r="BW57" i="11" s="1"/>
  <c r="BS47" i="11"/>
  <c r="BU51" i="11" s="1"/>
  <c r="CB40" i="11"/>
  <c r="BW40" i="11"/>
  <c r="BW38" i="11"/>
  <c r="BZ38" i="11" s="1"/>
  <c r="CB38" i="11" s="1"/>
  <c r="BW37" i="11"/>
  <c r="BZ37" i="11" s="1"/>
  <c r="CB37" i="11" s="1"/>
  <c r="BW36" i="11"/>
  <c r="BZ36" i="11" s="1"/>
  <c r="CB36" i="11" s="1"/>
  <c r="BW35" i="11"/>
  <c r="BZ35" i="11" s="1"/>
  <c r="CB35" i="11" s="1"/>
  <c r="BW34" i="11"/>
  <c r="BZ34" i="11" s="1"/>
  <c r="CB34" i="11" s="1"/>
  <c r="BW33" i="11"/>
  <c r="BZ33" i="11" s="1"/>
  <c r="CB33" i="11" s="1"/>
  <c r="BW32" i="11"/>
  <c r="BZ32" i="11" s="1"/>
  <c r="CB32" i="11" s="1"/>
  <c r="BZ31" i="11"/>
  <c r="CB31" i="11" s="1"/>
  <c r="BW31" i="11"/>
  <c r="BW30" i="11"/>
  <c r="BZ30" i="11" s="1"/>
  <c r="CB30" i="11" s="1"/>
  <c r="BW29" i="11"/>
  <c r="BZ29" i="11" s="1"/>
  <c r="CB29" i="11" s="1"/>
  <c r="BW28" i="11"/>
  <c r="BZ28" i="11" s="1"/>
  <c r="CB28" i="11" s="1"/>
  <c r="BW27" i="11"/>
  <c r="BZ27" i="11" s="1"/>
  <c r="CB27" i="11" s="1"/>
  <c r="BW26" i="11"/>
  <c r="BZ26" i="11" s="1"/>
  <c r="CB26" i="11" s="1"/>
  <c r="BW25" i="11"/>
  <c r="BZ25" i="11" s="1"/>
  <c r="CB25" i="11" s="1"/>
  <c r="BW24" i="11"/>
  <c r="BZ24" i="11" s="1"/>
  <c r="CB24" i="11" s="1"/>
  <c r="BW23" i="11"/>
  <c r="BZ23" i="11" s="1"/>
  <c r="CB23" i="11" s="1"/>
  <c r="BW22" i="11"/>
  <c r="BZ22" i="11" s="1"/>
  <c r="CB22" i="11" s="1"/>
  <c r="BW21" i="11"/>
  <c r="BZ21" i="11" s="1"/>
  <c r="CB21" i="11" s="1"/>
  <c r="BW20" i="11"/>
  <c r="BZ20" i="11" s="1"/>
  <c r="CB20" i="11" s="1"/>
  <c r="BW19" i="11"/>
  <c r="BZ19" i="11" s="1"/>
  <c r="CB19" i="11" s="1"/>
  <c r="BW18" i="11"/>
  <c r="BZ18" i="11" s="1"/>
  <c r="CB18" i="11" s="1"/>
  <c r="BW17" i="11"/>
  <c r="BZ17" i="11" s="1"/>
  <c r="CB17" i="11" s="1"/>
  <c r="BW16" i="11"/>
  <c r="BZ16" i="11" s="1"/>
  <c r="CB16" i="11" s="1"/>
  <c r="BW15" i="11"/>
  <c r="BZ15" i="11" s="1"/>
  <c r="CB15" i="11" s="1"/>
  <c r="BW14" i="11"/>
  <c r="BZ14" i="11" s="1"/>
  <c r="CB14" i="11" s="1"/>
  <c r="BW13" i="11"/>
  <c r="BZ13" i="11" s="1"/>
  <c r="CB13" i="11" s="1"/>
  <c r="BW12" i="11"/>
  <c r="BZ12" i="11" s="1"/>
  <c r="CB12" i="11" s="1"/>
  <c r="BW11" i="11"/>
  <c r="BZ11" i="11" s="1"/>
  <c r="CB11" i="11" s="1"/>
  <c r="BW10" i="11"/>
  <c r="BZ10" i="11" s="1"/>
  <c r="CB10" i="11" s="1"/>
  <c r="BW9" i="11"/>
  <c r="BZ9" i="11" s="1"/>
  <c r="CB9" i="11" s="1"/>
  <c r="CB51" i="11" s="1"/>
  <c r="BE53" i="11"/>
  <c r="BM51" i="11"/>
  <c r="BI51" i="11"/>
  <c r="BE51" i="11"/>
  <c r="BL47" i="11"/>
  <c r="BN5" i="11" s="1"/>
  <c r="BE57" i="11" s="1"/>
  <c r="BI57" i="11" s="1"/>
  <c r="BE47" i="11"/>
  <c r="BG51" i="11" s="1"/>
  <c r="BN40" i="11"/>
  <c r="BI40" i="11"/>
  <c r="BI38" i="11"/>
  <c r="BL38" i="11" s="1"/>
  <c r="BN38" i="11" s="1"/>
  <c r="BI37" i="11"/>
  <c r="BL37" i="11" s="1"/>
  <c r="BN37" i="11" s="1"/>
  <c r="BI36" i="11"/>
  <c r="BL36" i="11" s="1"/>
  <c r="BN36" i="11" s="1"/>
  <c r="BI35" i="11"/>
  <c r="BL35" i="11" s="1"/>
  <c r="BN35" i="11" s="1"/>
  <c r="BI34" i="11"/>
  <c r="BL34" i="11" s="1"/>
  <c r="BN34" i="11" s="1"/>
  <c r="BI33" i="11"/>
  <c r="BL33" i="11" s="1"/>
  <c r="BN33" i="11" s="1"/>
  <c r="BI32" i="11"/>
  <c r="BL32" i="11" s="1"/>
  <c r="BN32" i="11" s="1"/>
  <c r="BI31" i="11"/>
  <c r="BL31" i="11" s="1"/>
  <c r="BN31" i="11" s="1"/>
  <c r="BI30" i="11"/>
  <c r="BL30" i="11" s="1"/>
  <c r="BN30" i="11" s="1"/>
  <c r="BI29" i="11"/>
  <c r="BL29" i="11" s="1"/>
  <c r="BN29" i="11" s="1"/>
  <c r="BI28" i="11"/>
  <c r="BL28" i="11" s="1"/>
  <c r="BN28" i="11" s="1"/>
  <c r="BI27" i="11"/>
  <c r="BL27" i="11" s="1"/>
  <c r="BN27" i="11" s="1"/>
  <c r="BI26" i="11"/>
  <c r="BL26" i="11" s="1"/>
  <c r="BN26" i="11" s="1"/>
  <c r="BL25" i="11"/>
  <c r="BN25" i="11" s="1"/>
  <c r="BI25" i="11"/>
  <c r="BI24" i="11"/>
  <c r="BL24" i="11" s="1"/>
  <c r="BN24" i="11" s="1"/>
  <c r="BI23" i="11"/>
  <c r="BL23" i="11" s="1"/>
  <c r="BN23" i="11" s="1"/>
  <c r="BI22" i="11"/>
  <c r="BL22" i="11" s="1"/>
  <c r="BN22" i="11" s="1"/>
  <c r="BI21" i="11"/>
  <c r="BL21" i="11" s="1"/>
  <c r="BN21" i="11" s="1"/>
  <c r="BI20" i="11"/>
  <c r="BL20" i="11" s="1"/>
  <c r="BN20" i="11" s="1"/>
  <c r="BI18" i="11"/>
  <c r="BL18" i="11" s="1"/>
  <c r="BN18" i="11" s="1"/>
  <c r="BI17" i="11"/>
  <c r="BL17" i="11" s="1"/>
  <c r="BN17" i="11" s="1"/>
  <c r="BI16" i="11"/>
  <c r="BL16" i="11" s="1"/>
  <c r="BN16" i="11" s="1"/>
  <c r="BI15" i="11"/>
  <c r="BL15" i="11" s="1"/>
  <c r="BN15" i="11" s="1"/>
  <c r="BI14" i="11"/>
  <c r="BL14" i="11" s="1"/>
  <c r="BN14" i="11" s="1"/>
  <c r="BI13" i="11"/>
  <c r="BL13" i="11" s="1"/>
  <c r="BN13" i="11" s="1"/>
  <c r="BI12" i="11"/>
  <c r="BL12" i="11" s="1"/>
  <c r="BN12" i="11" s="1"/>
  <c r="BI11" i="11"/>
  <c r="BL11" i="11" s="1"/>
  <c r="BN11" i="11" s="1"/>
  <c r="BI10" i="11"/>
  <c r="BL10" i="11" s="1"/>
  <c r="BN10" i="11" s="1"/>
  <c r="BI9" i="11"/>
  <c r="BL9" i="11" s="1"/>
  <c r="BN9" i="11" s="1"/>
  <c r="BN51" i="11" s="1"/>
  <c r="AR53" i="11"/>
  <c r="AZ51" i="11"/>
  <c r="AV51" i="11"/>
  <c r="AR51" i="11"/>
  <c r="AY47" i="11"/>
  <c r="AR47" i="11"/>
  <c r="AT51" i="11" s="1"/>
  <c r="BA40" i="11"/>
  <c r="AV40" i="11"/>
  <c r="AY38" i="11"/>
  <c r="BA38" i="11" s="1"/>
  <c r="AV38" i="11"/>
  <c r="AV37" i="11"/>
  <c r="AY37" i="11" s="1"/>
  <c r="BA37" i="11" s="1"/>
  <c r="AV36" i="11"/>
  <c r="AY36" i="11" s="1"/>
  <c r="BA36" i="11" s="1"/>
  <c r="AV35" i="11"/>
  <c r="AY35" i="11" s="1"/>
  <c r="BA35" i="11" s="1"/>
  <c r="AV34" i="11"/>
  <c r="AY34" i="11" s="1"/>
  <c r="BA34" i="11" s="1"/>
  <c r="AV33" i="11"/>
  <c r="AY33" i="11" s="1"/>
  <c r="BA33" i="11" s="1"/>
  <c r="AV32" i="11"/>
  <c r="AY32" i="11" s="1"/>
  <c r="BA32" i="11" s="1"/>
  <c r="AV31" i="11"/>
  <c r="AY31" i="11" s="1"/>
  <c r="BA31" i="11" s="1"/>
  <c r="AV30" i="11"/>
  <c r="AY30" i="11" s="1"/>
  <c r="BA30" i="11" s="1"/>
  <c r="AV29" i="11"/>
  <c r="AY29" i="11" s="1"/>
  <c r="BA29" i="11" s="1"/>
  <c r="AV28" i="11"/>
  <c r="AY28" i="11" s="1"/>
  <c r="BA28" i="11" s="1"/>
  <c r="AV27" i="11"/>
  <c r="AY27" i="11" s="1"/>
  <c r="BA27" i="11" s="1"/>
  <c r="AV26" i="11"/>
  <c r="AY26" i="11" s="1"/>
  <c r="BA26" i="11" s="1"/>
  <c r="AV25" i="11"/>
  <c r="AY25" i="11" s="1"/>
  <c r="BA25" i="11" s="1"/>
  <c r="AV24" i="11"/>
  <c r="AY24" i="11" s="1"/>
  <c r="BA24" i="11" s="1"/>
  <c r="AV23" i="11"/>
  <c r="AY23" i="11" s="1"/>
  <c r="BA23" i="11" s="1"/>
  <c r="AV22" i="11"/>
  <c r="AY22" i="11" s="1"/>
  <c r="BA22" i="11" s="1"/>
  <c r="AV21" i="11"/>
  <c r="AY21" i="11" s="1"/>
  <c r="BA21" i="11" s="1"/>
  <c r="AV20" i="11"/>
  <c r="AY20" i="11" s="1"/>
  <c r="BA20" i="11" s="1"/>
  <c r="AV19" i="11"/>
  <c r="AY19" i="11" s="1"/>
  <c r="BA19" i="11" s="1"/>
  <c r="AV18" i="11"/>
  <c r="AY18" i="11" s="1"/>
  <c r="BA18" i="11" s="1"/>
  <c r="AV17" i="11"/>
  <c r="AY17" i="11" s="1"/>
  <c r="BA17" i="11" s="1"/>
  <c r="AV16" i="11"/>
  <c r="AY16" i="11" s="1"/>
  <c r="BA16" i="11" s="1"/>
  <c r="AV15" i="11"/>
  <c r="AY15" i="11" s="1"/>
  <c r="BA15" i="11" s="1"/>
  <c r="AV14" i="11"/>
  <c r="AY14" i="11" s="1"/>
  <c r="BA14" i="11" s="1"/>
  <c r="AV13" i="11"/>
  <c r="AY13" i="11" s="1"/>
  <c r="BA13" i="11" s="1"/>
  <c r="AV12" i="11"/>
  <c r="AY12" i="11" s="1"/>
  <c r="BA12" i="11" s="1"/>
  <c r="AV11" i="11"/>
  <c r="AY11" i="11" s="1"/>
  <c r="BA11" i="11" s="1"/>
  <c r="AV10" i="11"/>
  <c r="AY10" i="11" s="1"/>
  <c r="BA10" i="11" s="1"/>
  <c r="AV9" i="11"/>
  <c r="AY9" i="11" s="1"/>
  <c r="BA9" i="11" s="1"/>
  <c r="BA51" i="11" s="1"/>
  <c r="BA5" i="11"/>
  <c r="AR57" i="11" s="1"/>
  <c r="AV57" i="11" s="1"/>
  <c r="AD53" i="11"/>
  <c r="AL51" i="11"/>
  <c r="AH51" i="11"/>
  <c r="AD51" i="11"/>
  <c r="AK47" i="11"/>
  <c r="AM5" i="11" s="1"/>
  <c r="AD57" i="11" s="1"/>
  <c r="AH57" i="11" s="1"/>
  <c r="AD47" i="11"/>
  <c r="AF51" i="11" s="1"/>
  <c r="AM40" i="11"/>
  <c r="AH40" i="11"/>
  <c r="AH38" i="11"/>
  <c r="AK38" i="11" s="1"/>
  <c r="AM38" i="11" s="1"/>
  <c r="AK37" i="11"/>
  <c r="AM37" i="11" s="1"/>
  <c r="AH37" i="11"/>
  <c r="AH36" i="11"/>
  <c r="AK36" i="11" s="1"/>
  <c r="AM36" i="11" s="1"/>
  <c r="AH35" i="11"/>
  <c r="AK35" i="11" s="1"/>
  <c r="AM35" i="11" s="1"/>
  <c r="AH34" i="11"/>
  <c r="AK34" i="11" s="1"/>
  <c r="AM34" i="11" s="1"/>
  <c r="AH33" i="11"/>
  <c r="AK33" i="11" s="1"/>
  <c r="AM33" i="11" s="1"/>
  <c r="AH32" i="11"/>
  <c r="AK32" i="11" s="1"/>
  <c r="AM32" i="11" s="1"/>
  <c r="AH31" i="11"/>
  <c r="AK31" i="11" s="1"/>
  <c r="AM31" i="11" s="1"/>
  <c r="AH30" i="11"/>
  <c r="AK30" i="11" s="1"/>
  <c r="AM30" i="11" s="1"/>
  <c r="AH29" i="11"/>
  <c r="AK29" i="11" s="1"/>
  <c r="AM29" i="11" s="1"/>
  <c r="AH28" i="11"/>
  <c r="AK28" i="11" s="1"/>
  <c r="AM28" i="11" s="1"/>
  <c r="AH27" i="11"/>
  <c r="AK27" i="11" s="1"/>
  <c r="AM27" i="11" s="1"/>
  <c r="AH26" i="11"/>
  <c r="AK26" i="11" s="1"/>
  <c r="AM26" i="11" s="1"/>
  <c r="AH25" i="11"/>
  <c r="AK25" i="11" s="1"/>
  <c r="AM25" i="11" s="1"/>
  <c r="AH24" i="11"/>
  <c r="AK24" i="11" s="1"/>
  <c r="AM24" i="11" s="1"/>
  <c r="AH23" i="11"/>
  <c r="AK23" i="11" s="1"/>
  <c r="AM23" i="11" s="1"/>
  <c r="AH22" i="11"/>
  <c r="AK22" i="11" s="1"/>
  <c r="AM22" i="11" s="1"/>
  <c r="AH21" i="11"/>
  <c r="AK21" i="11" s="1"/>
  <c r="AM21" i="11" s="1"/>
  <c r="AH20" i="11"/>
  <c r="AK20" i="11" s="1"/>
  <c r="AM20" i="11" s="1"/>
  <c r="AH19" i="11"/>
  <c r="AK19" i="11" s="1"/>
  <c r="AM19" i="11" s="1"/>
  <c r="AH18" i="11"/>
  <c r="AK18" i="11" s="1"/>
  <c r="AM18" i="11" s="1"/>
  <c r="AH17" i="11"/>
  <c r="AK17" i="11" s="1"/>
  <c r="AM17" i="11" s="1"/>
  <c r="AH16" i="11"/>
  <c r="AK16" i="11" s="1"/>
  <c r="AM16" i="11" s="1"/>
  <c r="AH15" i="11"/>
  <c r="AK15" i="11" s="1"/>
  <c r="AM15" i="11" s="1"/>
  <c r="AH14" i="11"/>
  <c r="AK14" i="11" s="1"/>
  <c r="AM14" i="11" s="1"/>
  <c r="AH12" i="11"/>
  <c r="AK12" i="11" s="1"/>
  <c r="AM12" i="11" s="1"/>
  <c r="AH11" i="11"/>
  <c r="AK11" i="11" s="1"/>
  <c r="AM11" i="11" s="1"/>
  <c r="AH10" i="11"/>
  <c r="AK10" i="11" s="1"/>
  <c r="AM10" i="11" s="1"/>
  <c r="AK9" i="11"/>
  <c r="AM9" i="11" s="1"/>
  <c r="AM51" i="11" s="1"/>
  <c r="AH9" i="11"/>
  <c r="Q53" i="11"/>
  <c r="Y51" i="11"/>
  <c r="U51" i="11"/>
  <c r="Q51" i="11"/>
  <c r="X47" i="11"/>
  <c r="Z5" i="11" s="1"/>
  <c r="Q57" i="11" s="1"/>
  <c r="U57" i="11" s="1"/>
  <c r="Q47" i="11"/>
  <c r="S51" i="11" s="1"/>
  <c r="Z40" i="11"/>
  <c r="U40" i="11"/>
  <c r="U38" i="11"/>
  <c r="X38" i="11" s="1"/>
  <c r="Z38" i="11" s="1"/>
  <c r="U37" i="11"/>
  <c r="X37" i="11" s="1"/>
  <c r="Z37" i="11" s="1"/>
  <c r="U36" i="11"/>
  <c r="X36" i="11" s="1"/>
  <c r="Z36" i="11" s="1"/>
  <c r="U35" i="11"/>
  <c r="X35" i="11" s="1"/>
  <c r="Z35" i="11" s="1"/>
  <c r="U34" i="11"/>
  <c r="X34" i="11" s="1"/>
  <c r="Z34" i="11" s="1"/>
  <c r="U33" i="11"/>
  <c r="X33" i="11" s="1"/>
  <c r="Z33" i="11" s="1"/>
  <c r="U32" i="11"/>
  <c r="X32" i="11" s="1"/>
  <c r="Z32" i="11" s="1"/>
  <c r="U31" i="11"/>
  <c r="X31" i="11" s="1"/>
  <c r="Z31" i="11" s="1"/>
  <c r="U30" i="11"/>
  <c r="X30" i="11" s="1"/>
  <c r="Z30" i="11" s="1"/>
  <c r="U29" i="11"/>
  <c r="X29" i="11" s="1"/>
  <c r="Z29" i="11" s="1"/>
  <c r="U28" i="11"/>
  <c r="X28" i="11" s="1"/>
  <c r="Z28" i="11" s="1"/>
  <c r="U27" i="11"/>
  <c r="X27" i="11" s="1"/>
  <c r="Z27" i="11" s="1"/>
  <c r="U26" i="11"/>
  <c r="X26" i="11" s="1"/>
  <c r="Z26" i="11" s="1"/>
  <c r="U25" i="11"/>
  <c r="X25" i="11" s="1"/>
  <c r="Z25" i="11" s="1"/>
  <c r="U24" i="11"/>
  <c r="X24" i="11" s="1"/>
  <c r="Z24" i="11" s="1"/>
  <c r="U23" i="11"/>
  <c r="X23" i="11" s="1"/>
  <c r="Z23" i="11" s="1"/>
  <c r="U22" i="11"/>
  <c r="X22" i="11" s="1"/>
  <c r="Z22" i="11" s="1"/>
  <c r="U21" i="11"/>
  <c r="X21" i="11" s="1"/>
  <c r="Z21" i="11" s="1"/>
  <c r="U20" i="11"/>
  <c r="X20" i="11" s="1"/>
  <c r="Z20" i="11" s="1"/>
  <c r="U19" i="11"/>
  <c r="X19" i="11" s="1"/>
  <c r="Z19" i="11" s="1"/>
  <c r="U18" i="11"/>
  <c r="X18" i="11" s="1"/>
  <c r="Z18" i="11" s="1"/>
  <c r="U17" i="11"/>
  <c r="X17" i="11" s="1"/>
  <c r="Z17" i="11" s="1"/>
  <c r="U16" i="11"/>
  <c r="X16" i="11" s="1"/>
  <c r="Z16" i="11" s="1"/>
  <c r="U15" i="11"/>
  <c r="X15" i="11" s="1"/>
  <c r="Z15" i="11" s="1"/>
  <c r="U14" i="11"/>
  <c r="X14" i="11" s="1"/>
  <c r="Z14" i="11" s="1"/>
  <c r="U13" i="11"/>
  <c r="X13" i="11" s="1"/>
  <c r="Z13" i="11" s="1"/>
  <c r="U12" i="11"/>
  <c r="X12" i="11" s="1"/>
  <c r="Z12" i="11" s="1"/>
  <c r="U11" i="11"/>
  <c r="X11" i="11" s="1"/>
  <c r="Z11" i="11" s="1"/>
  <c r="U10" i="11"/>
  <c r="X10" i="11" s="1"/>
  <c r="Z10" i="11" s="1"/>
  <c r="U9" i="11"/>
  <c r="X9" i="11" s="1"/>
  <c r="Z9" i="11" s="1"/>
  <c r="Z51" i="11" s="1"/>
  <c r="X51" i="11" s="1"/>
  <c r="Z47" i="11" s="1"/>
  <c r="Z6" i="11" s="1"/>
  <c r="Q58" i="11" s="1"/>
  <c r="U58" i="11" s="1"/>
  <c r="C53" i="11"/>
  <c r="K51" i="11"/>
  <c r="G51" i="11"/>
  <c r="C51" i="11"/>
  <c r="J47" i="11"/>
  <c r="L5" i="11" s="1"/>
  <c r="C57" i="11" s="1"/>
  <c r="G57" i="11" s="1"/>
  <c r="C47" i="11"/>
  <c r="E51" i="11" s="1"/>
  <c r="L40" i="11"/>
  <c r="G40" i="11"/>
  <c r="G38" i="11"/>
  <c r="J38" i="11" s="1"/>
  <c r="L38" i="11" s="1"/>
  <c r="G37" i="11"/>
  <c r="J37" i="11" s="1"/>
  <c r="L37" i="11" s="1"/>
  <c r="G36" i="11"/>
  <c r="J36" i="11" s="1"/>
  <c r="L36" i="11" s="1"/>
  <c r="G35" i="11"/>
  <c r="J35" i="11" s="1"/>
  <c r="L35" i="11" s="1"/>
  <c r="G34" i="11"/>
  <c r="J34" i="11" s="1"/>
  <c r="L34" i="11" s="1"/>
  <c r="G33" i="11"/>
  <c r="J33" i="11" s="1"/>
  <c r="L33" i="11" s="1"/>
  <c r="G32" i="11"/>
  <c r="J32" i="11" s="1"/>
  <c r="L32" i="11" s="1"/>
  <c r="G31" i="11"/>
  <c r="J31" i="11" s="1"/>
  <c r="L31" i="11" s="1"/>
  <c r="G30" i="11"/>
  <c r="J30" i="11" s="1"/>
  <c r="L30" i="11" s="1"/>
  <c r="G29" i="11"/>
  <c r="J29" i="11" s="1"/>
  <c r="L29" i="11" s="1"/>
  <c r="G28" i="11"/>
  <c r="J28" i="11" s="1"/>
  <c r="L28" i="11" s="1"/>
  <c r="G27" i="11"/>
  <c r="J27" i="11" s="1"/>
  <c r="L27" i="11" s="1"/>
  <c r="G26" i="11"/>
  <c r="J26" i="11" s="1"/>
  <c r="L26" i="11" s="1"/>
  <c r="G25" i="11"/>
  <c r="J25" i="11" s="1"/>
  <c r="L25" i="11" s="1"/>
  <c r="G24" i="11"/>
  <c r="J24" i="11" s="1"/>
  <c r="L24" i="11" s="1"/>
  <c r="G23" i="11"/>
  <c r="J23" i="11" s="1"/>
  <c r="L23" i="11" s="1"/>
  <c r="G22" i="11"/>
  <c r="J22" i="11" s="1"/>
  <c r="L22" i="11" s="1"/>
  <c r="G21" i="11"/>
  <c r="J21" i="11" s="1"/>
  <c r="L21" i="11" s="1"/>
  <c r="G20" i="11"/>
  <c r="J20" i="11" s="1"/>
  <c r="L20" i="11" s="1"/>
  <c r="G19" i="11"/>
  <c r="J19" i="11" s="1"/>
  <c r="L19" i="11" s="1"/>
  <c r="G18" i="11"/>
  <c r="J18" i="11" s="1"/>
  <c r="L18" i="11" s="1"/>
  <c r="G17" i="11"/>
  <c r="J17" i="11" s="1"/>
  <c r="L17" i="11" s="1"/>
  <c r="G16" i="11"/>
  <c r="J16" i="11" s="1"/>
  <c r="L16" i="11" s="1"/>
  <c r="G15" i="11"/>
  <c r="J15" i="11" s="1"/>
  <c r="L15" i="11" s="1"/>
  <c r="G14" i="11"/>
  <c r="J14" i="11" s="1"/>
  <c r="L14" i="11" s="1"/>
  <c r="G13" i="11"/>
  <c r="J13" i="11" s="1"/>
  <c r="L13" i="11" s="1"/>
  <c r="G12" i="11"/>
  <c r="J12" i="11" s="1"/>
  <c r="L12" i="11" s="1"/>
  <c r="G11" i="11"/>
  <c r="J11" i="11" s="1"/>
  <c r="L11" i="11" s="1"/>
  <c r="G10" i="11"/>
  <c r="J10" i="11" s="1"/>
  <c r="L10" i="11" s="1"/>
  <c r="G9" i="11"/>
  <c r="J9" i="11" s="1"/>
  <c r="L9" i="11" s="1"/>
  <c r="L51" i="11" s="1"/>
  <c r="IX1" i="9"/>
  <c r="DI53" i="6"/>
  <c r="DQ51" i="6"/>
  <c r="DM51" i="6"/>
  <c r="DI51" i="6"/>
  <c r="DP47" i="6"/>
  <c r="DI47" i="6"/>
  <c r="DK51" i="6" s="1"/>
  <c r="DR40" i="6"/>
  <c r="DM40" i="6"/>
  <c r="DM38" i="6"/>
  <c r="DP38" i="6" s="1"/>
  <c r="DR38" i="6" s="1"/>
  <c r="DM37" i="6"/>
  <c r="DP37" i="6" s="1"/>
  <c r="DR37" i="6" s="1"/>
  <c r="DM36" i="6"/>
  <c r="DP36" i="6" s="1"/>
  <c r="DR36" i="6" s="1"/>
  <c r="DM35" i="6"/>
  <c r="DP35" i="6" s="1"/>
  <c r="DR35" i="6" s="1"/>
  <c r="DM34" i="6"/>
  <c r="DP34" i="6" s="1"/>
  <c r="DR34" i="6" s="1"/>
  <c r="DM33" i="6"/>
  <c r="DP33" i="6" s="1"/>
  <c r="DR33" i="6" s="1"/>
  <c r="DM32" i="6"/>
  <c r="DP32" i="6" s="1"/>
  <c r="DR32" i="6" s="1"/>
  <c r="DM31" i="6"/>
  <c r="DP31" i="6" s="1"/>
  <c r="DR31" i="6" s="1"/>
  <c r="DM30" i="6"/>
  <c r="DP30" i="6" s="1"/>
  <c r="DR30" i="6" s="1"/>
  <c r="DM29" i="6"/>
  <c r="DP29" i="6" s="1"/>
  <c r="DR29" i="6" s="1"/>
  <c r="DM28" i="6"/>
  <c r="DP28" i="6" s="1"/>
  <c r="DR28" i="6" s="1"/>
  <c r="DM27" i="6"/>
  <c r="DP27" i="6" s="1"/>
  <c r="DR27" i="6" s="1"/>
  <c r="DM26" i="6"/>
  <c r="DP26" i="6" s="1"/>
  <c r="DR26" i="6" s="1"/>
  <c r="DM25" i="6"/>
  <c r="DP25" i="6" s="1"/>
  <c r="DR25" i="6" s="1"/>
  <c r="DM24" i="6"/>
  <c r="DP24" i="6" s="1"/>
  <c r="DR24" i="6" s="1"/>
  <c r="DM23" i="6"/>
  <c r="DP23" i="6" s="1"/>
  <c r="DR23" i="6" s="1"/>
  <c r="DM22" i="6"/>
  <c r="DP22" i="6" s="1"/>
  <c r="DR22" i="6" s="1"/>
  <c r="DM21" i="6"/>
  <c r="DP21" i="6" s="1"/>
  <c r="DR21" i="6" s="1"/>
  <c r="DM20" i="6"/>
  <c r="DP20" i="6" s="1"/>
  <c r="DR20" i="6" s="1"/>
  <c r="DM19" i="6"/>
  <c r="DP19" i="6" s="1"/>
  <c r="DR19" i="6" s="1"/>
  <c r="DM18" i="6"/>
  <c r="DP18" i="6" s="1"/>
  <c r="DR18" i="6" s="1"/>
  <c r="DM17" i="6"/>
  <c r="DP17" i="6" s="1"/>
  <c r="DR17" i="6" s="1"/>
  <c r="DM16" i="6"/>
  <c r="DP16" i="6" s="1"/>
  <c r="DR16" i="6" s="1"/>
  <c r="DM15" i="6"/>
  <c r="DP15" i="6" s="1"/>
  <c r="DR15" i="6" s="1"/>
  <c r="DM14" i="6"/>
  <c r="DP14" i="6" s="1"/>
  <c r="DR14" i="6" s="1"/>
  <c r="DM13" i="6"/>
  <c r="DP13" i="6" s="1"/>
  <c r="DR13" i="6" s="1"/>
  <c r="DM12" i="6"/>
  <c r="DP12" i="6" s="1"/>
  <c r="DR12" i="6" s="1"/>
  <c r="DM11" i="6"/>
  <c r="DP11" i="6" s="1"/>
  <c r="DR11" i="6" s="1"/>
  <c r="DM10" i="6"/>
  <c r="DP10" i="6" s="1"/>
  <c r="DR10" i="6" s="1"/>
  <c r="DM9" i="6"/>
  <c r="DP9" i="6" s="1"/>
  <c r="DR9" i="6" s="1"/>
  <c r="DR51" i="6" s="1"/>
  <c r="DR5" i="6"/>
  <c r="DI57" i="6" s="1"/>
  <c r="DM57" i="6" s="1"/>
  <c r="CU53" i="6"/>
  <c r="DC51" i="6"/>
  <c r="CY51" i="6"/>
  <c r="CU51" i="6"/>
  <c r="DB47" i="6"/>
  <c r="DD5" i="6" s="1"/>
  <c r="CU57" i="6" s="1"/>
  <c r="CY57" i="6" s="1"/>
  <c r="CU47" i="6"/>
  <c r="CW51" i="6" s="1"/>
  <c r="DD40" i="6"/>
  <c r="CY40" i="6"/>
  <c r="CY38" i="6"/>
  <c r="DB38" i="6" s="1"/>
  <c r="DD38" i="6" s="1"/>
  <c r="CY37" i="6"/>
  <c r="DB37" i="6" s="1"/>
  <c r="DD37" i="6" s="1"/>
  <c r="CY36" i="6"/>
  <c r="DB36" i="6" s="1"/>
  <c r="DD36" i="6" s="1"/>
  <c r="CY35" i="6"/>
  <c r="DB35" i="6" s="1"/>
  <c r="DD35" i="6" s="1"/>
  <c r="CY34" i="6"/>
  <c r="DB34" i="6" s="1"/>
  <c r="DD34" i="6" s="1"/>
  <c r="CY33" i="6"/>
  <c r="DB33" i="6" s="1"/>
  <c r="DD33" i="6" s="1"/>
  <c r="CY32" i="6"/>
  <c r="DB32" i="6" s="1"/>
  <c r="DD32" i="6" s="1"/>
  <c r="CY31" i="6"/>
  <c r="DB31" i="6" s="1"/>
  <c r="DD31" i="6" s="1"/>
  <c r="CY30" i="6"/>
  <c r="DB30" i="6" s="1"/>
  <c r="DD30" i="6" s="1"/>
  <c r="CY29" i="6"/>
  <c r="DB29" i="6" s="1"/>
  <c r="DD29" i="6" s="1"/>
  <c r="CY28" i="6"/>
  <c r="DB28" i="6" s="1"/>
  <c r="DD28" i="6" s="1"/>
  <c r="CY27" i="6"/>
  <c r="DB27" i="6" s="1"/>
  <c r="DD27" i="6" s="1"/>
  <c r="CY26" i="6"/>
  <c r="DB26" i="6" s="1"/>
  <c r="DD26" i="6" s="1"/>
  <c r="CY25" i="6"/>
  <c r="DB25" i="6" s="1"/>
  <c r="DD25" i="6" s="1"/>
  <c r="CY24" i="6"/>
  <c r="DB24" i="6" s="1"/>
  <c r="DD24" i="6" s="1"/>
  <c r="CY23" i="6"/>
  <c r="DB23" i="6" s="1"/>
  <c r="DD23" i="6" s="1"/>
  <c r="CY22" i="6"/>
  <c r="DB22" i="6" s="1"/>
  <c r="DD22" i="6" s="1"/>
  <c r="CY21" i="6"/>
  <c r="DB21" i="6" s="1"/>
  <c r="DD21" i="6" s="1"/>
  <c r="CY20" i="6"/>
  <c r="DB20" i="6" s="1"/>
  <c r="DD20" i="6" s="1"/>
  <c r="CY19" i="6"/>
  <c r="DB19" i="6" s="1"/>
  <c r="DD19" i="6" s="1"/>
  <c r="CY18" i="6"/>
  <c r="DB18" i="6" s="1"/>
  <c r="DD18" i="6" s="1"/>
  <c r="CY17" i="6"/>
  <c r="DB17" i="6" s="1"/>
  <c r="DD17" i="6" s="1"/>
  <c r="CY16" i="6"/>
  <c r="DB16" i="6" s="1"/>
  <c r="DD16" i="6" s="1"/>
  <c r="DB15" i="6"/>
  <c r="DD15" i="6" s="1"/>
  <c r="CY15" i="6"/>
  <c r="CY14" i="6"/>
  <c r="DB14" i="6" s="1"/>
  <c r="DD14" i="6" s="1"/>
  <c r="CY13" i="6"/>
  <c r="DB13" i="6" s="1"/>
  <c r="DD13" i="6" s="1"/>
  <c r="CY12" i="6"/>
  <c r="DB12" i="6" s="1"/>
  <c r="DD12" i="6" s="1"/>
  <c r="CY11" i="6"/>
  <c r="DB11" i="6" s="1"/>
  <c r="DD11" i="6" s="1"/>
  <c r="CY10" i="6"/>
  <c r="DB10" i="6" s="1"/>
  <c r="DD10" i="6" s="1"/>
  <c r="CY9" i="6"/>
  <c r="DB9" i="6" s="1"/>
  <c r="DD9" i="6" s="1"/>
  <c r="DD51" i="6" s="1"/>
  <c r="DB51" i="6" s="1"/>
  <c r="DD47" i="6" s="1"/>
  <c r="DD6" i="6" s="1"/>
  <c r="CU58" i="6" s="1"/>
  <c r="CY58" i="6" s="1"/>
  <c r="CG53" i="6"/>
  <c r="CO51" i="6"/>
  <c r="CK51" i="6"/>
  <c r="CG51" i="6"/>
  <c r="CN47" i="6"/>
  <c r="CP5" i="6" s="1"/>
  <c r="CG57" i="6" s="1"/>
  <c r="CK57" i="6" s="1"/>
  <c r="CG47" i="6"/>
  <c r="CI51" i="6" s="1"/>
  <c r="CP40" i="6"/>
  <c r="CK40" i="6"/>
  <c r="CK38" i="6"/>
  <c r="CN38" i="6" s="1"/>
  <c r="CP38" i="6" s="1"/>
  <c r="CK37" i="6"/>
  <c r="CN37" i="6" s="1"/>
  <c r="CP37" i="6" s="1"/>
  <c r="CK36" i="6"/>
  <c r="CN36" i="6" s="1"/>
  <c r="CP36" i="6" s="1"/>
  <c r="CK35" i="6"/>
  <c r="CN35" i="6" s="1"/>
  <c r="CP35" i="6" s="1"/>
  <c r="CK34" i="6"/>
  <c r="CN34" i="6" s="1"/>
  <c r="CP34" i="6" s="1"/>
  <c r="CK33" i="6"/>
  <c r="CN33" i="6" s="1"/>
  <c r="CP33" i="6" s="1"/>
  <c r="CK32" i="6"/>
  <c r="CN32" i="6" s="1"/>
  <c r="CP32" i="6" s="1"/>
  <c r="CK31" i="6"/>
  <c r="CN31" i="6" s="1"/>
  <c r="CP31" i="6" s="1"/>
  <c r="CK30" i="6"/>
  <c r="CN30" i="6" s="1"/>
  <c r="CP30" i="6" s="1"/>
  <c r="CK29" i="6"/>
  <c r="CN29" i="6" s="1"/>
  <c r="CP29" i="6" s="1"/>
  <c r="CK28" i="6"/>
  <c r="CN28" i="6" s="1"/>
  <c r="CP28" i="6" s="1"/>
  <c r="CK27" i="6"/>
  <c r="CN27" i="6" s="1"/>
  <c r="CP27" i="6" s="1"/>
  <c r="CK26" i="6"/>
  <c r="CN26" i="6" s="1"/>
  <c r="CP26" i="6" s="1"/>
  <c r="CK25" i="6"/>
  <c r="CN25" i="6" s="1"/>
  <c r="CP25" i="6" s="1"/>
  <c r="CK24" i="6"/>
  <c r="CN24" i="6" s="1"/>
  <c r="CP24" i="6" s="1"/>
  <c r="CK23" i="6"/>
  <c r="CN23" i="6" s="1"/>
  <c r="CP23" i="6" s="1"/>
  <c r="CK22" i="6"/>
  <c r="CN22" i="6" s="1"/>
  <c r="CP22" i="6" s="1"/>
  <c r="CK21" i="6"/>
  <c r="CN21" i="6" s="1"/>
  <c r="CP21" i="6" s="1"/>
  <c r="CK20" i="6"/>
  <c r="CN20" i="6" s="1"/>
  <c r="CP20" i="6" s="1"/>
  <c r="CK19" i="6"/>
  <c r="CN19" i="6" s="1"/>
  <c r="CP19" i="6" s="1"/>
  <c r="CK18" i="6"/>
  <c r="CN18" i="6" s="1"/>
  <c r="CP18" i="6" s="1"/>
  <c r="CK17" i="6"/>
  <c r="CN17" i="6" s="1"/>
  <c r="CP17" i="6" s="1"/>
  <c r="CK16" i="6"/>
  <c r="CN16" i="6" s="1"/>
  <c r="CP16" i="6" s="1"/>
  <c r="CK15" i="6"/>
  <c r="CN15" i="6" s="1"/>
  <c r="CP15" i="6" s="1"/>
  <c r="CK14" i="6"/>
  <c r="CN14" i="6" s="1"/>
  <c r="CP14" i="6" s="1"/>
  <c r="CK13" i="6"/>
  <c r="CN13" i="6" s="1"/>
  <c r="CP13" i="6" s="1"/>
  <c r="CK12" i="6"/>
  <c r="CN12" i="6" s="1"/>
  <c r="CP12" i="6" s="1"/>
  <c r="CK11" i="6"/>
  <c r="CN11" i="6" s="1"/>
  <c r="CP11" i="6" s="1"/>
  <c r="CK10" i="6"/>
  <c r="CN10" i="6" s="1"/>
  <c r="CP10" i="6" s="1"/>
  <c r="CK9" i="6"/>
  <c r="CN9" i="6" s="1"/>
  <c r="CP9" i="6" s="1"/>
  <c r="CP51" i="6" s="1"/>
  <c r="BS53" i="6"/>
  <c r="CA51" i="6"/>
  <c r="BW51" i="6"/>
  <c r="BS51" i="6"/>
  <c r="BZ47" i="6"/>
  <c r="CB5" i="6" s="1"/>
  <c r="BS57" i="6" s="1"/>
  <c r="BW57" i="6" s="1"/>
  <c r="BS47" i="6"/>
  <c r="BU51" i="6" s="1"/>
  <c r="CB40" i="6"/>
  <c r="BW40" i="6"/>
  <c r="BW38" i="6"/>
  <c r="BZ38" i="6" s="1"/>
  <c r="CB38" i="6" s="1"/>
  <c r="BW37" i="6"/>
  <c r="BZ37" i="6" s="1"/>
  <c r="CB37" i="6" s="1"/>
  <c r="BW36" i="6"/>
  <c r="BZ36" i="6" s="1"/>
  <c r="CB36" i="6" s="1"/>
  <c r="BZ35" i="6"/>
  <c r="CB35" i="6" s="1"/>
  <c r="BW35" i="6"/>
  <c r="BW34" i="6"/>
  <c r="BZ34" i="6" s="1"/>
  <c r="CB34" i="6" s="1"/>
  <c r="BW33" i="6"/>
  <c r="BZ33" i="6" s="1"/>
  <c r="CB33" i="6" s="1"/>
  <c r="BW32" i="6"/>
  <c r="BZ32" i="6" s="1"/>
  <c r="CB32" i="6" s="1"/>
  <c r="BZ31" i="6"/>
  <c r="CB31" i="6" s="1"/>
  <c r="BW31" i="6"/>
  <c r="BW30" i="6"/>
  <c r="BZ30" i="6" s="1"/>
  <c r="CB30" i="6" s="1"/>
  <c r="BW29" i="6"/>
  <c r="BZ29" i="6" s="1"/>
  <c r="CB29" i="6" s="1"/>
  <c r="BW28" i="6"/>
  <c r="BZ28" i="6" s="1"/>
  <c r="CB28" i="6" s="1"/>
  <c r="BW27" i="6"/>
  <c r="BZ27" i="6" s="1"/>
  <c r="CB27" i="6" s="1"/>
  <c r="BW26" i="6"/>
  <c r="BZ26" i="6" s="1"/>
  <c r="CB26" i="6" s="1"/>
  <c r="BW25" i="6"/>
  <c r="BZ25" i="6" s="1"/>
  <c r="CB25" i="6" s="1"/>
  <c r="BW24" i="6"/>
  <c r="BZ24" i="6" s="1"/>
  <c r="CB24" i="6" s="1"/>
  <c r="BW23" i="6"/>
  <c r="BZ23" i="6" s="1"/>
  <c r="CB23" i="6" s="1"/>
  <c r="BW22" i="6"/>
  <c r="BZ22" i="6" s="1"/>
  <c r="CB22" i="6" s="1"/>
  <c r="BW21" i="6"/>
  <c r="BZ21" i="6" s="1"/>
  <c r="CB21" i="6" s="1"/>
  <c r="BW20" i="6"/>
  <c r="BZ20" i="6" s="1"/>
  <c r="CB20" i="6" s="1"/>
  <c r="BW19" i="6"/>
  <c r="BZ19" i="6" s="1"/>
  <c r="CB19" i="6" s="1"/>
  <c r="BW18" i="6"/>
  <c r="BZ18" i="6" s="1"/>
  <c r="CB18" i="6" s="1"/>
  <c r="BW17" i="6"/>
  <c r="BZ17" i="6" s="1"/>
  <c r="CB17" i="6" s="1"/>
  <c r="BW16" i="6"/>
  <c r="BZ16" i="6" s="1"/>
  <c r="CB16" i="6" s="1"/>
  <c r="BW15" i="6"/>
  <c r="BZ15" i="6" s="1"/>
  <c r="CB15" i="6" s="1"/>
  <c r="BW14" i="6"/>
  <c r="BZ14" i="6" s="1"/>
  <c r="CB14" i="6" s="1"/>
  <c r="BW12" i="6"/>
  <c r="BZ12" i="6" s="1"/>
  <c r="CB12" i="6" s="1"/>
  <c r="BZ11" i="6"/>
  <c r="CB11" i="6" s="1"/>
  <c r="BW11" i="6"/>
  <c r="BW10" i="6"/>
  <c r="BZ10" i="6" s="1"/>
  <c r="CB10" i="6" s="1"/>
  <c r="BW9" i="6"/>
  <c r="BZ9" i="6" s="1"/>
  <c r="CB9" i="6" s="1"/>
  <c r="CB51" i="6" s="1"/>
  <c r="BE53" i="6"/>
  <c r="BM51" i="6"/>
  <c r="BI51" i="6"/>
  <c r="BE51" i="6"/>
  <c r="BL47" i="6"/>
  <c r="BN5" i="6" s="1"/>
  <c r="BE57" i="6" s="1"/>
  <c r="BI57" i="6" s="1"/>
  <c r="BE47" i="6"/>
  <c r="BG51" i="6" s="1"/>
  <c r="BN40" i="6"/>
  <c r="BI40" i="6"/>
  <c r="BL38" i="6"/>
  <c r="BN38" i="6" s="1"/>
  <c r="BI38" i="6"/>
  <c r="BI37" i="6"/>
  <c r="BL37" i="6" s="1"/>
  <c r="BN37" i="6" s="1"/>
  <c r="BI36" i="6"/>
  <c r="BL36" i="6" s="1"/>
  <c r="BN36" i="6" s="1"/>
  <c r="BI35" i="6"/>
  <c r="BL35" i="6" s="1"/>
  <c r="BN35" i="6" s="1"/>
  <c r="BI34" i="6"/>
  <c r="BL34" i="6" s="1"/>
  <c r="BN34" i="6" s="1"/>
  <c r="BI33" i="6"/>
  <c r="BL33" i="6" s="1"/>
  <c r="BN33" i="6" s="1"/>
  <c r="BI32" i="6"/>
  <c r="BL32" i="6" s="1"/>
  <c r="BN32" i="6" s="1"/>
  <c r="BI31" i="6"/>
  <c r="BL31" i="6" s="1"/>
  <c r="BN31" i="6" s="1"/>
  <c r="BI30" i="6"/>
  <c r="BL30" i="6" s="1"/>
  <c r="BN30" i="6" s="1"/>
  <c r="BI29" i="6"/>
  <c r="BL29" i="6" s="1"/>
  <c r="BN29" i="6" s="1"/>
  <c r="BI28" i="6"/>
  <c r="BL28" i="6" s="1"/>
  <c r="BN28" i="6" s="1"/>
  <c r="BI27" i="6"/>
  <c r="BL27" i="6" s="1"/>
  <c r="BN27" i="6" s="1"/>
  <c r="BI26" i="6"/>
  <c r="BL26" i="6" s="1"/>
  <c r="BN26" i="6" s="1"/>
  <c r="BI25" i="6"/>
  <c r="BL25" i="6" s="1"/>
  <c r="BN25" i="6" s="1"/>
  <c r="BI24" i="6"/>
  <c r="BL24" i="6" s="1"/>
  <c r="BN24" i="6" s="1"/>
  <c r="BI23" i="6"/>
  <c r="BL23" i="6" s="1"/>
  <c r="BN23" i="6" s="1"/>
  <c r="BI22" i="6"/>
  <c r="BL22" i="6" s="1"/>
  <c r="BN22" i="6" s="1"/>
  <c r="BI21" i="6"/>
  <c r="BL21" i="6" s="1"/>
  <c r="BN21" i="6" s="1"/>
  <c r="BI20" i="6"/>
  <c r="BL20" i="6" s="1"/>
  <c r="BN20" i="6" s="1"/>
  <c r="BI19" i="6"/>
  <c r="BL19" i="6" s="1"/>
  <c r="BN19" i="6" s="1"/>
  <c r="BI18" i="6"/>
  <c r="BL18" i="6" s="1"/>
  <c r="BN18" i="6" s="1"/>
  <c r="BI17" i="6"/>
  <c r="BL17" i="6" s="1"/>
  <c r="BN17" i="6" s="1"/>
  <c r="BI16" i="6"/>
  <c r="BL16" i="6" s="1"/>
  <c r="BN16" i="6" s="1"/>
  <c r="BL15" i="6"/>
  <c r="BN15" i="6" s="1"/>
  <c r="BI15" i="6"/>
  <c r="BI14" i="6"/>
  <c r="BL14" i="6" s="1"/>
  <c r="BN14" i="6" s="1"/>
  <c r="BI13" i="6"/>
  <c r="BL13" i="6" s="1"/>
  <c r="BN13" i="6" s="1"/>
  <c r="BI12" i="6"/>
  <c r="BL12" i="6" s="1"/>
  <c r="BN12" i="6" s="1"/>
  <c r="BI11" i="6"/>
  <c r="BL11" i="6" s="1"/>
  <c r="BN11" i="6" s="1"/>
  <c r="BI10" i="6"/>
  <c r="BL10" i="6" s="1"/>
  <c r="BN10" i="6" s="1"/>
  <c r="BI9" i="6"/>
  <c r="BL9" i="6" s="1"/>
  <c r="BN9" i="6" s="1"/>
  <c r="BN51" i="6" s="1"/>
  <c r="BL51" i="6" s="1"/>
  <c r="BN47" i="6" s="1"/>
  <c r="BN6" i="6" s="1"/>
  <c r="BE58" i="6" s="1"/>
  <c r="BI58" i="6" s="1"/>
  <c r="AR53" i="6"/>
  <c r="AZ51" i="6"/>
  <c r="AV51" i="6"/>
  <c r="AR51" i="6"/>
  <c r="AY47" i="6"/>
  <c r="BA5" i="6" s="1"/>
  <c r="AR57" i="6" s="1"/>
  <c r="AV57" i="6" s="1"/>
  <c r="AR47" i="6"/>
  <c r="AT51" i="6" s="1"/>
  <c r="BA40" i="6"/>
  <c r="AV40" i="6"/>
  <c r="AV38" i="6"/>
  <c r="AY38" i="6" s="1"/>
  <c r="BA38" i="6" s="1"/>
  <c r="AV37" i="6"/>
  <c r="AY37" i="6" s="1"/>
  <c r="BA37" i="6" s="1"/>
  <c r="AV36" i="6"/>
  <c r="AY36" i="6" s="1"/>
  <c r="BA36" i="6" s="1"/>
  <c r="AV35" i="6"/>
  <c r="AY35" i="6" s="1"/>
  <c r="BA35" i="6" s="1"/>
  <c r="AV34" i="6"/>
  <c r="AY34" i="6" s="1"/>
  <c r="BA34" i="6" s="1"/>
  <c r="AV33" i="6"/>
  <c r="AY33" i="6" s="1"/>
  <c r="BA33" i="6" s="1"/>
  <c r="AV32" i="6"/>
  <c r="AY32" i="6" s="1"/>
  <c r="BA32" i="6" s="1"/>
  <c r="AV31" i="6"/>
  <c r="AY31" i="6" s="1"/>
  <c r="BA31" i="6" s="1"/>
  <c r="AV30" i="6"/>
  <c r="AY30" i="6" s="1"/>
  <c r="BA30" i="6" s="1"/>
  <c r="AV29" i="6"/>
  <c r="AY29" i="6" s="1"/>
  <c r="BA29" i="6" s="1"/>
  <c r="AV28" i="6"/>
  <c r="AY28" i="6" s="1"/>
  <c r="BA28" i="6" s="1"/>
  <c r="AV27" i="6"/>
  <c r="AY27" i="6" s="1"/>
  <c r="BA27" i="6" s="1"/>
  <c r="AV26" i="6"/>
  <c r="AY26" i="6" s="1"/>
  <c r="BA26" i="6" s="1"/>
  <c r="AV25" i="6"/>
  <c r="AY25" i="6" s="1"/>
  <c r="BA25" i="6" s="1"/>
  <c r="AV24" i="6"/>
  <c r="AY24" i="6" s="1"/>
  <c r="BA24" i="6" s="1"/>
  <c r="AV23" i="6"/>
  <c r="AY23" i="6" s="1"/>
  <c r="BA23" i="6" s="1"/>
  <c r="AV22" i="6"/>
  <c r="AY22" i="6" s="1"/>
  <c r="BA22" i="6" s="1"/>
  <c r="AV21" i="6"/>
  <c r="AY21" i="6" s="1"/>
  <c r="BA21" i="6" s="1"/>
  <c r="AV20" i="6"/>
  <c r="AY20" i="6" s="1"/>
  <c r="BA20" i="6" s="1"/>
  <c r="AV19" i="6"/>
  <c r="AY19" i="6" s="1"/>
  <c r="BA19" i="6" s="1"/>
  <c r="AV18" i="6"/>
  <c r="AY18" i="6" s="1"/>
  <c r="BA18" i="6" s="1"/>
  <c r="AV17" i="6"/>
  <c r="AY17" i="6" s="1"/>
  <c r="BA17" i="6" s="1"/>
  <c r="AV16" i="6"/>
  <c r="AY16" i="6" s="1"/>
  <c r="BA16" i="6" s="1"/>
  <c r="AV15" i="6"/>
  <c r="AY15" i="6" s="1"/>
  <c r="BA15" i="6" s="1"/>
  <c r="AV14" i="6"/>
  <c r="AY14" i="6" s="1"/>
  <c r="BA14" i="6" s="1"/>
  <c r="AY13" i="6"/>
  <c r="BA13" i="6" s="1"/>
  <c r="AV13" i="6"/>
  <c r="AV12" i="6"/>
  <c r="AY12" i="6" s="1"/>
  <c r="BA12" i="6" s="1"/>
  <c r="AV11" i="6"/>
  <c r="AY11" i="6" s="1"/>
  <c r="BA11" i="6" s="1"/>
  <c r="AV10" i="6"/>
  <c r="AY10" i="6" s="1"/>
  <c r="BA10" i="6" s="1"/>
  <c r="AV9" i="6"/>
  <c r="AY9" i="6" s="1"/>
  <c r="BA9" i="6" s="1"/>
  <c r="BA51" i="6" s="1"/>
  <c r="AR5" i="6"/>
  <c r="AR54" i="6" s="1"/>
  <c r="AV54" i="6" s="1"/>
  <c r="AD53" i="6"/>
  <c r="AL51" i="6"/>
  <c r="AH51" i="6"/>
  <c r="AD51" i="6"/>
  <c r="AK47" i="6"/>
  <c r="AM5" i="6" s="1"/>
  <c r="AD57" i="6" s="1"/>
  <c r="AH57" i="6" s="1"/>
  <c r="AD47" i="6"/>
  <c r="AF51" i="6" s="1"/>
  <c r="AM40" i="6"/>
  <c r="AH40" i="6"/>
  <c r="AH38" i="6"/>
  <c r="AK38" i="6" s="1"/>
  <c r="AM38" i="6" s="1"/>
  <c r="AH37" i="6"/>
  <c r="AK37" i="6" s="1"/>
  <c r="AM37" i="6" s="1"/>
  <c r="AH36" i="6"/>
  <c r="AK36" i="6" s="1"/>
  <c r="AM36" i="6" s="1"/>
  <c r="AH35" i="6"/>
  <c r="AK35" i="6" s="1"/>
  <c r="AM35" i="6" s="1"/>
  <c r="AH34" i="6"/>
  <c r="AK34" i="6" s="1"/>
  <c r="AM34" i="6" s="1"/>
  <c r="AH33" i="6"/>
  <c r="AK33" i="6" s="1"/>
  <c r="AM33" i="6" s="1"/>
  <c r="AH32" i="6"/>
  <c r="AK32" i="6" s="1"/>
  <c r="AM32" i="6" s="1"/>
  <c r="AH31" i="6"/>
  <c r="AK31" i="6" s="1"/>
  <c r="AM31" i="6" s="1"/>
  <c r="AH30" i="6"/>
  <c r="AK30" i="6" s="1"/>
  <c r="AM30" i="6" s="1"/>
  <c r="AH29" i="6"/>
  <c r="AK29" i="6" s="1"/>
  <c r="AM29" i="6" s="1"/>
  <c r="AH28" i="6"/>
  <c r="AK28" i="6" s="1"/>
  <c r="AM28" i="6" s="1"/>
  <c r="AH27" i="6"/>
  <c r="AK27" i="6" s="1"/>
  <c r="AM27" i="6" s="1"/>
  <c r="AH26" i="6"/>
  <c r="AK26" i="6" s="1"/>
  <c r="AM26" i="6" s="1"/>
  <c r="AH25" i="6"/>
  <c r="AK25" i="6" s="1"/>
  <c r="AM25" i="6" s="1"/>
  <c r="AH24" i="6"/>
  <c r="AK24" i="6" s="1"/>
  <c r="AM24" i="6" s="1"/>
  <c r="AH23" i="6"/>
  <c r="AK23" i="6" s="1"/>
  <c r="AM23" i="6" s="1"/>
  <c r="AH22" i="6"/>
  <c r="AK22" i="6" s="1"/>
  <c r="AM22" i="6" s="1"/>
  <c r="AH21" i="6"/>
  <c r="AK21" i="6" s="1"/>
  <c r="AM21" i="6" s="1"/>
  <c r="AH20" i="6"/>
  <c r="AK20" i="6" s="1"/>
  <c r="AM20" i="6" s="1"/>
  <c r="AH19" i="6"/>
  <c r="AK19" i="6" s="1"/>
  <c r="AM19" i="6" s="1"/>
  <c r="AH18" i="6"/>
  <c r="AK18" i="6" s="1"/>
  <c r="AM18" i="6" s="1"/>
  <c r="AH17" i="6"/>
  <c r="AK17" i="6" s="1"/>
  <c r="AM17" i="6" s="1"/>
  <c r="AH16" i="6"/>
  <c r="AK16" i="6" s="1"/>
  <c r="AM16" i="6" s="1"/>
  <c r="AH15" i="6"/>
  <c r="AK15" i="6" s="1"/>
  <c r="AM15" i="6" s="1"/>
  <c r="AH14" i="6"/>
  <c r="AK14" i="6" s="1"/>
  <c r="AM14" i="6" s="1"/>
  <c r="AH13" i="6"/>
  <c r="AK13" i="6" s="1"/>
  <c r="AM13" i="6" s="1"/>
  <c r="AH12" i="6"/>
  <c r="AK12" i="6" s="1"/>
  <c r="AM12" i="6" s="1"/>
  <c r="AH11" i="6"/>
  <c r="AK11" i="6" s="1"/>
  <c r="AM11" i="6" s="1"/>
  <c r="AH10" i="6"/>
  <c r="AK10" i="6" s="1"/>
  <c r="AM10" i="6" s="1"/>
  <c r="AH9" i="6"/>
  <c r="AK9" i="6" s="1"/>
  <c r="AM9" i="6" s="1"/>
  <c r="AM51" i="6" s="1"/>
  <c r="AK51" i="6" s="1"/>
  <c r="AM47" i="6" s="1"/>
  <c r="AM6" i="6" s="1"/>
  <c r="AD58" i="6" s="1"/>
  <c r="AH58" i="6" s="1"/>
  <c r="Q53" i="6"/>
  <c r="Y51" i="6"/>
  <c r="U51" i="6"/>
  <c r="Q51" i="6"/>
  <c r="X47" i="6"/>
  <c r="Q47" i="6"/>
  <c r="S51" i="6" s="1"/>
  <c r="Z40" i="6"/>
  <c r="U40" i="6"/>
  <c r="U38" i="6"/>
  <c r="X38" i="6" s="1"/>
  <c r="Z38" i="6" s="1"/>
  <c r="U37" i="6"/>
  <c r="X37" i="6" s="1"/>
  <c r="Z37" i="6" s="1"/>
  <c r="U36" i="6"/>
  <c r="X36" i="6" s="1"/>
  <c r="Z36" i="6" s="1"/>
  <c r="U35" i="6"/>
  <c r="X35" i="6" s="1"/>
  <c r="Z35" i="6" s="1"/>
  <c r="U34" i="6"/>
  <c r="X34" i="6" s="1"/>
  <c r="Z34" i="6" s="1"/>
  <c r="U33" i="6"/>
  <c r="X33" i="6" s="1"/>
  <c r="Z33" i="6" s="1"/>
  <c r="U32" i="6"/>
  <c r="X32" i="6" s="1"/>
  <c r="Z32" i="6" s="1"/>
  <c r="U31" i="6"/>
  <c r="X31" i="6" s="1"/>
  <c r="Z31" i="6" s="1"/>
  <c r="U30" i="6"/>
  <c r="X30" i="6" s="1"/>
  <c r="Z30" i="6" s="1"/>
  <c r="U29" i="6"/>
  <c r="X29" i="6" s="1"/>
  <c r="Z29" i="6" s="1"/>
  <c r="U28" i="6"/>
  <c r="X28" i="6" s="1"/>
  <c r="Z28" i="6" s="1"/>
  <c r="U27" i="6"/>
  <c r="X27" i="6" s="1"/>
  <c r="Z27" i="6" s="1"/>
  <c r="U26" i="6"/>
  <c r="X26" i="6" s="1"/>
  <c r="Z26" i="6" s="1"/>
  <c r="U25" i="6"/>
  <c r="X25" i="6" s="1"/>
  <c r="Z25" i="6" s="1"/>
  <c r="U24" i="6"/>
  <c r="X24" i="6" s="1"/>
  <c r="Z24" i="6" s="1"/>
  <c r="U23" i="6"/>
  <c r="X23" i="6" s="1"/>
  <c r="Z23" i="6" s="1"/>
  <c r="X22" i="6"/>
  <c r="Z22" i="6" s="1"/>
  <c r="U22" i="6"/>
  <c r="U21" i="6"/>
  <c r="X21" i="6" s="1"/>
  <c r="Z21" i="6" s="1"/>
  <c r="U20" i="6"/>
  <c r="X20" i="6" s="1"/>
  <c r="Z20" i="6" s="1"/>
  <c r="U19" i="6"/>
  <c r="X19" i="6" s="1"/>
  <c r="Z19" i="6" s="1"/>
  <c r="U18" i="6"/>
  <c r="X18" i="6" s="1"/>
  <c r="Z18" i="6" s="1"/>
  <c r="U17" i="6"/>
  <c r="X17" i="6" s="1"/>
  <c r="Z17" i="6" s="1"/>
  <c r="U16" i="6"/>
  <c r="X16" i="6" s="1"/>
  <c r="Z16" i="6" s="1"/>
  <c r="X15" i="6"/>
  <c r="Z15" i="6" s="1"/>
  <c r="U15" i="6"/>
  <c r="U14" i="6"/>
  <c r="X14" i="6" s="1"/>
  <c r="Z14" i="6" s="1"/>
  <c r="X13" i="6"/>
  <c r="Z13" i="6" s="1"/>
  <c r="U13" i="6"/>
  <c r="U12" i="6"/>
  <c r="X12" i="6" s="1"/>
  <c r="Z12" i="6" s="1"/>
  <c r="U11" i="6"/>
  <c r="X11" i="6" s="1"/>
  <c r="Z11" i="6" s="1"/>
  <c r="U10" i="6"/>
  <c r="X10" i="6" s="1"/>
  <c r="Z10" i="6" s="1"/>
  <c r="U9" i="6"/>
  <c r="X9" i="6" s="1"/>
  <c r="Z9" i="6" s="1"/>
  <c r="Z51" i="6" s="1"/>
  <c r="Z5" i="6"/>
  <c r="Q57" i="6" s="1"/>
  <c r="U57" i="6" s="1"/>
  <c r="C53" i="6"/>
  <c r="K51" i="6"/>
  <c r="G51" i="6"/>
  <c r="C51" i="6"/>
  <c r="J47" i="6"/>
  <c r="C47" i="6"/>
  <c r="E51" i="6" s="1"/>
  <c r="L40" i="6"/>
  <c r="G40" i="6"/>
  <c r="G38" i="6"/>
  <c r="J38" i="6" s="1"/>
  <c r="L38" i="6" s="1"/>
  <c r="G37" i="6"/>
  <c r="J37" i="6" s="1"/>
  <c r="L37" i="6" s="1"/>
  <c r="G36" i="6"/>
  <c r="J36" i="6" s="1"/>
  <c r="L36" i="6" s="1"/>
  <c r="G35" i="6"/>
  <c r="J35" i="6" s="1"/>
  <c r="L35" i="6" s="1"/>
  <c r="G34" i="6"/>
  <c r="J34" i="6" s="1"/>
  <c r="L34" i="6" s="1"/>
  <c r="G33" i="6"/>
  <c r="J33" i="6" s="1"/>
  <c r="L33" i="6" s="1"/>
  <c r="G32" i="6"/>
  <c r="J32" i="6" s="1"/>
  <c r="L32" i="6" s="1"/>
  <c r="G31" i="6"/>
  <c r="J31" i="6" s="1"/>
  <c r="L31" i="6" s="1"/>
  <c r="G30" i="6"/>
  <c r="J30" i="6" s="1"/>
  <c r="L30" i="6" s="1"/>
  <c r="G29" i="6"/>
  <c r="J29" i="6" s="1"/>
  <c r="L29" i="6" s="1"/>
  <c r="G28" i="6"/>
  <c r="J28" i="6" s="1"/>
  <c r="L28" i="6" s="1"/>
  <c r="G27" i="6"/>
  <c r="J27" i="6" s="1"/>
  <c r="L27" i="6" s="1"/>
  <c r="G26" i="6"/>
  <c r="J26" i="6" s="1"/>
  <c r="L26" i="6" s="1"/>
  <c r="G25" i="6"/>
  <c r="J25" i="6" s="1"/>
  <c r="L25" i="6" s="1"/>
  <c r="G24" i="6"/>
  <c r="J24" i="6" s="1"/>
  <c r="L24" i="6" s="1"/>
  <c r="G23" i="6"/>
  <c r="J23" i="6" s="1"/>
  <c r="L23" i="6" s="1"/>
  <c r="G22" i="6"/>
  <c r="J22" i="6" s="1"/>
  <c r="L22" i="6" s="1"/>
  <c r="G21" i="6"/>
  <c r="J21" i="6" s="1"/>
  <c r="L21" i="6" s="1"/>
  <c r="G20" i="6"/>
  <c r="J20" i="6" s="1"/>
  <c r="L20" i="6" s="1"/>
  <c r="J19" i="6"/>
  <c r="L19" i="6" s="1"/>
  <c r="G19" i="6"/>
  <c r="G18" i="6"/>
  <c r="J18" i="6" s="1"/>
  <c r="L18" i="6" s="1"/>
  <c r="G17" i="6"/>
  <c r="J17" i="6" s="1"/>
  <c r="L17" i="6" s="1"/>
  <c r="G16" i="6"/>
  <c r="J16" i="6" s="1"/>
  <c r="L16" i="6" s="1"/>
  <c r="G15" i="6"/>
  <c r="J15" i="6" s="1"/>
  <c r="L15" i="6" s="1"/>
  <c r="G14" i="6"/>
  <c r="J14" i="6" s="1"/>
  <c r="L14" i="6" s="1"/>
  <c r="G13" i="6"/>
  <c r="J13" i="6" s="1"/>
  <c r="L13" i="6" s="1"/>
  <c r="G12" i="6"/>
  <c r="J12" i="6" s="1"/>
  <c r="L12" i="6" s="1"/>
  <c r="G11" i="6"/>
  <c r="J11" i="6" s="1"/>
  <c r="L11" i="6" s="1"/>
  <c r="G10" i="6"/>
  <c r="J10" i="6" s="1"/>
  <c r="L10" i="6" s="1"/>
  <c r="G9" i="6"/>
  <c r="J9" i="6" s="1"/>
  <c r="L9" i="6" s="1"/>
  <c r="L51" i="6" s="1"/>
  <c r="L5" i="6"/>
  <c r="C57" i="6" s="1"/>
  <c r="G57" i="6" s="1"/>
  <c r="AR53" i="7"/>
  <c r="AZ51" i="7"/>
  <c r="AV51" i="7"/>
  <c r="AR51" i="7"/>
  <c r="AY47" i="7"/>
  <c r="AR47" i="7"/>
  <c r="AT51" i="7" s="1"/>
  <c r="BA40" i="7"/>
  <c r="AV40" i="7"/>
  <c r="AY38" i="7"/>
  <c r="BA38" i="7" s="1"/>
  <c r="AV38" i="7"/>
  <c r="AV37" i="7"/>
  <c r="AY37" i="7" s="1"/>
  <c r="BA37" i="7" s="1"/>
  <c r="AV36" i="7"/>
  <c r="AY36" i="7" s="1"/>
  <c r="BA36" i="7" s="1"/>
  <c r="BA35" i="7"/>
  <c r="AY35" i="7"/>
  <c r="AV35" i="7"/>
  <c r="AV34" i="7"/>
  <c r="AY34" i="7" s="1"/>
  <c r="BA34" i="7" s="1"/>
  <c r="AV33" i="7"/>
  <c r="AY33" i="7" s="1"/>
  <c r="BA33" i="7" s="1"/>
  <c r="AV32" i="7"/>
  <c r="AY32" i="7" s="1"/>
  <c r="BA32" i="7" s="1"/>
  <c r="AY31" i="7"/>
  <c r="BA31" i="7" s="1"/>
  <c r="AV31" i="7"/>
  <c r="AY30" i="7"/>
  <c r="BA30" i="7" s="1"/>
  <c r="AV30" i="7"/>
  <c r="AV29" i="7"/>
  <c r="AY29" i="7" s="1"/>
  <c r="BA29" i="7" s="1"/>
  <c r="AV28" i="7"/>
  <c r="AY28" i="7" s="1"/>
  <c r="BA28" i="7" s="1"/>
  <c r="BA27" i="7"/>
  <c r="AY27" i="7"/>
  <c r="AV27" i="7"/>
  <c r="AV26" i="7"/>
  <c r="AY26" i="7" s="1"/>
  <c r="BA26" i="7" s="1"/>
  <c r="AV25" i="7"/>
  <c r="AY25" i="7" s="1"/>
  <c r="BA25" i="7" s="1"/>
  <c r="AV24" i="7"/>
  <c r="AY24" i="7" s="1"/>
  <c r="BA24" i="7" s="1"/>
  <c r="AY23" i="7"/>
  <c r="BA23" i="7" s="1"/>
  <c r="AV23" i="7"/>
  <c r="AY22" i="7"/>
  <c r="BA22" i="7" s="1"/>
  <c r="AV22" i="7"/>
  <c r="AY21" i="7"/>
  <c r="BA21" i="7" s="1"/>
  <c r="AV21" i="7"/>
  <c r="AV20" i="7"/>
  <c r="AY20" i="7" s="1"/>
  <c r="BA20" i="7" s="1"/>
  <c r="BA19" i="7"/>
  <c r="AY19" i="7"/>
  <c r="AV19" i="7"/>
  <c r="AV18" i="7"/>
  <c r="AY18" i="7" s="1"/>
  <c r="BA18" i="7" s="1"/>
  <c r="AV17" i="7"/>
  <c r="AY17" i="7" s="1"/>
  <c r="BA17" i="7" s="1"/>
  <c r="AV16" i="7"/>
  <c r="AY16" i="7" s="1"/>
  <c r="BA16" i="7" s="1"/>
  <c r="AY15" i="7"/>
  <c r="BA15" i="7" s="1"/>
  <c r="AV15" i="7"/>
  <c r="AY14" i="7"/>
  <c r="BA14" i="7" s="1"/>
  <c r="AV14" i="7"/>
  <c r="AY13" i="7"/>
  <c r="BA13" i="7" s="1"/>
  <c r="AV13" i="7"/>
  <c r="AV12" i="7"/>
  <c r="AY12" i="7" s="1"/>
  <c r="BA12" i="7" s="1"/>
  <c r="BA11" i="7"/>
  <c r="AY11" i="7"/>
  <c r="AV11" i="7"/>
  <c r="AV10" i="7"/>
  <c r="AY10" i="7" s="1"/>
  <c r="BA10" i="7" s="1"/>
  <c r="AV9" i="7"/>
  <c r="AY9" i="7" s="1"/>
  <c r="BA9" i="7" s="1"/>
  <c r="BA51" i="7" s="1"/>
  <c r="AY51" i="7" s="1"/>
  <c r="BA47" i="7" s="1"/>
  <c r="BA6" i="7" s="1"/>
  <c r="AR58" i="7" s="1"/>
  <c r="AV58" i="7" s="1"/>
  <c r="BA5" i="7"/>
  <c r="AR57" i="7" s="1"/>
  <c r="AV57" i="7" s="1"/>
  <c r="AR5" i="7"/>
  <c r="AR54" i="7" s="1"/>
  <c r="AV54" i="7" s="1"/>
  <c r="AD53" i="7"/>
  <c r="AL51" i="7"/>
  <c r="AH51" i="7"/>
  <c r="AD51" i="7"/>
  <c r="AK47" i="7"/>
  <c r="AM5" i="7" s="1"/>
  <c r="AD57" i="7" s="1"/>
  <c r="AH57" i="7" s="1"/>
  <c r="AD47" i="7"/>
  <c r="AF51" i="7" s="1"/>
  <c r="AM40" i="7"/>
  <c r="AH40" i="7"/>
  <c r="AH38" i="7"/>
  <c r="AK38" i="7" s="1"/>
  <c r="AM38" i="7" s="1"/>
  <c r="AH37" i="7"/>
  <c r="AK37" i="7" s="1"/>
  <c r="AM37" i="7" s="1"/>
  <c r="AH36" i="7"/>
  <c r="AK36" i="7" s="1"/>
  <c r="AM36" i="7" s="1"/>
  <c r="AK35" i="7"/>
  <c r="AM35" i="7" s="1"/>
  <c r="AH35" i="7"/>
  <c r="AH34" i="7"/>
  <c r="AK34" i="7" s="1"/>
  <c r="AM34" i="7" s="1"/>
  <c r="AK33" i="7"/>
  <c r="AM33" i="7" s="1"/>
  <c r="AH33" i="7"/>
  <c r="AM32" i="7"/>
  <c r="AK32" i="7"/>
  <c r="AH32" i="7"/>
  <c r="AK31" i="7"/>
  <c r="AM31" i="7" s="1"/>
  <c r="AH31" i="7"/>
  <c r="AH30" i="7"/>
  <c r="AK30" i="7" s="1"/>
  <c r="AM30" i="7" s="1"/>
  <c r="AH29" i="7"/>
  <c r="AK29" i="7" s="1"/>
  <c r="AM29" i="7" s="1"/>
  <c r="AH28" i="7"/>
  <c r="AK28" i="7" s="1"/>
  <c r="AM28" i="7" s="1"/>
  <c r="AK27" i="7"/>
  <c r="AM27" i="7" s="1"/>
  <c r="AH27" i="7"/>
  <c r="AH26" i="7"/>
  <c r="AK26" i="7" s="1"/>
  <c r="AM26" i="7" s="1"/>
  <c r="AK25" i="7"/>
  <c r="AM25" i="7" s="1"/>
  <c r="AH25" i="7"/>
  <c r="AM24" i="7"/>
  <c r="AK24" i="7"/>
  <c r="AH24" i="7"/>
  <c r="AK23" i="7"/>
  <c r="AM23" i="7" s="1"/>
  <c r="AH23" i="7"/>
  <c r="AH22" i="7"/>
  <c r="AK22" i="7" s="1"/>
  <c r="AM22" i="7" s="1"/>
  <c r="AH21" i="7"/>
  <c r="AK21" i="7" s="1"/>
  <c r="AM21" i="7" s="1"/>
  <c r="AH20" i="7"/>
  <c r="AK20" i="7" s="1"/>
  <c r="AM20" i="7" s="1"/>
  <c r="AK19" i="7"/>
  <c r="AM19" i="7" s="1"/>
  <c r="AH19" i="7"/>
  <c r="AH18" i="7"/>
  <c r="AK18" i="7" s="1"/>
  <c r="AM18" i="7" s="1"/>
  <c r="AK17" i="7"/>
  <c r="AM17" i="7" s="1"/>
  <c r="AH17" i="7"/>
  <c r="AM16" i="7"/>
  <c r="AK16" i="7"/>
  <c r="AH16" i="7"/>
  <c r="AK15" i="7"/>
  <c r="AM15" i="7" s="1"/>
  <c r="AH15" i="7"/>
  <c r="AH14" i="7"/>
  <c r="AK14" i="7" s="1"/>
  <c r="AM14" i="7" s="1"/>
  <c r="AH13" i="7"/>
  <c r="AK13" i="7" s="1"/>
  <c r="AM13" i="7" s="1"/>
  <c r="AH12" i="7"/>
  <c r="AK12" i="7" s="1"/>
  <c r="AM12" i="7" s="1"/>
  <c r="AK11" i="7"/>
  <c r="AM11" i="7" s="1"/>
  <c r="AH11" i="7"/>
  <c r="AH10" i="7"/>
  <c r="AK10" i="7" s="1"/>
  <c r="AM10" i="7" s="1"/>
  <c r="AK9" i="7"/>
  <c r="AM9" i="7" s="1"/>
  <c r="AM51" i="7" s="1"/>
  <c r="AH9" i="7"/>
  <c r="AD5" i="7"/>
  <c r="AD54" i="7" s="1"/>
  <c r="AH54" i="7" s="1"/>
  <c r="Q53" i="7"/>
  <c r="Y51" i="7"/>
  <c r="U51" i="7"/>
  <c r="Q51" i="7"/>
  <c r="X47" i="7"/>
  <c r="Z5" i="7" s="1"/>
  <c r="Q57" i="7" s="1"/>
  <c r="U57" i="7" s="1"/>
  <c r="Q47" i="7"/>
  <c r="S51" i="7" s="1"/>
  <c r="Z40" i="7"/>
  <c r="U40" i="7"/>
  <c r="X38" i="7"/>
  <c r="Z38" i="7" s="1"/>
  <c r="U38" i="7"/>
  <c r="U37" i="7"/>
  <c r="X37" i="7" s="1"/>
  <c r="Z37" i="7" s="1"/>
  <c r="Z36" i="7"/>
  <c r="X36" i="7"/>
  <c r="U36" i="7"/>
  <c r="U35" i="7"/>
  <c r="X35" i="7" s="1"/>
  <c r="Z35" i="7" s="1"/>
  <c r="U34" i="7"/>
  <c r="X34" i="7" s="1"/>
  <c r="Z34" i="7" s="1"/>
  <c r="U33" i="7"/>
  <c r="X33" i="7" s="1"/>
  <c r="Z33" i="7" s="1"/>
  <c r="X32" i="7"/>
  <c r="Z32" i="7" s="1"/>
  <c r="U32" i="7"/>
  <c r="X31" i="7"/>
  <c r="Z31" i="7" s="1"/>
  <c r="U31" i="7"/>
  <c r="X30" i="7"/>
  <c r="Z30" i="7" s="1"/>
  <c r="U30" i="7"/>
  <c r="U29" i="7"/>
  <c r="X29" i="7" s="1"/>
  <c r="Z29" i="7" s="1"/>
  <c r="Z28" i="7"/>
  <c r="X28" i="7"/>
  <c r="U28" i="7"/>
  <c r="U27" i="7"/>
  <c r="X27" i="7" s="1"/>
  <c r="Z27" i="7" s="1"/>
  <c r="U26" i="7"/>
  <c r="X26" i="7" s="1"/>
  <c r="Z26" i="7" s="1"/>
  <c r="U25" i="7"/>
  <c r="X25" i="7" s="1"/>
  <c r="Z25" i="7" s="1"/>
  <c r="X24" i="7"/>
  <c r="Z24" i="7" s="1"/>
  <c r="U24" i="7"/>
  <c r="X23" i="7"/>
  <c r="Z23" i="7" s="1"/>
  <c r="U23" i="7"/>
  <c r="X22" i="7"/>
  <c r="Z22" i="7" s="1"/>
  <c r="U22" i="7"/>
  <c r="U21" i="7"/>
  <c r="X21" i="7" s="1"/>
  <c r="Z21" i="7" s="1"/>
  <c r="Z20" i="7"/>
  <c r="X20" i="7"/>
  <c r="U20" i="7"/>
  <c r="U19" i="7"/>
  <c r="X19" i="7" s="1"/>
  <c r="Z19" i="7" s="1"/>
  <c r="U18" i="7"/>
  <c r="X18" i="7" s="1"/>
  <c r="Z18" i="7" s="1"/>
  <c r="U17" i="7"/>
  <c r="X17" i="7" s="1"/>
  <c r="Z17" i="7" s="1"/>
  <c r="X16" i="7"/>
  <c r="Z16" i="7" s="1"/>
  <c r="U16" i="7"/>
  <c r="X15" i="7"/>
  <c r="Z15" i="7" s="1"/>
  <c r="U15" i="7"/>
  <c r="X14" i="7"/>
  <c r="Z14" i="7" s="1"/>
  <c r="V51" i="7" s="1"/>
  <c r="U14" i="7"/>
  <c r="U13" i="7"/>
  <c r="X13" i="7" s="1"/>
  <c r="Z13" i="7" s="1"/>
  <c r="Z12" i="7"/>
  <c r="X12" i="7"/>
  <c r="U12" i="7"/>
  <c r="U11" i="7"/>
  <c r="X11" i="7" s="1"/>
  <c r="Z11" i="7" s="1"/>
  <c r="U10" i="7"/>
  <c r="X10" i="7" s="1"/>
  <c r="Z10" i="7" s="1"/>
  <c r="U9" i="7"/>
  <c r="X9" i="7" s="1"/>
  <c r="Z9" i="7" s="1"/>
  <c r="Z51" i="7" s="1"/>
  <c r="X51" i="7" s="1"/>
  <c r="Z47" i="7" s="1"/>
  <c r="Z6" i="7" s="1"/>
  <c r="Q58" i="7" s="1"/>
  <c r="U58" i="7" s="1"/>
  <c r="Q5" i="7"/>
  <c r="Q54" i="7" s="1"/>
  <c r="U54" i="7" s="1"/>
  <c r="C53" i="7"/>
  <c r="K51" i="7"/>
  <c r="G51" i="7"/>
  <c r="C51" i="7"/>
  <c r="J47" i="7"/>
  <c r="L5" i="7" s="1"/>
  <c r="C57" i="7" s="1"/>
  <c r="G57" i="7" s="1"/>
  <c r="C47" i="7"/>
  <c r="E51" i="7" s="1"/>
  <c r="L40" i="7"/>
  <c r="G40" i="7"/>
  <c r="G38" i="7"/>
  <c r="J38" i="7" s="1"/>
  <c r="L38" i="7" s="1"/>
  <c r="G37" i="7"/>
  <c r="J37" i="7" s="1"/>
  <c r="L37" i="7" s="1"/>
  <c r="G36" i="7"/>
  <c r="J36" i="7" s="1"/>
  <c r="L36" i="7" s="1"/>
  <c r="L35" i="7"/>
  <c r="J35" i="7"/>
  <c r="G35" i="7"/>
  <c r="G34" i="7"/>
  <c r="J34" i="7" s="1"/>
  <c r="L34" i="7" s="1"/>
  <c r="G33" i="7"/>
  <c r="J33" i="7" s="1"/>
  <c r="L33" i="7" s="1"/>
  <c r="G32" i="7"/>
  <c r="J32" i="7" s="1"/>
  <c r="L32" i="7" s="1"/>
  <c r="G31" i="7"/>
  <c r="J31" i="7" s="1"/>
  <c r="L31" i="7" s="1"/>
  <c r="G30" i="7"/>
  <c r="J30" i="7" s="1"/>
  <c r="L30" i="7" s="1"/>
  <c r="G29" i="7"/>
  <c r="J29" i="7" s="1"/>
  <c r="L29" i="7" s="1"/>
  <c r="G28" i="7"/>
  <c r="J28" i="7" s="1"/>
  <c r="L28" i="7" s="1"/>
  <c r="G27" i="7"/>
  <c r="J27" i="7" s="1"/>
  <c r="L27" i="7" s="1"/>
  <c r="G26" i="7"/>
  <c r="J26" i="7" s="1"/>
  <c r="L26" i="7" s="1"/>
  <c r="G25" i="7"/>
  <c r="J25" i="7" s="1"/>
  <c r="L25" i="7" s="1"/>
  <c r="G24" i="7"/>
  <c r="J24" i="7" s="1"/>
  <c r="L24" i="7" s="1"/>
  <c r="G23" i="7"/>
  <c r="J23" i="7" s="1"/>
  <c r="L23" i="7" s="1"/>
  <c r="G22" i="7"/>
  <c r="J22" i="7" s="1"/>
  <c r="L22" i="7" s="1"/>
  <c r="G21" i="7"/>
  <c r="J21" i="7" s="1"/>
  <c r="L21" i="7" s="1"/>
  <c r="G20" i="7"/>
  <c r="J20" i="7" s="1"/>
  <c r="L20" i="7" s="1"/>
  <c r="G19" i="7"/>
  <c r="J19" i="7" s="1"/>
  <c r="L19" i="7" s="1"/>
  <c r="G18" i="7"/>
  <c r="J18" i="7" s="1"/>
  <c r="L18" i="7" s="1"/>
  <c r="G17" i="7"/>
  <c r="J17" i="7" s="1"/>
  <c r="L17" i="7" s="1"/>
  <c r="G16" i="7"/>
  <c r="J16" i="7" s="1"/>
  <c r="L16" i="7" s="1"/>
  <c r="G15" i="7"/>
  <c r="J15" i="7" s="1"/>
  <c r="L15" i="7" s="1"/>
  <c r="J14" i="7"/>
  <c r="L14" i="7" s="1"/>
  <c r="G14" i="7"/>
  <c r="G13" i="7"/>
  <c r="J13" i="7" s="1"/>
  <c r="L13" i="7" s="1"/>
  <c r="G12" i="7"/>
  <c r="J12" i="7" s="1"/>
  <c r="L12" i="7" s="1"/>
  <c r="J11" i="7"/>
  <c r="L11" i="7" s="1"/>
  <c r="G11" i="7"/>
  <c r="G10" i="7"/>
  <c r="J10" i="7" s="1"/>
  <c r="L10" i="7" s="1"/>
  <c r="G9" i="7"/>
  <c r="J9" i="7" s="1"/>
  <c r="L9" i="7" s="1"/>
  <c r="L51" i="7" s="1"/>
  <c r="J51" i="7" s="1"/>
  <c r="L47" i="7" s="1"/>
  <c r="L6" i="7" s="1"/>
  <c r="C58" i="7" s="1"/>
  <c r="G58" i="7" s="1"/>
  <c r="C5" i="7"/>
  <c r="C54" i="7" s="1"/>
  <c r="G54" i="7" s="1"/>
  <c r="CM17" i="5"/>
  <c r="CO17" i="5" s="1"/>
  <c r="CJ17" i="5"/>
  <c r="CT53" i="5"/>
  <c r="DB51" i="5"/>
  <c r="CX51" i="5"/>
  <c r="CT51" i="5"/>
  <c r="DA47" i="5"/>
  <c r="CT47" i="5"/>
  <c r="CV51" i="5" s="1"/>
  <c r="DC40" i="5"/>
  <c r="CX40" i="5"/>
  <c r="CX38" i="5"/>
  <c r="DA38" i="5" s="1"/>
  <c r="DC38" i="5" s="1"/>
  <c r="CX37" i="5"/>
  <c r="DA37" i="5" s="1"/>
  <c r="DC37" i="5" s="1"/>
  <c r="CX36" i="5"/>
  <c r="DA36" i="5" s="1"/>
  <c r="DC36" i="5" s="1"/>
  <c r="DC35" i="5"/>
  <c r="DA35" i="5"/>
  <c r="CX35" i="5"/>
  <c r="CX34" i="5"/>
  <c r="DA34" i="5" s="1"/>
  <c r="DC34" i="5" s="1"/>
  <c r="CX33" i="5"/>
  <c r="DA33" i="5" s="1"/>
  <c r="DC33" i="5" s="1"/>
  <c r="CX32" i="5"/>
  <c r="DA32" i="5" s="1"/>
  <c r="DC32" i="5" s="1"/>
  <c r="CX31" i="5"/>
  <c r="DA31" i="5" s="1"/>
  <c r="DC31" i="5" s="1"/>
  <c r="CX30" i="5"/>
  <c r="DA30" i="5" s="1"/>
  <c r="DC30" i="5" s="1"/>
  <c r="CX29" i="5"/>
  <c r="DA29" i="5" s="1"/>
  <c r="DC29" i="5" s="1"/>
  <c r="CX28" i="5"/>
  <c r="DA28" i="5" s="1"/>
  <c r="DC28" i="5" s="1"/>
  <c r="DC27" i="5"/>
  <c r="DA27" i="5"/>
  <c r="CX27" i="5"/>
  <c r="CX26" i="5"/>
  <c r="DA26" i="5" s="1"/>
  <c r="DC26" i="5" s="1"/>
  <c r="CX25" i="5"/>
  <c r="DA25" i="5" s="1"/>
  <c r="DC25" i="5" s="1"/>
  <c r="CX24" i="5"/>
  <c r="DA24" i="5" s="1"/>
  <c r="DC24" i="5" s="1"/>
  <c r="CX23" i="5"/>
  <c r="DA23" i="5" s="1"/>
  <c r="DC23" i="5" s="1"/>
  <c r="DA22" i="5"/>
  <c r="DC22" i="5" s="1"/>
  <c r="CX22" i="5"/>
  <c r="CX21" i="5"/>
  <c r="DA21" i="5" s="1"/>
  <c r="DC21" i="5" s="1"/>
  <c r="CX20" i="5"/>
  <c r="DA20" i="5" s="1"/>
  <c r="DC20" i="5" s="1"/>
  <c r="DC19" i="5"/>
  <c r="DA19" i="5"/>
  <c r="CX19" i="5"/>
  <c r="CX18" i="5"/>
  <c r="DA18" i="5" s="1"/>
  <c r="DC18" i="5" s="1"/>
  <c r="CX16" i="5"/>
  <c r="DA16" i="5" s="1"/>
  <c r="DC16" i="5" s="1"/>
  <c r="CX15" i="5"/>
  <c r="DA15" i="5" s="1"/>
  <c r="DC15" i="5" s="1"/>
  <c r="CX14" i="5"/>
  <c r="DA14" i="5" s="1"/>
  <c r="DC14" i="5" s="1"/>
  <c r="DA13" i="5"/>
  <c r="DC13" i="5" s="1"/>
  <c r="CX13" i="5"/>
  <c r="CX12" i="5"/>
  <c r="DA12" i="5" s="1"/>
  <c r="DC12" i="5" s="1"/>
  <c r="CX11" i="5"/>
  <c r="DA11" i="5" s="1"/>
  <c r="DC11" i="5" s="1"/>
  <c r="DC10" i="5"/>
  <c r="DA10" i="5"/>
  <c r="CX10" i="5"/>
  <c r="CX9" i="5"/>
  <c r="DA9" i="5" s="1"/>
  <c r="DC9" i="5" s="1"/>
  <c r="DC51" i="5" s="1"/>
  <c r="DA51" i="5" s="1"/>
  <c r="DC47" i="5" s="1"/>
  <c r="DC6" i="5" s="1"/>
  <c r="CT58" i="5" s="1"/>
  <c r="CX58" i="5" s="1"/>
  <c r="DC5" i="5"/>
  <c r="CT57" i="5" s="1"/>
  <c r="CX57" i="5" s="1"/>
  <c r="CT5" i="5"/>
  <c r="CT54" i="5" s="1"/>
  <c r="CX54" i="5" s="1"/>
  <c r="DH53" i="5"/>
  <c r="DP51" i="5"/>
  <c r="DL51" i="5"/>
  <c r="DH51" i="5"/>
  <c r="DO47" i="5"/>
  <c r="DQ5" i="5" s="1"/>
  <c r="DH57" i="5" s="1"/>
  <c r="DL57" i="5" s="1"/>
  <c r="DH47" i="5"/>
  <c r="DJ51" i="5" s="1"/>
  <c r="DQ40" i="5"/>
  <c r="DL40" i="5"/>
  <c r="DL38" i="5"/>
  <c r="DO38" i="5" s="1"/>
  <c r="DQ38" i="5" s="1"/>
  <c r="DL37" i="5"/>
  <c r="DO37" i="5" s="1"/>
  <c r="DQ37" i="5" s="1"/>
  <c r="DL36" i="5"/>
  <c r="DO36" i="5" s="1"/>
  <c r="DQ36" i="5" s="1"/>
  <c r="DL35" i="5"/>
  <c r="DO35" i="5" s="1"/>
  <c r="DQ35" i="5" s="1"/>
  <c r="DL34" i="5"/>
  <c r="DO34" i="5" s="1"/>
  <c r="DQ34" i="5" s="1"/>
  <c r="DL33" i="5"/>
  <c r="DO33" i="5" s="1"/>
  <c r="DQ33" i="5" s="1"/>
  <c r="DL32" i="5"/>
  <c r="DO32" i="5" s="1"/>
  <c r="DQ32" i="5" s="1"/>
  <c r="DL31" i="5"/>
  <c r="DO31" i="5" s="1"/>
  <c r="DQ31" i="5" s="1"/>
  <c r="DL30" i="5"/>
  <c r="DO30" i="5" s="1"/>
  <c r="DQ30" i="5" s="1"/>
  <c r="DL29" i="5"/>
  <c r="DO29" i="5" s="1"/>
  <c r="DQ29" i="5" s="1"/>
  <c r="DL28" i="5"/>
  <c r="DO28" i="5" s="1"/>
  <c r="DQ28" i="5" s="1"/>
  <c r="DL27" i="5"/>
  <c r="DO27" i="5" s="1"/>
  <c r="DQ27" i="5" s="1"/>
  <c r="DL26" i="5"/>
  <c r="DO26" i="5" s="1"/>
  <c r="DQ26" i="5" s="1"/>
  <c r="DL25" i="5"/>
  <c r="DO25" i="5" s="1"/>
  <c r="DQ25" i="5" s="1"/>
  <c r="DL24" i="5"/>
  <c r="DO24" i="5" s="1"/>
  <c r="DQ24" i="5" s="1"/>
  <c r="DL23" i="5"/>
  <c r="DO23" i="5" s="1"/>
  <c r="DQ23" i="5" s="1"/>
  <c r="DL22" i="5"/>
  <c r="DO22" i="5" s="1"/>
  <c r="DQ22" i="5" s="1"/>
  <c r="DL21" i="5"/>
  <c r="DO21" i="5" s="1"/>
  <c r="DQ21" i="5" s="1"/>
  <c r="DL20" i="5"/>
  <c r="DO20" i="5" s="1"/>
  <c r="DQ20" i="5" s="1"/>
  <c r="DL19" i="5"/>
  <c r="DO19" i="5" s="1"/>
  <c r="DQ19" i="5" s="1"/>
  <c r="DL18" i="5"/>
  <c r="DO18" i="5" s="1"/>
  <c r="DQ18" i="5" s="1"/>
  <c r="DL17" i="5"/>
  <c r="DO17" i="5" s="1"/>
  <c r="DQ17" i="5" s="1"/>
  <c r="DL16" i="5"/>
  <c r="DO16" i="5" s="1"/>
  <c r="DQ16" i="5" s="1"/>
  <c r="DL15" i="5"/>
  <c r="DO15" i="5" s="1"/>
  <c r="DQ15" i="5" s="1"/>
  <c r="DL14" i="5"/>
  <c r="DO14" i="5" s="1"/>
  <c r="DQ14" i="5" s="1"/>
  <c r="DL13" i="5"/>
  <c r="DO13" i="5" s="1"/>
  <c r="DQ13" i="5" s="1"/>
  <c r="DL12" i="5"/>
  <c r="DO12" i="5" s="1"/>
  <c r="DQ12" i="5" s="1"/>
  <c r="DL11" i="5"/>
  <c r="DO11" i="5" s="1"/>
  <c r="DQ11" i="5" s="1"/>
  <c r="DL10" i="5"/>
  <c r="DO10" i="5" s="1"/>
  <c r="DQ10" i="5" s="1"/>
  <c r="DL9" i="5"/>
  <c r="DO9" i="5" s="1"/>
  <c r="DQ9" i="5" s="1"/>
  <c r="DQ51" i="5" s="1"/>
  <c r="DO51" i="5" s="1"/>
  <c r="DQ47" i="5" s="1"/>
  <c r="DQ6" i="5" s="1"/>
  <c r="DH58" i="5" s="1"/>
  <c r="DL58" i="5" s="1"/>
  <c r="DH5" i="5"/>
  <c r="DH54" i="5" s="1"/>
  <c r="DL54" i="5" s="1"/>
  <c r="CF53" i="5"/>
  <c r="CN51" i="5"/>
  <c r="CJ51" i="5"/>
  <c r="CF51" i="5"/>
  <c r="CM47" i="5"/>
  <c r="CO5" i="5" s="1"/>
  <c r="CF57" i="5" s="1"/>
  <c r="CJ57" i="5" s="1"/>
  <c r="CF47" i="5"/>
  <c r="CH51" i="5" s="1"/>
  <c r="CO40" i="5"/>
  <c r="CJ40" i="5"/>
  <c r="CJ38" i="5"/>
  <c r="CM38" i="5" s="1"/>
  <c r="CO38" i="5" s="1"/>
  <c r="CJ37" i="5"/>
  <c r="CM37" i="5" s="1"/>
  <c r="CO37" i="5" s="1"/>
  <c r="CJ36" i="5"/>
  <c r="CM36" i="5" s="1"/>
  <c r="CO36" i="5" s="1"/>
  <c r="CJ35" i="5"/>
  <c r="CM35" i="5" s="1"/>
  <c r="CO35" i="5" s="1"/>
  <c r="CJ34" i="5"/>
  <c r="CM34" i="5" s="1"/>
  <c r="CO34" i="5" s="1"/>
  <c r="CJ33" i="5"/>
  <c r="CM33" i="5" s="1"/>
  <c r="CO33" i="5" s="1"/>
  <c r="CJ32" i="5"/>
  <c r="CM32" i="5" s="1"/>
  <c r="CO32" i="5" s="1"/>
  <c r="CJ31" i="5"/>
  <c r="CM31" i="5" s="1"/>
  <c r="CO31" i="5" s="1"/>
  <c r="CJ30" i="5"/>
  <c r="CM30" i="5" s="1"/>
  <c r="CO30" i="5" s="1"/>
  <c r="CJ29" i="5"/>
  <c r="CM29" i="5" s="1"/>
  <c r="CO29" i="5" s="1"/>
  <c r="CM28" i="5"/>
  <c r="CO28" i="5" s="1"/>
  <c r="CJ28" i="5"/>
  <c r="CJ27" i="5"/>
  <c r="CM27" i="5" s="1"/>
  <c r="CO27" i="5" s="1"/>
  <c r="CJ26" i="5"/>
  <c r="CM26" i="5" s="1"/>
  <c r="CO26" i="5" s="1"/>
  <c r="CJ25" i="5"/>
  <c r="CM25" i="5" s="1"/>
  <c r="CO25" i="5" s="1"/>
  <c r="CM24" i="5"/>
  <c r="CO24" i="5" s="1"/>
  <c r="CJ24" i="5"/>
  <c r="CJ23" i="5"/>
  <c r="CM23" i="5" s="1"/>
  <c r="CO23" i="5" s="1"/>
  <c r="CM22" i="5"/>
  <c r="CO22" i="5" s="1"/>
  <c r="CJ22" i="5"/>
  <c r="CJ21" i="5"/>
  <c r="CM21" i="5" s="1"/>
  <c r="CO21" i="5" s="1"/>
  <c r="CM20" i="5"/>
  <c r="CO20" i="5" s="1"/>
  <c r="CJ20" i="5"/>
  <c r="CJ19" i="5"/>
  <c r="CM19" i="5" s="1"/>
  <c r="CO19" i="5" s="1"/>
  <c r="CJ18" i="5"/>
  <c r="CM18" i="5" s="1"/>
  <c r="CO18" i="5" s="1"/>
  <c r="CM16" i="5"/>
  <c r="CO16" i="5" s="1"/>
  <c r="CJ16" i="5"/>
  <c r="CJ15" i="5"/>
  <c r="CM15" i="5" s="1"/>
  <c r="CO15" i="5" s="1"/>
  <c r="CJ14" i="5"/>
  <c r="CM14" i="5" s="1"/>
  <c r="CO14" i="5" s="1"/>
  <c r="CJ13" i="5"/>
  <c r="CM13" i="5" s="1"/>
  <c r="CO13" i="5" s="1"/>
  <c r="CJ12" i="5"/>
  <c r="CM12" i="5" s="1"/>
  <c r="CO12" i="5" s="1"/>
  <c r="CJ11" i="5"/>
  <c r="CM11" i="5" s="1"/>
  <c r="CO11" i="5" s="1"/>
  <c r="CJ10" i="5"/>
  <c r="CM10" i="5" s="1"/>
  <c r="CO10" i="5" s="1"/>
  <c r="CJ9" i="5"/>
  <c r="CM9" i="5" s="1"/>
  <c r="CO9" i="5" s="1"/>
  <c r="CO51" i="5" s="1"/>
  <c r="AH57" i="5"/>
  <c r="AD57" i="5"/>
  <c r="AD53" i="5"/>
  <c r="AL51" i="5"/>
  <c r="AH51" i="5"/>
  <c r="AD51" i="5"/>
  <c r="AK47" i="5"/>
  <c r="AD47" i="5"/>
  <c r="AF51" i="5" s="1"/>
  <c r="AM40" i="5"/>
  <c r="AH40" i="5"/>
  <c r="AK38" i="5"/>
  <c r="AM38" i="5" s="1"/>
  <c r="AH38" i="5"/>
  <c r="AH37" i="5"/>
  <c r="AK37" i="5" s="1"/>
  <c r="AM37" i="5" s="1"/>
  <c r="AH36" i="5"/>
  <c r="AK36" i="5" s="1"/>
  <c r="AM36" i="5" s="1"/>
  <c r="AH35" i="5"/>
  <c r="AK35" i="5" s="1"/>
  <c r="AM35" i="5" s="1"/>
  <c r="AH34" i="5"/>
  <c r="AK34" i="5" s="1"/>
  <c r="AM34" i="5" s="1"/>
  <c r="AH33" i="5"/>
  <c r="AK33" i="5" s="1"/>
  <c r="AM33" i="5" s="1"/>
  <c r="AK32" i="5"/>
  <c r="AM32" i="5" s="1"/>
  <c r="AH32" i="5"/>
  <c r="AK31" i="5"/>
  <c r="AM31" i="5" s="1"/>
  <c r="AH31" i="5"/>
  <c r="AK30" i="5"/>
  <c r="AM30" i="5" s="1"/>
  <c r="AH30" i="5"/>
  <c r="AM29" i="5"/>
  <c r="AK29" i="5"/>
  <c r="AH29" i="5"/>
  <c r="AH28" i="5"/>
  <c r="AK28" i="5" s="1"/>
  <c r="AM28" i="5" s="1"/>
  <c r="AH27" i="5"/>
  <c r="AK27" i="5" s="1"/>
  <c r="AM27" i="5" s="1"/>
  <c r="AH26" i="5"/>
  <c r="AK26" i="5" s="1"/>
  <c r="AM26" i="5" s="1"/>
  <c r="AH25" i="5"/>
  <c r="AK25" i="5" s="1"/>
  <c r="AM25" i="5" s="1"/>
  <c r="AK24" i="5"/>
  <c r="AM24" i="5" s="1"/>
  <c r="AH24" i="5"/>
  <c r="AK23" i="5"/>
  <c r="AM23" i="5" s="1"/>
  <c r="AH23" i="5"/>
  <c r="AK22" i="5"/>
  <c r="AM22" i="5" s="1"/>
  <c r="AH22" i="5"/>
  <c r="AM21" i="5"/>
  <c r="AK21" i="5"/>
  <c r="AH21" i="5"/>
  <c r="AH20" i="5"/>
  <c r="AK20" i="5" s="1"/>
  <c r="AM20" i="5" s="1"/>
  <c r="AH19" i="5"/>
  <c r="AK19" i="5" s="1"/>
  <c r="AM19" i="5" s="1"/>
  <c r="AH18" i="5"/>
  <c r="AK18" i="5" s="1"/>
  <c r="AM18" i="5" s="1"/>
  <c r="AH17" i="5"/>
  <c r="AK17" i="5" s="1"/>
  <c r="AM17" i="5" s="1"/>
  <c r="AK15" i="5"/>
  <c r="AM15" i="5" s="1"/>
  <c r="AH15" i="5"/>
  <c r="AK14" i="5"/>
  <c r="AM14" i="5" s="1"/>
  <c r="AI51" i="5" s="1"/>
  <c r="AH14" i="5"/>
  <c r="AM13" i="5"/>
  <c r="AK13" i="5"/>
  <c r="AH13" i="5"/>
  <c r="AH12" i="5"/>
  <c r="AK12" i="5" s="1"/>
  <c r="AM12" i="5" s="1"/>
  <c r="AH11" i="5"/>
  <c r="AK11" i="5" s="1"/>
  <c r="AM11" i="5" s="1"/>
  <c r="AH10" i="5"/>
  <c r="AK10" i="5" s="1"/>
  <c r="AM10" i="5" s="1"/>
  <c r="AH9" i="5"/>
  <c r="AK9" i="5" s="1"/>
  <c r="AM9" i="5" s="1"/>
  <c r="AM51" i="5" s="1"/>
  <c r="AK51" i="5" s="1"/>
  <c r="AM47" i="5" s="1"/>
  <c r="AM6" i="5" s="1"/>
  <c r="AD58" i="5" s="1"/>
  <c r="AH58" i="5" s="1"/>
  <c r="AM5" i="5"/>
  <c r="BS53" i="5"/>
  <c r="BE53" i="5"/>
  <c r="CA51" i="5"/>
  <c r="BW51" i="5"/>
  <c r="BS51" i="5"/>
  <c r="BM51" i="5"/>
  <c r="BI51" i="5"/>
  <c r="BE51" i="5"/>
  <c r="BZ47" i="5"/>
  <c r="CB5" i="5" s="1"/>
  <c r="BS57" i="5" s="1"/>
  <c r="BW57" i="5" s="1"/>
  <c r="BS47" i="5"/>
  <c r="BU51" i="5" s="1"/>
  <c r="BL47" i="5"/>
  <c r="BE47" i="5"/>
  <c r="BE5" i="5" s="1"/>
  <c r="BE54" i="5" s="1"/>
  <c r="BI54" i="5" s="1"/>
  <c r="CB40" i="5"/>
  <c r="BW40" i="5"/>
  <c r="BN40" i="5"/>
  <c r="BI40" i="5"/>
  <c r="BW38" i="5"/>
  <c r="BZ38" i="5" s="1"/>
  <c r="CB38" i="5" s="1"/>
  <c r="BI38" i="5"/>
  <c r="BL38" i="5" s="1"/>
  <c r="BN38" i="5" s="1"/>
  <c r="BW37" i="5"/>
  <c r="BZ37" i="5" s="1"/>
  <c r="CB37" i="5" s="1"/>
  <c r="BI37" i="5"/>
  <c r="BL37" i="5" s="1"/>
  <c r="BN37" i="5" s="1"/>
  <c r="BW36" i="5"/>
  <c r="BZ36" i="5" s="1"/>
  <c r="CB36" i="5" s="1"/>
  <c r="BI36" i="5"/>
  <c r="BL36" i="5" s="1"/>
  <c r="BN36" i="5" s="1"/>
  <c r="BW35" i="5"/>
  <c r="BZ35" i="5" s="1"/>
  <c r="CB35" i="5" s="1"/>
  <c r="BI35" i="5"/>
  <c r="BL35" i="5" s="1"/>
  <c r="BN35" i="5" s="1"/>
  <c r="BW34" i="5"/>
  <c r="BZ34" i="5" s="1"/>
  <c r="CB34" i="5" s="1"/>
  <c r="BI34" i="5"/>
  <c r="BL34" i="5" s="1"/>
  <c r="BN34" i="5" s="1"/>
  <c r="BW33" i="5"/>
  <c r="BZ33" i="5" s="1"/>
  <c r="CB33" i="5" s="1"/>
  <c r="BI33" i="5"/>
  <c r="BL33" i="5" s="1"/>
  <c r="BN33" i="5" s="1"/>
  <c r="BW32" i="5"/>
  <c r="BZ32" i="5" s="1"/>
  <c r="CB32" i="5" s="1"/>
  <c r="BI32" i="5"/>
  <c r="BL32" i="5" s="1"/>
  <c r="BN32" i="5" s="1"/>
  <c r="BW31" i="5"/>
  <c r="BZ31" i="5" s="1"/>
  <c r="CB31" i="5" s="1"/>
  <c r="BI31" i="5"/>
  <c r="BL31" i="5" s="1"/>
  <c r="BN31" i="5" s="1"/>
  <c r="BW30" i="5"/>
  <c r="BZ30" i="5" s="1"/>
  <c r="CB30" i="5" s="1"/>
  <c r="BI30" i="5"/>
  <c r="BL30" i="5" s="1"/>
  <c r="BN30" i="5" s="1"/>
  <c r="BW29" i="5"/>
  <c r="BZ29" i="5" s="1"/>
  <c r="CB29" i="5" s="1"/>
  <c r="BI29" i="5"/>
  <c r="BL29" i="5" s="1"/>
  <c r="BN29" i="5" s="1"/>
  <c r="BW28" i="5"/>
  <c r="BZ28" i="5" s="1"/>
  <c r="CB28" i="5" s="1"/>
  <c r="BI28" i="5"/>
  <c r="BL28" i="5" s="1"/>
  <c r="BN28" i="5" s="1"/>
  <c r="BW27" i="5"/>
  <c r="BZ27" i="5" s="1"/>
  <c r="CB27" i="5" s="1"/>
  <c r="BI27" i="5"/>
  <c r="BL27" i="5" s="1"/>
  <c r="BN27" i="5" s="1"/>
  <c r="BW26" i="5"/>
  <c r="BZ26" i="5" s="1"/>
  <c r="CB26" i="5" s="1"/>
  <c r="BI26" i="5"/>
  <c r="BL26" i="5" s="1"/>
  <c r="BN26" i="5" s="1"/>
  <c r="BW25" i="5"/>
  <c r="BZ25" i="5" s="1"/>
  <c r="CB25" i="5" s="1"/>
  <c r="BI25" i="5"/>
  <c r="BL25" i="5" s="1"/>
  <c r="BN25" i="5" s="1"/>
  <c r="BW24" i="5"/>
  <c r="BZ24" i="5" s="1"/>
  <c r="CB24" i="5" s="1"/>
  <c r="BI24" i="5"/>
  <c r="BL24" i="5" s="1"/>
  <c r="BN24" i="5" s="1"/>
  <c r="BW23" i="5"/>
  <c r="BZ23" i="5" s="1"/>
  <c r="CB23" i="5" s="1"/>
  <c r="BI23" i="5"/>
  <c r="BL23" i="5" s="1"/>
  <c r="BN23" i="5" s="1"/>
  <c r="BI22" i="5"/>
  <c r="BL22" i="5" s="1"/>
  <c r="BN22" i="5" s="1"/>
  <c r="BW21" i="5"/>
  <c r="BZ21" i="5" s="1"/>
  <c r="CB21" i="5" s="1"/>
  <c r="BI21" i="5"/>
  <c r="BL21" i="5" s="1"/>
  <c r="BN21" i="5" s="1"/>
  <c r="BW20" i="5"/>
  <c r="BZ20" i="5" s="1"/>
  <c r="CB20" i="5" s="1"/>
  <c r="BI20" i="5"/>
  <c r="BL20" i="5" s="1"/>
  <c r="BN20" i="5" s="1"/>
  <c r="BW19" i="5"/>
  <c r="BZ19" i="5" s="1"/>
  <c r="CB19" i="5" s="1"/>
  <c r="BI19" i="5"/>
  <c r="BL19" i="5" s="1"/>
  <c r="BN19" i="5" s="1"/>
  <c r="BW18" i="5"/>
  <c r="BZ18" i="5" s="1"/>
  <c r="CB18" i="5" s="1"/>
  <c r="BI18" i="5"/>
  <c r="BL18" i="5" s="1"/>
  <c r="BN18" i="5" s="1"/>
  <c r="BW17" i="5"/>
  <c r="BZ17" i="5" s="1"/>
  <c r="CB17" i="5" s="1"/>
  <c r="BI17" i="5"/>
  <c r="BL17" i="5" s="1"/>
  <c r="BN17" i="5" s="1"/>
  <c r="BW16" i="5"/>
  <c r="BZ16" i="5" s="1"/>
  <c r="CB16" i="5" s="1"/>
  <c r="BI16" i="5"/>
  <c r="BL16" i="5" s="1"/>
  <c r="BN16" i="5" s="1"/>
  <c r="BW15" i="5"/>
  <c r="BZ15" i="5" s="1"/>
  <c r="CB15" i="5" s="1"/>
  <c r="BI15" i="5"/>
  <c r="BL15" i="5" s="1"/>
  <c r="BN15" i="5" s="1"/>
  <c r="BW14" i="5"/>
  <c r="BZ14" i="5" s="1"/>
  <c r="CB14" i="5" s="1"/>
  <c r="BI14" i="5"/>
  <c r="BL14" i="5" s="1"/>
  <c r="BN14" i="5" s="1"/>
  <c r="BW13" i="5"/>
  <c r="BZ13" i="5" s="1"/>
  <c r="CB13" i="5" s="1"/>
  <c r="BI13" i="5"/>
  <c r="BL13" i="5" s="1"/>
  <c r="BN13" i="5" s="1"/>
  <c r="BW12" i="5"/>
  <c r="BZ12" i="5" s="1"/>
  <c r="CB12" i="5" s="1"/>
  <c r="BI12" i="5"/>
  <c r="BL12" i="5" s="1"/>
  <c r="BN12" i="5" s="1"/>
  <c r="BW11" i="5"/>
  <c r="BZ11" i="5" s="1"/>
  <c r="CB11" i="5" s="1"/>
  <c r="BI11" i="5"/>
  <c r="BL11" i="5" s="1"/>
  <c r="BN11" i="5" s="1"/>
  <c r="BW10" i="5"/>
  <c r="BZ10" i="5" s="1"/>
  <c r="CB10" i="5" s="1"/>
  <c r="BI10" i="5"/>
  <c r="BL10" i="5" s="1"/>
  <c r="BN10" i="5" s="1"/>
  <c r="CB51" i="5"/>
  <c r="BZ51" i="5" s="1"/>
  <c r="CB47" i="5" s="1"/>
  <c r="CB6" i="5" s="1"/>
  <c r="BS58" i="5" s="1"/>
  <c r="BW58" i="5" s="1"/>
  <c r="BI9" i="5"/>
  <c r="BL9" i="5" s="1"/>
  <c r="BN9" i="5" s="1"/>
  <c r="BN51" i="5" s="1"/>
  <c r="BS5" i="5"/>
  <c r="BS54" i="5" s="1"/>
  <c r="BW54" i="5" s="1"/>
  <c r="BN5" i="5"/>
  <c r="BE57" i="5" s="1"/>
  <c r="BI57" i="5" s="1"/>
  <c r="AR53" i="5"/>
  <c r="AZ51" i="5"/>
  <c r="AV51" i="5"/>
  <c r="AR51" i="5"/>
  <c r="AY47" i="5"/>
  <c r="BA5" i="5" s="1"/>
  <c r="AR57" i="5" s="1"/>
  <c r="AV57" i="5" s="1"/>
  <c r="AR47" i="5"/>
  <c r="AT51" i="5" s="1"/>
  <c r="BA40" i="5"/>
  <c r="AV40" i="5"/>
  <c r="AV38" i="5"/>
  <c r="AY38" i="5" s="1"/>
  <c r="BA38" i="5" s="1"/>
  <c r="AV37" i="5"/>
  <c r="AY37" i="5" s="1"/>
  <c r="BA37" i="5" s="1"/>
  <c r="AV36" i="5"/>
  <c r="AY36" i="5" s="1"/>
  <c r="BA36" i="5" s="1"/>
  <c r="AV35" i="5"/>
  <c r="AY35" i="5" s="1"/>
  <c r="BA35" i="5" s="1"/>
  <c r="AV34" i="5"/>
  <c r="AY34" i="5" s="1"/>
  <c r="BA34" i="5" s="1"/>
  <c r="AV33" i="5"/>
  <c r="AY33" i="5" s="1"/>
  <c r="BA33" i="5" s="1"/>
  <c r="AV32" i="5"/>
  <c r="AY32" i="5" s="1"/>
  <c r="BA32" i="5" s="1"/>
  <c r="AV31" i="5"/>
  <c r="AY31" i="5" s="1"/>
  <c r="BA31" i="5" s="1"/>
  <c r="AV30" i="5"/>
  <c r="AY30" i="5" s="1"/>
  <c r="BA30" i="5" s="1"/>
  <c r="AV29" i="5"/>
  <c r="AY29" i="5" s="1"/>
  <c r="BA29" i="5" s="1"/>
  <c r="AV28" i="5"/>
  <c r="AY28" i="5" s="1"/>
  <c r="BA28" i="5" s="1"/>
  <c r="AV27" i="5"/>
  <c r="AY27" i="5" s="1"/>
  <c r="BA27" i="5" s="1"/>
  <c r="AV26" i="5"/>
  <c r="AY26" i="5" s="1"/>
  <c r="BA26" i="5" s="1"/>
  <c r="AV25" i="5"/>
  <c r="AY25" i="5" s="1"/>
  <c r="BA25" i="5" s="1"/>
  <c r="AV24" i="5"/>
  <c r="AY24" i="5" s="1"/>
  <c r="BA24" i="5" s="1"/>
  <c r="AV23" i="5"/>
  <c r="AY23" i="5" s="1"/>
  <c r="BA23" i="5" s="1"/>
  <c r="AV22" i="5"/>
  <c r="AY22" i="5" s="1"/>
  <c r="BA22" i="5" s="1"/>
  <c r="AV21" i="5"/>
  <c r="AY21" i="5" s="1"/>
  <c r="BA21" i="5" s="1"/>
  <c r="AV20" i="5"/>
  <c r="AY20" i="5" s="1"/>
  <c r="BA20" i="5" s="1"/>
  <c r="AV19" i="5"/>
  <c r="AY19" i="5" s="1"/>
  <c r="BA19" i="5" s="1"/>
  <c r="AV18" i="5"/>
  <c r="AY18" i="5" s="1"/>
  <c r="BA18" i="5" s="1"/>
  <c r="AV17" i="5"/>
  <c r="AY17" i="5" s="1"/>
  <c r="BA17" i="5" s="1"/>
  <c r="AV16" i="5"/>
  <c r="AY16" i="5" s="1"/>
  <c r="BA16" i="5" s="1"/>
  <c r="AV15" i="5"/>
  <c r="AY15" i="5" s="1"/>
  <c r="BA15" i="5" s="1"/>
  <c r="AV14" i="5"/>
  <c r="AY14" i="5" s="1"/>
  <c r="BA14" i="5" s="1"/>
  <c r="AV13" i="5"/>
  <c r="AY13" i="5" s="1"/>
  <c r="BA13" i="5" s="1"/>
  <c r="AV12" i="5"/>
  <c r="AY12" i="5" s="1"/>
  <c r="BA12" i="5" s="1"/>
  <c r="AV11" i="5"/>
  <c r="AY11" i="5" s="1"/>
  <c r="BA11" i="5" s="1"/>
  <c r="AV10" i="5"/>
  <c r="AY10" i="5" s="1"/>
  <c r="BA10" i="5" s="1"/>
  <c r="AV9" i="5"/>
  <c r="AY9" i="5" s="1"/>
  <c r="BA9" i="5" s="1"/>
  <c r="BA51" i="5" s="1"/>
  <c r="AY51" i="5" s="1"/>
  <c r="BA47" i="5" s="1"/>
  <c r="BA6" i="5" s="1"/>
  <c r="AR58" i="5" s="1"/>
  <c r="AV58" i="5" s="1"/>
  <c r="Q53" i="5"/>
  <c r="C53" i="5"/>
  <c r="Y51" i="5"/>
  <c r="U51" i="5"/>
  <c r="Q51" i="5"/>
  <c r="K51" i="5"/>
  <c r="G51" i="5"/>
  <c r="C51" i="5"/>
  <c r="X47" i="5"/>
  <c r="Z5" i="5" s="1"/>
  <c r="Q57" i="5" s="1"/>
  <c r="U57" i="5" s="1"/>
  <c r="Q47" i="5"/>
  <c r="S51" i="5" s="1"/>
  <c r="J47" i="5"/>
  <c r="C47" i="5"/>
  <c r="C5" i="5" s="1"/>
  <c r="C54" i="5" s="1"/>
  <c r="G54" i="5" s="1"/>
  <c r="Z40" i="5"/>
  <c r="U40" i="5"/>
  <c r="L40" i="5"/>
  <c r="G40" i="5"/>
  <c r="U38" i="5"/>
  <c r="X38" i="5" s="1"/>
  <c r="Z38" i="5" s="1"/>
  <c r="G38" i="5"/>
  <c r="J38" i="5" s="1"/>
  <c r="L38" i="5" s="1"/>
  <c r="U37" i="5"/>
  <c r="X37" i="5" s="1"/>
  <c r="Z37" i="5" s="1"/>
  <c r="G37" i="5"/>
  <c r="J37" i="5" s="1"/>
  <c r="L37" i="5" s="1"/>
  <c r="U36" i="5"/>
  <c r="X36" i="5" s="1"/>
  <c r="Z36" i="5" s="1"/>
  <c r="G36" i="5"/>
  <c r="J36" i="5" s="1"/>
  <c r="L36" i="5" s="1"/>
  <c r="U35" i="5"/>
  <c r="X35" i="5" s="1"/>
  <c r="Z35" i="5" s="1"/>
  <c r="G35" i="5"/>
  <c r="J35" i="5" s="1"/>
  <c r="L35" i="5" s="1"/>
  <c r="U34" i="5"/>
  <c r="X34" i="5" s="1"/>
  <c r="Z34" i="5" s="1"/>
  <c r="G34" i="5"/>
  <c r="J34" i="5" s="1"/>
  <c r="L34" i="5" s="1"/>
  <c r="U33" i="5"/>
  <c r="X33" i="5" s="1"/>
  <c r="Z33" i="5" s="1"/>
  <c r="G33" i="5"/>
  <c r="J33" i="5" s="1"/>
  <c r="L33" i="5" s="1"/>
  <c r="U32" i="5"/>
  <c r="X32" i="5" s="1"/>
  <c r="Z32" i="5" s="1"/>
  <c r="G32" i="5"/>
  <c r="J32" i="5" s="1"/>
  <c r="L32" i="5" s="1"/>
  <c r="U31" i="5"/>
  <c r="X31" i="5" s="1"/>
  <c r="Z31" i="5" s="1"/>
  <c r="G31" i="5"/>
  <c r="J31" i="5" s="1"/>
  <c r="L31" i="5" s="1"/>
  <c r="U30" i="5"/>
  <c r="X30" i="5" s="1"/>
  <c r="Z30" i="5" s="1"/>
  <c r="G30" i="5"/>
  <c r="J30" i="5" s="1"/>
  <c r="L30" i="5" s="1"/>
  <c r="U29" i="5"/>
  <c r="X29" i="5" s="1"/>
  <c r="Z29" i="5" s="1"/>
  <c r="G29" i="5"/>
  <c r="J29" i="5" s="1"/>
  <c r="L29" i="5" s="1"/>
  <c r="U28" i="5"/>
  <c r="X28" i="5" s="1"/>
  <c r="Z28" i="5" s="1"/>
  <c r="G28" i="5"/>
  <c r="J28" i="5" s="1"/>
  <c r="L28" i="5" s="1"/>
  <c r="U27" i="5"/>
  <c r="X27" i="5" s="1"/>
  <c r="Z27" i="5" s="1"/>
  <c r="G27" i="5"/>
  <c r="J27" i="5" s="1"/>
  <c r="L27" i="5" s="1"/>
  <c r="U26" i="5"/>
  <c r="X26" i="5" s="1"/>
  <c r="Z26" i="5" s="1"/>
  <c r="G26" i="5"/>
  <c r="J26" i="5" s="1"/>
  <c r="L26" i="5" s="1"/>
  <c r="U25" i="5"/>
  <c r="X25" i="5" s="1"/>
  <c r="Z25" i="5" s="1"/>
  <c r="G25" i="5"/>
  <c r="J25" i="5" s="1"/>
  <c r="L25" i="5" s="1"/>
  <c r="U24" i="5"/>
  <c r="X24" i="5" s="1"/>
  <c r="Z24" i="5" s="1"/>
  <c r="G24" i="5"/>
  <c r="J24" i="5" s="1"/>
  <c r="L24" i="5" s="1"/>
  <c r="U23" i="5"/>
  <c r="X23" i="5" s="1"/>
  <c r="Z23" i="5" s="1"/>
  <c r="G23" i="5"/>
  <c r="J23" i="5" s="1"/>
  <c r="L23" i="5" s="1"/>
  <c r="U22" i="5"/>
  <c r="X22" i="5" s="1"/>
  <c r="Z22" i="5" s="1"/>
  <c r="G22" i="5"/>
  <c r="J22" i="5" s="1"/>
  <c r="L22" i="5" s="1"/>
  <c r="U21" i="5"/>
  <c r="X21" i="5" s="1"/>
  <c r="Z21" i="5" s="1"/>
  <c r="G21" i="5"/>
  <c r="J21" i="5" s="1"/>
  <c r="L21" i="5" s="1"/>
  <c r="U20" i="5"/>
  <c r="X20" i="5" s="1"/>
  <c r="Z20" i="5" s="1"/>
  <c r="G20" i="5"/>
  <c r="J20" i="5" s="1"/>
  <c r="L20" i="5" s="1"/>
  <c r="U19" i="5"/>
  <c r="X19" i="5" s="1"/>
  <c r="Z19" i="5" s="1"/>
  <c r="G19" i="5"/>
  <c r="J19" i="5" s="1"/>
  <c r="L19" i="5" s="1"/>
  <c r="U18" i="5"/>
  <c r="X18" i="5" s="1"/>
  <c r="Z18" i="5" s="1"/>
  <c r="G18" i="5"/>
  <c r="J18" i="5" s="1"/>
  <c r="L18" i="5" s="1"/>
  <c r="U17" i="5"/>
  <c r="X17" i="5" s="1"/>
  <c r="Z17" i="5" s="1"/>
  <c r="G17" i="5"/>
  <c r="J17" i="5" s="1"/>
  <c r="L17" i="5" s="1"/>
  <c r="U16" i="5"/>
  <c r="X16" i="5" s="1"/>
  <c r="Z16" i="5" s="1"/>
  <c r="G16" i="5"/>
  <c r="J16" i="5" s="1"/>
  <c r="L16" i="5" s="1"/>
  <c r="U15" i="5"/>
  <c r="X15" i="5" s="1"/>
  <c r="Z15" i="5" s="1"/>
  <c r="G15" i="5"/>
  <c r="J15" i="5" s="1"/>
  <c r="L15" i="5" s="1"/>
  <c r="U14" i="5"/>
  <c r="X14" i="5" s="1"/>
  <c r="Z14" i="5" s="1"/>
  <c r="G14" i="5"/>
  <c r="J14" i="5" s="1"/>
  <c r="L14" i="5" s="1"/>
  <c r="U13" i="5"/>
  <c r="X13" i="5" s="1"/>
  <c r="Z13" i="5" s="1"/>
  <c r="G13" i="5"/>
  <c r="J13" i="5" s="1"/>
  <c r="L13" i="5" s="1"/>
  <c r="U12" i="5"/>
  <c r="X12" i="5" s="1"/>
  <c r="Z12" i="5" s="1"/>
  <c r="G12" i="5"/>
  <c r="J12" i="5" s="1"/>
  <c r="L12" i="5" s="1"/>
  <c r="U11" i="5"/>
  <c r="X11" i="5" s="1"/>
  <c r="Z11" i="5" s="1"/>
  <c r="G11" i="5"/>
  <c r="J11" i="5" s="1"/>
  <c r="L11" i="5" s="1"/>
  <c r="U10" i="5"/>
  <c r="X10" i="5" s="1"/>
  <c r="Z10" i="5" s="1"/>
  <c r="G10" i="5"/>
  <c r="J10" i="5" s="1"/>
  <c r="L10" i="5" s="1"/>
  <c r="U9" i="5"/>
  <c r="X9" i="5" s="1"/>
  <c r="Z9" i="5" s="1"/>
  <c r="Z51" i="5" s="1"/>
  <c r="X51" i="5" s="1"/>
  <c r="Z47" i="5" s="1"/>
  <c r="Z6" i="5" s="1"/>
  <c r="Q58" i="5" s="1"/>
  <c r="U58" i="5" s="1"/>
  <c r="G9" i="5"/>
  <c r="J9" i="5" s="1"/>
  <c r="L9" i="5" s="1"/>
  <c r="L51" i="5" s="1"/>
  <c r="Q5" i="5"/>
  <c r="Q54" i="5" s="1"/>
  <c r="U54" i="5" s="1"/>
  <c r="L5" i="5"/>
  <c r="C57" i="5" s="1"/>
  <c r="G57" i="5" s="1"/>
  <c r="BW14" i="4"/>
  <c r="BZ14" i="4" s="1"/>
  <c r="CB14" i="4" s="1"/>
  <c r="BW21" i="4"/>
  <c r="BZ21" i="4" s="1"/>
  <c r="CB21" i="4" s="1"/>
  <c r="BW28" i="4"/>
  <c r="BZ28" i="4" s="1"/>
  <c r="CB28" i="4" s="1"/>
  <c r="BW35" i="4"/>
  <c r="BZ35" i="4" s="1"/>
  <c r="CB35" i="4" s="1"/>
  <c r="BI35" i="4"/>
  <c r="BL35" i="4" s="1"/>
  <c r="BN35" i="4" s="1"/>
  <c r="BI28" i="4"/>
  <c r="BL28" i="4" s="1"/>
  <c r="BN28" i="4" s="1"/>
  <c r="BL21" i="4"/>
  <c r="BN21" i="4" s="1"/>
  <c r="BI21" i="4"/>
  <c r="BL14" i="4"/>
  <c r="BN14" i="4" s="1"/>
  <c r="BI14" i="4"/>
  <c r="BI51" i="4"/>
  <c r="AV35" i="4"/>
  <c r="AY35" i="4" s="1"/>
  <c r="BA35" i="4" s="1"/>
  <c r="AV28" i="4"/>
  <c r="AY28" i="4" s="1"/>
  <c r="BA28" i="4" s="1"/>
  <c r="AV21" i="4"/>
  <c r="AY21" i="4" s="1"/>
  <c r="BA21" i="4" s="1"/>
  <c r="AY14" i="4"/>
  <c r="BA14" i="4" s="1"/>
  <c r="AV14" i="4"/>
  <c r="AV51" i="4"/>
  <c r="G35" i="4"/>
  <c r="J35" i="4" s="1"/>
  <c r="L35" i="4" s="1"/>
  <c r="G36" i="4"/>
  <c r="J36" i="4" s="1"/>
  <c r="L36" i="4" s="1"/>
  <c r="G28" i="4"/>
  <c r="J28" i="4" s="1"/>
  <c r="L28" i="4" s="1"/>
  <c r="G21" i="4"/>
  <c r="J21" i="4" s="1"/>
  <c r="L21" i="4" s="1"/>
  <c r="G14" i="4"/>
  <c r="J14" i="4" s="1"/>
  <c r="L14" i="4" s="1"/>
  <c r="BI9" i="4"/>
  <c r="BL9" i="4" s="1"/>
  <c r="BN9" i="4" s="1"/>
  <c r="BN51" i="4" s="1"/>
  <c r="AD53" i="4"/>
  <c r="AL51" i="4"/>
  <c r="AH51" i="4"/>
  <c r="AD51" i="4"/>
  <c r="AK47" i="4"/>
  <c r="AM5" i="4" s="1"/>
  <c r="AD57" i="4" s="1"/>
  <c r="AH57" i="4" s="1"/>
  <c r="AD47" i="4"/>
  <c r="AF51" i="4" s="1"/>
  <c r="AM40" i="4"/>
  <c r="AH40" i="4"/>
  <c r="AH38" i="4"/>
  <c r="AK38" i="4" s="1"/>
  <c r="AM38" i="4" s="1"/>
  <c r="AH37" i="4"/>
  <c r="AK37" i="4" s="1"/>
  <c r="AM37" i="4" s="1"/>
  <c r="AH36" i="4"/>
  <c r="AK36" i="4" s="1"/>
  <c r="AM36" i="4" s="1"/>
  <c r="AM35" i="4"/>
  <c r="AK35" i="4"/>
  <c r="AH35" i="4"/>
  <c r="AH34" i="4"/>
  <c r="AK34" i="4" s="1"/>
  <c r="AM34" i="4" s="1"/>
  <c r="AH33" i="4"/>
  <c r="AK33" i="4" s="1"/>
  <c r="AM33" i="4" s="1"/>
  <c r="AH32" i="4"/>
  <c r="AK32" i="4" s="1"/>
  <c r="AM32" i="4" s="1"/>
  <c r="AK31" i="4"/>
  <c r="AM31" i="4" s="1"/>
  <c r="AH31" i="4"/>
  <c r="AH30" i="4"/>
  <c r="AK30" i="4" s="1"/>
  <c r="AM30" i="4" s="1"/>
  <c r="AH28" i="4"/>
  <c r="AK28" i="4" s="1"/>
  <c r="AM28" i="4" s="1"/>
  <c r="AH27" i="4"/>
  <c r="AK27" i="4" s="1"/>
  <c r="AM27" i="4" s="1"/>
  <c r="AH26" i="4"/>
  <c r="AK26" i="4" s="1"/>
  <c r="AM26" i="4" s="1"/>
  <c r="AH25" i="4"/>
  <c r="AK25" i="4" s="1"/>
  <c r="AM25" i="4" s="1"/>
  <c r="AH24" i="4"/>
  <c r="AK24" i="4" s="1"/>
  <c r="AM24" i="4" s="1"/>
  <c r="AH23" i="4"/>
  <c r="AK23" i="4" s="1"/>
  <c r="AM23" i="4" s="1"/>
  <c r="AH22" i="4"/>
  <c r="AK22" i="4" s="1"/>
  <c r="AM22" i="4" s="1"/>
  <c r="AH21" i="4"/>
  <c r="AK21" i="4" s="1"/>
  <c r="AM21" i="4" s="1"/>
  <c r="AH20" i="4"/>
  <c r="AK20" i="4" s="1"/>
  <c r="AM20" i="4" s="1"/>
  <c r="AH19" i="4"/>
  <c r="AK19" i="4" s="1"/>
  <c r="AM19" i="4" s="1"/>
  <c r="AH18" i="4"/>
  <c r="AK18" i="4" s="1"/>
  <c r="AM18" i="4" s="1"/>
  <c r="AH17" i="4"/>
  <c r="AK17" i="4" s="1"/>
  <c r="AM17" i="4" s="1"/>
  <c r="AM16" i="4"/>
  <c r="AK16" i="4"/>
  <c r="AH16" i="4"/>
  <c r="AH14" i="4"/>
  <c r="AK14" i="4" s="1"/>
  <c r="AM14" i="4" s="1"/>
  <c r="AH13" i="4"/>
  <c r="AK13" i="4" s="1"/>
  <c r="AM13" i="4" s="1"/>
  <c r="AH12" i="4"/>
  <c r="AK12" i="4" s="1"/>
  <c r="AM12" i="4" s="1"/>
  <c r="AK11" i="4"/>
  <c r="AM11" i="4" s="1"/>
  <c r="AH11" i="4"/>
  <c r="AH10" i="4"/>
  <c r="AK10" i="4" s="1"/>
  <c r="AM10" i="4" s="1"/>
  <c r="AH9" i="4"/>
  <c r="AK9" i="4" s="1"/>
  <c r="AM9" i="4" s="1"/>
  <c r="AM51" i="4" s="1"/>
  <c r="AR53" i="4"/>
  <c r="AZ51" i="4"/>
  <c r="AR51" i="4"/>
  <c r="AY47" i="4"/>
  <c r="BA5" i="4" s="1"/>
  <c r="AR57" i="4" s="1"/>
  <c r="AV57" i="4" s="1"/>
  <c r="AR47" i="4"/>
  <c r="AT51" i="4" s="1"/>
  <c r="BA40" i="4"/>
  <c r="AV40" i="4"/>
  <c r="AV38" i="4"/>
  <c r="AY38" i="4" s="1"/>
  <c r="BA38" i="4" s="1"/>
  <c r="AV37" i="4"/>
  <c r="AY37" i="4" s="1"/>
  <c r="BA37" i="4" s="1"/>
  <c r="AV36" i="4"/>
  <c r="AY36" i="4" s="1"/>
  <c r="BA36" i="4" s="1"/>
  <c r="AV34" i="4"/>
  <c r="AY34" i="4" s="1"/>
  <c r="BA34" i="4" s="1"/>
  <c r="AV33" i="4"/>
  <c r="AY33" i="4" s="1"/>
  <c r="BA33" i="4" s="1"/>
  <c r="AV32" i="4"/>
  <c r="AY32" i="4" s="1"/>
  <c r="BA32" i="4" s="1"/>
  <c r="AV31" i="4"/>
  <c r="AY31" i="4" s="1"/>
  <c r="BA31" i="4" s="1"/>
  <c r="AV30" i="4"/>
  <c r="AY30" i="4" s="1"/>
  <c r="BA30" i="4" s="1"/>
  <c r="AV29" i="4"/>
  <c r="AY29" i="4" s="1"/>
  <c r="BA29" i="4" s="1"/>
  <c r="AV27" i="4"/>
  <c r="AY27" i="4" s="1"/>
  <c r="BA27" i="4" s="1"/>
  <c r="AV26" i="4"/>
  <c r="AY26" i="4" s="1"/>
  <c r="BA26" i="4" s="1"/>
  <c r="AV25" i="4"/>
  <c r="AY25" i="4" s="1"/>
  <c r="BA25" i="4" s="1"/>
  <c r="AV24" i="4"/>
  <c r="AY24" i="4" s="1"/>
  <c r="BA24" i="4" s="1"/>
  <c r="AV23" i="4"/>
  <c r="AY23" i="4" s="1"/>
  <c r="BA23" i="4" s="1"/>
  <c r="AV22" i="4"/>
  <c r="AY22" i="4" s="1"/>
  <c r="BA22" i="4" s="1"/>
  <c r="AV20" i="4"/>
  <c r="AY20" i="4" s="1"/>
  <c r="BA20" i="4" s="1"/>
  <c r="AV19" i="4"/>
  <c r="AY19" i="4" s="1"/>
  <c r="BA19" i="4" s="1"/>
  <c r="AV18" i="4"/>
  <c r="AY18" i="4" s="1"/>
  <c r="BA18" i="4" s="1"/>
  <c r="AV17" i="4"/>
  <c r="AY17" i="4" s="1"/>
  <c r="BA17" i="4" s="1"/>
  <c r="AV16" i="4"/>
  <c r="AY16" i="4" s="1"/>
  <c r="BA16" i="4" s="1"/>
  <c r="AV15" i="4"/>
  <c r="AY15" i="4" s="1"/>
  <c r="BA15" i="4" s="1"/>
  <c r="AV13" i="4"/>
  <c r="AY13" i="4" s="1"/>
  <c r="BA13" i="4" s="1"/>
  <c r="AV12" i="4"/>
  <c r="AY12" i="4" s="1"/>
  <c r="BA12" i="4" s="1"/>
  <c r="AV11" i="4"/>
  <c r="AY11" i="4" s="1"/>
  <c r="BA11" i="4" s="1"/>
  <c r="AV10" i="4"/>
  <c r="AY10" i="4" s="1"/>
  <c r="BA10" i="4" s="1"/>
  <c r="AV9" i="4"/>
  <c r="AY9" i="4" s="1"/>
  <c r="BA9" i="4" s="1"/>
  <c r="BA51" i="4" s="1"/>
  <c r="AY51" i="4" s="1"/>
  <c r="BA47" i="4" s="1"/>
  <c r="BA6" i="4" s="1"/>
  <c r="AR58" i="4" s="1"/>
  <c r="AV58" i="4" s="1"/>
  <c r="AR5" i="4"/>
  <c r="AR54" i="4" s="1"/>
  <c r="AV54" i="4" s="1"/>
  <c r="BE53" i="4"/>
  <c r="BM51" i="4"/>
  <c r="BE51" i="4"/>
  <c r="BL47" i="4"/>
  <c r="BE47" i="4"/>
  <c r="BG51" i="4" s="1"/>
  <c r="BN40" i="4"/>
  <c r="BI40" i="4"/>
  <c r="BI38" i="4"/>
  <c r="BL38" i="4" s="1"/>
  <c r="BN38" i="4" s="1"/>
  <c r="BL37" i="4"/>
  <c r="BN37" i="4" s="1"/>
  <c r="BI37" i="4"/>
  <c r="BI36" i="4"/>
  <c r="BL36" i="4" s="1"/>
  <c r="BN36" i="4" s="1"/>
  <c r="BI34" i="4"/>
  <c r="BL34" i="4" s="1"/>
  <c r="BN34" i="4" s="1"/>
  <c r="BI33" i="4"/>
  <c r="BL33" i="4" s="1"/>
  <c r="BN33" i="4" s="1"/>
  <c r="BI32" i="4"/>
  <c r="BL32" i="4" s="1"/>
  <c r="BN32" i="4" s="1"/>
  <c r="BI31" i="4"/>
  <c r="BL31" i="4" s="1"/>
  <c r="BN31" i="4" s="1"/>
  <c r="BI30" i="4"/>
  <c r="BL30" i="4" s="1"/>
  <c r="BN30" i="4" s="1"/>
  <c r="BI29" i="4"/>
  <c r="BL29" i="4" s="1"/>
  <c r="BN29" i="4" s="1"/>
  <c r="BI27" i="4"/>
  <c r="BL27" i="4" s="1"/>
  <c r="BN27" i="4" s="1"/>
  <c r="BI26" i="4"/>
  <c r="BL26" i="4" s="1"/>
  <c r="BN26" i="4" s="1"/>
  <c r="BL25" i="4"/>
  <c r="BN25" i="4" s="1"/>
  <c r="BI25" i="4"/>
  <c r="BI24" i="4"/>
  <c r="BL24" i="4" s="1"/>
  <c r="BN24" i="4" s="1"/>
  <c r="BI23" i="4"/>
  <c r="BL23" i="4" s="1"/>
  <c r="BN23" i="4" s="1"/>
  <c r="BI22" i="4"/>
  <c r="BL22" i="4" s="1"/>
  <c r="BN22" i="4" s="1"/>
  <c r="BI20" i="4"/>
  <c r="BL20" i="4" s="1"/>
  <c r="BN20" i="4" s="1"/>
  <c r="BI19" i="4"/>
  <c r="BL19" i="4" s="1"/>
  <c r="BN19" i="4" s="1"/>
  <c r="BL18" i="4"/>
  <c r="BN18" i="4" s="1"/>
  <c r="BI18" i="4"/>
  <c r="BI17" i="4"/>
  <c r="BL17" i="4" s="1"/>
  <c r="BN17" i="4" s="1"/>
  <c r="BI16" i="4"/>
  <c r="BL16" i="4" s="1"/>
  <c r="BN16" i="4" s="1"/>
  <c r="BI15" i="4"/>
  <c r="BL15" i="4" s="1"/>
  <c r="BN15" i="4" s="1"/>
  <c r="BI13" i="4"/>
  <c r="BL13" i="4" s="1"/>
  <c r="BN13" i="4" s="1"/>
  <c r="BI12" i="4"/>
  <c r="BL12" i="4" s="1"/>
  <c r="BN12" i="4" s="1"/>
  <c r="BI11" i="4"/>
  <c r="BL11" i="4" s="1"/>
  <c r="BN11" i="4" s="1"/>
  <c r="BI10" i="4"/>
  <c r="BL10" i="4" s="1"/>
  <c r="BN10" i="4" s="1"/>
  <c r="BN5" i="4"/>
  <c r="BE57" i="4" s="1"/>
  <c r="BI57" i="4" s="1"/>
  <c r="BE5" i="4"/>
  <c r="BE54" i="4" s="1"/>
  <c r="BI54" i="4" s="1"/>
  <c r="BS53" i="4"/>
  <c r="CA51" i="4"/>
  <c r="BW51" i="4"/>
  <c r="BS51" i="4"/>
  <c r="BZ47" i="4"/>
  <c r="CB5" i="4" s="1"/>
  <c r="BS57" i="4" s="1"/>
  <c r="BW57" i="4" s="1"/>
  <c r="BS47" i="4"/>
  <c r="BS5" i="4" s="1"/>
  <c r="BS54" i="4" s="1"/>
  <c r="BW54" i="4" s="1"/>
  <c r="CB40" i="4"/>
  <c r="BW40" i="4"/>
  <c r="BW38" i="4"/>
  <c r="BZ38" i="4" s="1"/>
  <c r="CB38" i="4" s="1"/>
  <c r="BW37" i="4"/>
  <c r="BZ37" i="4" s="1"/>
  <c r="CB37" i="4" s="1"/>
  <c r="BW36" i="4"/>
  <c r="BZ36" i="4" s="1"/>
  <c r="CB36" i="4" s="1"/>
  <c r="BW34" i="4"/>
  <c r="BZ34" i="4" s="1"/>
  <c r="CB34" i="4" s="1"/>
  <c r="BW33" i="4"/>
  <c r="BZ33" i="4" s="1"/>
  <c r="CB33" i="4" s="1"/>
  <c r="BW32" i="4"/>
  <c r="BZ32" i="4" s="1"/>
  <c r="CB32" i="4" s="1"/>
  <c r="BW31" i="4"/>
  <c r="BZ31" i="4" s="1"/>
  <c r="CB31" i="4" s="1"/>
  <c r="BW30" i="4"/>
  <c r="BZ30" i="4" s="1"/>
  <c r="CB30" i="4" s="1"/>
  <c r="BW29" i="4"/>
  <c r="BZ29" i="4" s="1"/>
  <c r="CB29" i="4" s="1"/>
  <c r="BW27" i="4"/>
  <c r="BZ27" i="4" s="1"/>
  <c r="CB27" i="4" s="1"/>
  <c r="CB26" i="4"/>
  <c r="BZ26" i="4"/>
  <c r="BW26" i="4"/>
  <c r="BW25" i="4"/>
  <c r="BZ25" i="4" s="1"/>
  <c r="CB25" i="4" s="1"/>
  <c r="BW24" i="4"/>
  <c r="BZ24" i="4" s="1"/>
  <c r="CB24" i="4" s="1"/>
  <c r="BW23" i="4"/>
  <c r="BZ23" i="4" s="1"/>
  <c r="CB23" i="4" s="1"/>
  <c r="BW22" i="4"/>
  <c r="BZ22" i="4" s="1"/>
  <c r="CB22" i="4" s="1"/>
  <c r="CB20" i="4"/>
  <c r="BZ20" i="4"/>
  <c r="BW20" i="4"/>
  <c r="BW19" i="4"/>
  <c r="BZ19" i="4" s="1"/>
  <c r="CB19" i="4" s="1"/>
  <c r="BW18" i="4"/>
  <c r="BZ18" i="4" s="1"/>
  <c r="CB18" i="4" s="1"/>
  <c r="BW17" i="4"/>
  <c r="BZ17" i="4" s="1"/>
  <c r="CB17" i="4" s="1"/>
  <c r="BW16" i="4"/>
  <c r="BZ16" i="4" s="1"/>
  <c r="CB16" i="4" s="1"/>
  <c r="BZ15" i="4"/>
  <c r="CB15" i="4" s="1"/>
  <c r="BW15" i="4"/>
  <c r="BW13" i="4"/>
  <c r="BZ13" i="4" s="1"/>
  <c r="CB13" i="4" s="1"/>
  <c r="BW12" i="4"/>
  <c r="BZ12" i="4" s="1"/>
  <c r="CB12" i="4" s="1"/>
  <c r="BW11" i="4"/>
  <c r="BZ11" i="4" s="1"/>
  <c r="CB11" i="4" s="1"/>
  <c r="BZ10" i="4"/>
  <c r="CB10" i="4" s="1"/>
  <c r="BW10" i="4"/>
  <c r="BW9" i="4"/>
  <c r="BZ9" i="4" s="1"/>
  <c r="CB9" i="4" s="1"/>
  <c r="CB51" i="4" s="1"/>
  <c r="CX9" i="4"/>
  <c r="DA9" i="4" s="1"/>
  <c r="DC9" i="4" s="1"/>
  <c r="DC51" i="4" s="1"/>
  <c r="CX10" i="4"/>
  <c r="DA10" i="4" s="1"/>
  <c r="DC10" i="4" s="1"/>
  <c r="CX11" i="4"/>
  <c r="DA11" i="4" s="1"/>
  <c r="DC11" i="4" s="1"/>
  <c r="CX12" i="4"/>
  <c r="DA12" i="4"/>
  <c r="DC12" i="4" s="1"/>
  <c r="CX13" i="4"/>
  <c r="DA13" i="4" s="1"/>
  <c r="DC13" i="4" s="1"/>
  <c r="CX14" i="4"/>
  <c r="DA14" i="4" s="1"/>
  <c r="DC14" i="4" s="1"/>
  <c r="CX15" i="4"/>
  <c r="DA15" i="4" s="1"/>
  <c r="DC15" i="4" s="1"/>
  <c r="CX16" i="4"/>
  <c r="DA16" i="4"/>
  <c r="DC16" i="4" s="1"/>
  <c r="CX17" i="4"/>
  <c r="DA17" i="4" s="1"/>
  <c r="DC17" i="4" s="1"/>
  <c r="CX18" i="4"/>
  <c r="DA18" i="4" s="1"/>
  <c r="DC18" i="4" s="1"/>
  <c r="CX19" i="4"/>
  <c r="DA19" i="4" s="1"/>
  <c r="DC19" i="4" s="1"/>
  <c r="CX20" i="4"/>
  <c r="DA20" i="4" s="1"/>
  <c r="DC20" i="4" s="1"/>
  <c r="CX21" i="4"/>
  <c r="DA21" i="4" s="1"/>
  <c r="DC21" i="4" s="1"/>
  <c r="CX22" i="4"/>
  <c r="DA22" i="4"/>
  <c r="DC22" i="4" s="1"/>
  <c r="CX23" i="4"/>
  <c r="DA23" i="4" s="1"/>
  <c r="DC23" i="4" s="1"/>
  <c r="CX24" i="4"/>
  <c r="DA24" i="4"/>
  <c r="DC24" i="4" s="1"/>
  <c r="CX25" i="4"/>
  <c r="DA25" i="4" s="1"/>
  <c r="DC25" i="4" s="1"/>
  <c r="CX26" i="4"/>
  <c r="DA26" i="4" s="1"/>
  <c r="DC26" i="4" s="1"/>
  <c r="CX27" i="4"/>
  <c r="DA27" i="4" s="1"/>
  <c r="DC27" i="4" s="1"/>
  <c r="CX28" i="4"/>
  <c r="DA28" i="4"/>
  <c r="DC28" i="4" s="1"/>
  <c r="CX29" i="4"/>
  <c r="DA29" i="4" s="1"/>
  <c r="DC29" i="4" s="1"/>
  <c r="CX30" i="4"/>
  <c r="DA30" i="4"/>
  <c r="DC30" i="4" s="1"/>
  <c r="CX31" i="4"/>
  <c r="DA31" i="4" s="1"/>
  <c r="DC31" i="4" s="1"/>
  <c r="CX32" i="4"/>
  <c r="DA32" i="4"/>
  <c r="DC32" i="4" s="1"/>
  <c r="CX33" i="4"/>
  <c r="DA33" i="4" s="1"/>
  <c r="DC33" i="4" s="1"/>
  <c r="CX34" i="4"/>
  <c r="DA34" i="4" s="1"/>
  <c r="DC34" i="4" s="1"/>
  <c r="CX35" i="4"/>
  <c r="DA35" i="4" s="1"/>
  <c r="DC35" i="4" s="1"/>
  <c r="CX36" i="4"/>
  <c r="DA36" i="4"/>
  <c r="DC36" i="4" s="1"/>
  <c r="CX37" i="4"/>
  <c r="DA37" i="4" s="1"/>
  <c r="DC37" i="4" s="1"/>
  <c r="CX38" i="4"/>
  <c r="DA38" i="4"/>
  <c r="DC38" i="4" s="1"/>
  <c r="CX40" i="4"/>
  <c r="DC40" i="4"/>
  <c r="CT47" i="4"/>
  <c r="CT5" i="4" s="1"/>
  <c r="CT54" i="4" s="1"/>
  <c r="CX54" i="4" s="1"/>
  <c r="DA47" i="4"/>
  <c r="DC5" i="4" s="1"/>
  <c r="CT57" i="4" s="1"/>
  <c r="CX57" i="4" s="1"/>
  <c r="CT51" i="4"/>
  <c r="CX51" i="4"/>
  <c r="DB51" i="4"/>
  <c r="CT53" i="4"/>
  <c r="CF53" i="4"/>
  <c r="CN51" i="4"/>
  <c r="CK51" i="4"/>
  <c r="CJ51" i="4"/>
  <c r="CF51" i="4"/>
  <c r="CM47" i="4"/>
  <c r="CF47" i="4"/>
  <c r="CH51" i="4" s="1"/>
  <c r="CO40" i="4"/>
  <c r="CJ40" i="4"/>
  <c r="CO51" i="4"/>
  <c r="CO5" i="4"/>
  <c r="CF57" i="4" s="1"/>
  <c r="CJ57" i="4" s="1"/>
  <c r="U35" i="4"/>
  <c r="X35" i="4" s="1"/>
  <c r="Z35" i="4" s="1"/>
  <c r="U28" i="4"/>
  <c r="X28" i="4" s="1"/>
  <c r="Z28" i="4" s="1"/>
  <c r="U21" i="4"/>
  <c r="X21" i="4" s="1"/>
  <c r="Z21" i="4" s="1"/>
  <c r="U14" i="4"/>
  <c r="X14" i="4"/>
  <c r="Z14" i="4" s="1"/>
  <c r="Q53" i="4"/>
  <c r="Y51" i="4"/>
  <c r="U51" i="4"/>
  <c r="Q51" i="4"/>
  <c r="X47" i="4"/>
  <c r="Z5" i="4" s="1"/>
  <c r="Q57" i="4" s="1"/>
  <c r="U57" i="4" s="1"/>
  <c r="Q47" i="4"/>
  <c r="Q5" i="4" s="1"/>
  <c r="Q54" i="4" s="1"/>
  <c r="U54" i="4" s="1"/>
  <c r="Z40" i="4"/>
  <c r="U40" i="4"/>
  <c r="U38" i="4"/>
  <c r="X38" i="4" s="1"/>
  <c r="Z38" i="4" s="1"/>
  <c r="U37" i="4"/>
  <c r="X37" i="4" s="1"/>
  <c r="Z37" i="4" s="1"/>
  <c r="U36" i="4"/>
  <c r="X36" i="4" s="1"/>
  <c r="Z36" i="4" s="1"/>
  <c r="U34" i="4"/>
  <c r="X34" i="4" s="1"/>
  <c r="Z34" i="4" s="1"/>
  <c r="U33" i="4"/>
  <c r="X33" i="4" s="1"/>
  <c r="Z33" i="4" s="1"/>
  <c r="U32" i="4"/>
  <c r="X32" i="4" s="1"/>
  <c r="Z32" i="4" s="1"/>
  <c r="U31" i="4"/>
  <c r="X31" i="4" s="1"/>
  <c r="Z31" i="4" s="1"/>
  <c r="U30" i="4"/>
  <c r="X30" i="4" s="1"/>
  <c r="Z30" i="4" s="1"/>
  <c r="U29" i="4"/>
  <c r="X29" i="4" s="1"/>
  <c r="Z29" i="4" s="1"/>
  <c r="U27" i="4"/>
  <c r="X27" i="4" s="1"/>
  <c r="Z27" i="4" s="1"/>
  <c r="U26" i="4"/>
  <c r="X26" i="4" s="1"/>
  <c r="Z26" i="4" s="1"/>
  <c r="U25" i="4"/>
  <c r="X25" i="4" s="1"/>
  <c r="Z25" i="4" s="1"/>
  <c r="U24" i="4"/>
  <c r="X24" i="4" s="1"/>
  <c r="Z24" i="4" s="1"/>
  <c r="U23" i="4"/>
  <c r="X23" i="4" s="1"/>
  <c r="Z23" i="4" s="1"/>
  <c r="X22" i="4"/>
  <c r="Z22" i="4" s="1"/>
  <c r="U22" i="4"/>
  <c r="U20" i="4"/>
  <c r="X20" i="4" s="1"/>
  <c r="Z20" i="4" s="1"/>
  <c r="U19" i="4"/>
  <c r="X19" i="4" s="1"/>
  <c r="Z19" i="4" s="1"/>
  <c r="U18" i="4"/>
  <c r="X18" i="4" s="1"/>
  <c r="Z18" i="4" s="1"/>
  <c r="U17" i="4"/>
  <c r="X17" i="4" s="1"/>
  <c r="Z17" i="4" s="1"/>
  <c r="U16" i="4"/>
  <c r="X16" i="4" s="1"/>
  <c r="Z16" i="4" s="1"/>
  <c r="U15" i="4"/>
  <c r="X15" i="4" s="1"/>
  <c r="Z15" i="4" s="1"/>
  <c r="U13" i="4"/>
  <c r="X13" i="4" s="1"/>
  <c r="Z13" i="4" s="1"/>
  <c r="U12" i="4"/>
  <c r="X12" i="4" s="1"/>
  <c r="Z12" i="4" s="1"/>
  <c r="U11" i="4"/>
  <c r="X11" i="4" s="1"/>
  <c r="Z11" i="4" s="1"/>
  <c r="U10" i="4"/>
  <c r="X10" i="4" s="1"/>
  <c r="Z10" i="4" s="1"/>
  <c r="U9" i="4"/>
  <c r="X9" i="4" s="1"/>
  <c r="Z9" i="4" s="1"/>
  <c r="Z51" i="4" s="1"/>
  <c r="C47" i="4"/>
  <c r="E51" i="4" s="1"/>
  <c r="C51" i="4"/>
  <c r="G51" i="4"/>
  <c r="K51" i="4"/>
  <c r="G9" i="4"/>
  <c r="J9" i="4" s="1"/>
  <c r="L9" i="4" s="1"/>
  <c r="L51" i="4" s="1"/>
  <c r="J51" i="4" s="1"/>
  <c r="L47" i="4" s="1"/>
  <c r="L6" i="4" s="1"/>
  <c r="J47" i="4"/>
  <c r="L5" i="4" s="1"/>
  <c r="DT1" i="10"/>
  <c r="L40" i="4"/>
  <c r="G40" i="4"/>
  <c r="G38" i="4"/>
  <c r="G37" i="4"/>
  <c r="G34" i="4"/>
  <c r="G33" i="4"/>
  <c r="G32" i="4"/>
  <c r="G31" i="4"/>
  <c r="G30" i="4"/>
  <c r="G29" i="4"/>
  <c r="G27" i="4"/>
  <c r="G26" i="4"/>
  <c r="G25" i="4"/>
  <c r="G24" i="4"/>
  <c r="G23" i="4"/>
  <c r="G22" i="4"/>
  <c r="G20" i="4"/>
  <c r="G19" i="4"/>
  <c r="G18" i="4"/>
  <c r="G17" i="4"/>
  <c r="G16" i="4"/>
  <c r="G15" i="4"/>
  <c r="G13" i="4"/>
  <c r="G12" i="4"/>
  <c r="G11" i="4"/>
  <c r="G10" i="4"/>
  <c r="AD51" i="8"/>
  <c r="AE51" i="8"/>
  <c r="AH51" i="8"/>
  <c r="AI51" i="8"/>
  <c r="AK47" i="8"/>
  <c r="AK51" i="8"/>
  <c r="AL51" i="8"/>
  <c r="AM51" i="8"/>
  <c r="AH38" i="8"/>
  <c r="AH37" i="8"/>
  <c r="AH36" i="8"/>
  <c r="AH34" i="8"/>
  <c r="AH33" i="8"/>
  <c r="AH32" i="8"/>
  <c r="AH31" i="8"/>
  <c r="AH30" i="8"/>
  <c r="AH29" i="8"/>
  <c r="AH27" i="8"/>
  <c r="AH26" i="8"/>
  <c r="AH25" i="8"/>
  <c r="AH24" i="8"/>
  <c r="AH23" i="8"/>
  <c r="AH22" i="8"/>
  <c r="AH20" i="8"/>
  <c r="AH19" i="8"/>
  <c r="AH18" i="8"/>
  <c r="AH17" i="8"/>
  <c r="AH16" i="8"/>
  <c r="AH15" i="8"/>
  <c r="AH13" i="8"/>
  <c r="AH12" i="8"/>
  <c r="AH11" i="8"/>
  <c r="AH10" i="8"/>
  <c r="AH9" i="8"/>
  <c r="JL1" i="10"/>
  <c r="IK1" i="9"/>
  <c r="AD53" i="8"/>
  <c r="AD47" i="8"/>
  <c r="AM40" i="8"/>
  <c r="AH40" i="8"/>
  <c r="AP1" i="9"/>
  <c r="BE53" i="10"/>
  <c r="BM51" i="10"/>
  <c r="BI51" i="10"/>
  <c r="BE51" i="10"/>
  <c r="BL47" i="10"/>
  <c r="BE47" i="10"/>
  <c r="BN5" i="10"/>
  <c r="CS1" i="6"/>
  <c r="CU53" i="11"/>
  <c r="DC51" i="11"/>
  <c r="CY51" i="11"/>
  <c r="CU51" i="11"/>
  <c r="DB47" i="11"/>
  <c r="CU47" i="11"/>
  <c r="DD40" i="11"/>
  <c r="CY40" i="11"/>
  <c r="CR1" i="4"/>
  <c r="AB1" i="5"/>
  <c r="IR51" i="10" l="1"/>
  <c r="IP51" i="10" s="1"/>
  <c r="IQ47" i="10" s="1"/>
  <c r="IQ5" i="10" s="1"/>
  <c r="IM56" i="10" s="1"/>
  <c r="IQ56" i="10" s="1"/>
  <c r="IN51" i="10"/>
  <c r="IK51" i="10" s="1"/>
  <c r="IO47" i="10" s="1"/>
  <c r="IM6" i="10" s="1"/>
  <c r="IM55" i="10" s="1"/>
  <c r="IQ55" i="10" s="1"/>
  <c r="IT51" i="10"/>
  <c r="IV47" i="10" s="1"/>
  <c r="IV6" i="10" s="1"/>
  <c r="IM58" i="10" s="1"/>
  <c r="IQ58" i="10" s="1"/>
  <c r="FQ51" i="10"/>
  <c r="FS47" i="10" s="1"/>
  <c r="FS6" i="10" s="1"/>
  <c r="FJ58" i="10" s="1"/>
  <c r="FN58" i="10" s="1"/>
  <c r="DV5" i="10"/>
  <c r="DV54" i="10" s="1"/>
  <c r="DZ54" i="10" s="1"/>
  <c r="EC51" i="10"/>
  <c r="EE47" i="10" s="1"/>
  <c r="EE6" i="10" s="1"/>
  <c r="DV58" i="10" s="1"/>
  <c r="DZ58" i="10" s="1"/>
  <c r="CY51" i="10"/>
  <c r="CU51" i="10"/>
  <c r="CR51" i="10" s="1"/>
  <c r="CV47" i="10" s="1"/>
  <c r="CT6" i="10" s="1"/>
  <c r="CT55" i="10" s="1"/>
  <c r="CX55" i="10" s="1"/>
  <c r="CW51" i="10"/>
  <c r="CX47" i="10" s="1"/>
  <c r="CX5" i="10" s="1"/>
  <c r="CT56" i="10" s="1"/>
  <c r="CX56" i="10" s="1"/>
  <c r="CT5" i="10"/>
  <c r="CT54" i="10" s="1"/>
  <c r="CX54" i="10" s="1"/>
  <c r="BZ51" i="10"/>
  <c r="CB47" i="10" s="1"/>
  <c r="CB6" i="10" s="1"/>
  <c r="BS58" i="10" s="1"/>
  <c r="BW58" i="10" s="1"/>
  <c r="KC51" i="10"/>
  <c r="JZ51" i="10" s="1"/>
  <c r="KD47" i="10" s="1"/>
  <c r="KB6" i="10" s="1"/>
  <c r="KB55" i="10" s="1"/>
  <c r="KF55" i="10" s="1"/>
  <c r="KE51" i="10"/>
  <c r="KF47" i="10" s="1"/>
  <c r="KF5" i="10" s="1"/>
  <c r="KB56" i="10" s="1"/>
  <c r="KF56" i="10" s="1"/>
  <c r="EN51" i="10"/>
  <c r="EL51" i="10"/>
  <c r="EM47" i="10" s="1"/>
  <c r="EM5" i="10" s="1"/>
  <c r="EI56" i="10" s="1"/>
  <c r="EM56" i="10" s="1"/>
  <c r="EJ51" i="10"/>
  <c r="EG51" i="10" s="1"/>
  <c r="EK47" i="10" s="1"/>
  <c r="EI6" i="10" s="1"/>
  <c r="EI55" i="10" s="1"/>
  <c r="EM55" i="10" s="1"/>
  <c r="EM59" i="10" s="1"/>
  <c r="EM63" i="10" s="1"/>
  <c r="HQ51" i="10"/>
  <c r="HO51" i="10" s="1"/>
  <c r="HP47" i="10" s="1"/>
  <c r="HP5" i="10" s="1"/>
  <c r="HL56" i="10" s="1"/>
  <c r="HP56" i="10" s="1"/>
  <c r="HM51" i="10"/>
  <c r="HJ51" i="10" s="1"/>
  <c r="HN47" i="10" s="1"/>
  <c r="HL6" i="10" s="1"/>
  <c r="HL55" i="10" s="1"/>
  <c r="HP55" i="10" s="1"/>
  <c r="HS51" i="10"/>
  <c r="HU47" i="10" s="1"/>
  <c r="HU6" i="10" s="1"/>
  <c r="HL58" i="10" s="1"/>
  <c r="HP58" i="10" s="1"/>
  <c r="AW51" i="10"/>
  <c r="AU51" i="10" s="1"/>
  <c r="AV47" i="10" s="1"/>
  <c r="AV5" i="10" s="1"/>
  <c r="AR56" i="10" s="1"/>
  <c r="AV56" i="10" s="1"/>
  <c r="AS51" i="10"/>
  <c r="AP51" i="10" s="1"/>
  <c r="AT47" i="10" s="1"/>
  <c r="AR6" i="10" s="1"/>
  <c r="AR55" i="10" s="1"/>
  <c r="AV55" i="10" s="1"/>
  <c r="AV59" i="10" s="1"/>
  <c r="AV63" i="10" s="1"/>
  <c r="HD51" i="10"/>
  <c r="HB51" i="10" s="1"/>
  <c r="HC47" i="10" s="1"/>
  <c r="HC5" i="10" s="1"/>
  <c r="GY56" i="10" s="1"/>
  <c r="HC56" i="10" s="1"/>
  <c r="GP51" i="10"/>
  <c r="GN51" i="10" s="1"/>
  <c r="GO47" i="10" s="1"/>
  <c r="GO5" i="10" s="1"/>
  <c r="GK56" i="10" s="1"/>
  <c r="GO56" i="10" s="1"/>
  <c r="JO51" i="10"/>
  <c r="JL51" i="10" s="1"/>
  <c r="JP47" i="10" s="1"/>
  <c r="JN6" i="10" s="1"/>
  <c r="JN55" i="10" s="1"/>
  <c r="JR55" i="10" s="1"/>
  <c r="JR59" i="10" s="1"/>
  <c r="JR63" i="10" s="1"/>
  <c r="JS51" i="10"/>
  <c r="JQ51" i="10" s="1"/>
  <c r="JR47" i="10" s="1"/>
  <c r="JR5" i="10" s="1"/>
  <c r="JN56" i="10" s="1"/>
  <c r="JR56" i="10" s="1"/>
  <c r="JF51" i="10"/>
  <c r="JD51" i="10" s="1"/>
  <c r="JE47" i="10" s="1"/>
  <c r="JE5" i="10" s="1"/>
  <c r="JA56" i="10" s="1"/>
  <c r="JE56" i="10" s="1"/>
  <c r="JB51" i="10"/>
  <c r="IY51" i="10" s="1"/>
  <c r="JC47" i="10" s="1"/>
  <c r="JA6" i="10" s="1"/>
  <c r="JA55" i="10" s="1"/>
  <c r="JE55" i="10" s="1"/>
  <c r="JH51" i="10"/>
  <c r="JJ47" i="10" s="1"/>
  <c r="JJ6" i="10" s="1"/>
  <c r="JA58" i="10" s="1"/>
  <c r="JE58" i="10" s="1"/>
  <c r="JA5" i="10"/>
  <c r="JA54" i="10" s="1"/>
  <c r="JE54" i="10" s="1"/>
  <c r="IM5" i="10"/>
  <c r="IM54" i="10" s="1"/>
  <c r="IQ54" i="10" s="1"/>
  <c r="ID59" i="10"/>
  <c r="ID63" i="10" s="1"/>
  <c r="GZ51" i="10"/>
  <c r="GW51" i="10" s="1"/>
  <c r="HA47" i="10" s="1"/>
  <c r="GY6" i="10" s="1"/>
  <c r="GY55" i="10" s="1"/>
  <c r="HC55" i="10" s="1"/>
  <c r="HF51" i="10"/>
  <c r="HH47" i="10" s="1"/>
  <c r="HH6" i="10" s="1"/>
  <c r="GY58" i="10" s="1"/>
  <c r="HC58" i="10" s="1"/>
  <c r="GL51" i="10"/>
  <c r="GI51" i="10" s="1"/>
  <c r="GM47" i="10" s="1"/>
  <c r="GK6" i="10" s="1"/>
  <c r="GK55" i="10" s="1"/>
  <c r="GO55" i="10" s="1"/>
  <c r="GR51" i="10"/>
  <c r="GT47" i="10" s="1"/>
  <c r="GT6" i="10" s="1"/>
  <c r="GK58" i="10" s="1"/>
  <c r="GO58" i="10" s="1"/>
  <c r="FY51" i="10"/>
  <c r="FV51" i="10" s="1"/>
  <c r="FZ47" i="10" s="1"/>
  <c r="FX6" i="10" s="1"/>
  <c r="FX55" i="10" s="1"/>
  <c r="GB55" i="10" s="1"/>
  <c r="GA51" i="10"/>
  <c r="GB47" i="10" s="1"/>
  <c r="GB5" i="10" s="1"/>
  <c r="FX56" i="10" s="1"/>
  <c r="GB56" i="10" s="1"/>
  <c r="GE51" i="10"/>
  <c r="GG47" i="10" s="1"/>
  <c r="GG6" i="10" s="1"/>
  <c r="FX58" i="10" s="1"/>
  <c r="GB58" i="10" s="1"/>
  <c r="FX5" i="10"/>
  <c r="FX54" i="10" s="1"/>
  <c r="GB54" i="10" s="1"/>
  <c r="FO51" i="10"/>
  <c r="FM51" i="10" s="1"/>
  <c r="FN47" i="10" s="1"/>
  <c r="FN5" i="10" s="1"/>
  <c r="FJ56" i="10" s="1"/>
  <c r="FN56" i="10" s="1"/>
  <c r="FK51" i="10"/>
  <c r="FH51" i="10" s="1"/>
  <c r="FL47" i="10" s="1"/>
  <c r="FJ6" i="10" s="1"/>
  <c r="FJ55" i="10" s="1"/>
  <c r="FN55" i="10" s="1"/>
  <c r="FJ5" i="10"/>
  <c r="FJ54" i="10" s="1"/>
  <c r="FN54" i="10" s="1"/>
  <c r="EX51" i="10"/>
  <c r="EU51" i="10" s="1"/>
  <c r="EY47" i="10" s="1"/>
  <c r="EW6" i="10" s="1"/>
  <c r="EW55" i="10" s="1"/>
  <c r="FA55" i="10" s="1"/>
  <c r="EZ51" i="10"/>
  <c r="FA47" i="10" s="1"/>
  <c r="FA5" i="10" s="1"/>
  <c r="EW56" i="10" s="1"/>
  <c r="FA56" i="10" s="1"/>
  <c r="FD51" i="10"/>
  <c r="FF47" i="10" s="1"/>
  <c r="FF6" i="10" s="1"/>
  <c r="EW58" i="10" s="1"/>
  <c r="FA58" i="10" s="1"/>
  <c r="DW51" i="10"/>
  <c r="DT51" i="10" s="1"/>
  <c r="DX47" i="10" s="1"/>
  <c r="DV6" i="10" s="1"/>
  <c r="DV55" i="10" s="1"/>
  <c r="DZ55" i="10" s="1"/>
  <c r="EA51" i="10"/>
  <c r="DY51" i="10" s="1"/>
  <c r="DZ47" i="10" s="1"/>
  <c r="DZ5" i="10" s="1"/>
  <c r="DV56" i="10" s="1"/>
  <c r="DZ56" i="10" s="1"/>
  <c r="DM51" i="10"/>
  <c r="DK51" i="10" s="1"/>
  <c r="DL47" i="10" s="1"/>
  <c r="DL5" i="10" s="1"/>
  <c r="DH56" i="10" s="1"/>
  <c r="DL56" i="10" s="1"/>
  <c r="DO51" i="10"/>
  <c r="DQ47" i="10" s="1"/>
  <c r="DQ6" i="10" s="1"/>
  <c r="DH58" i="10" s="1"/>
  <c r="DL58" i="10" s="1"/>
  <c r="DI51" i="10"/>
  <c r="DF51" i="10" s="1"/>
  <c r="DJ47" i="10" s="1"/>
  <c r="DH6" i="10" s="1"/>
  <c r="DH55" i="10" s="1"/>
  <c r="DL55" i="10" s="1"/>
  <c r="DH5" i="10"/>
  <c r="DH54" i="10" s="1"/>
  <c r="DL54" i="10" s="1"/>
  <c r="BT51" i="10"/>
  <c r="BQ51" i="10" s="1"/>
  <c r="BU47" i="10" s="1"/>
  <c r="BS6" i="10" s="1"/>
  <c r="BS55" i="10" s="1"/>
  <c r="BW55" i="10" s="1"/>
  <c r="CH51" i="10"/>
  <c r="CE51" i="10" s="1"/>
  <c r="CI47" i="10" s="1"/>
  <c r="CG6" i="10" s="1"/>
  <c r="CG55" i="10" s="1"/>
  <c r="CK55" i="10" s="1"/>
  <c r="CK59" i="10" s="1"/>
  <c r="CK63" i="10" s="1"/>
  <c r="BX51" i="10"/>
  <c r="BV51" i="10" s="1"/>
  <c r="BW47" i="10" s="1"/>
  <c r="BW5" i="10" s="1"/>
  <c r="BS56" i="10" s="1"/>
  <c r="BW56" i="10" s="1"/>
  <c r="CJ51" i="10"/>
  <c r="CK47" i="10" s="1"/>
  <c r="CK5" i="10" s="1"/>
  <c r="CG56" i="10" s="1"/>
  <c r="CK56" i="10" s="1"/>
  <c r="AE51" i="10"/>
  <c r="AI51" i="10"/>
  <c r="AG51" i="10" s="1"/>
  <c r="AH47" i="10" s="1"/>
  <c r="AH5" i="10" s="1"/>
  <c r="AD56" i="10" s="1"/>
  <c r="AH56" i="10" s="1"/>
  <c r="AB51" i="10"/>
  <c r="AF47" i="10" s="1"/>
  <c r="AD6" i="10" s="1"/>
  <c r="AD55" i="10" s="1"/>
  <c r="AH55" i="10" s="1"/>
  <c r="AH59" i="10" s="1"/>
  <c r="AH63" i="10" s="1"/>
  <c r="R51" i="10"/>
  <c r="O51" i="10" s="1"/>
  <c r="S47" i="10" s="1"/>
  <c r="Q6" i="10" s="1"/>
  <c r="Q55" i="10" s="1"/>
  <c r="U55" i="10" s="1"/>
  <c r="V51" i="10"/>
  <c r="T51" i="10" s="1"/>
  <c r="U47" i="10" s="1"/>
  <c r="U5" i="10" s="1"/>
  <c r="Q56" i="10" s="1"/>
  <c r="U56" i="10" s="1"/>
  <c r="H51" i="10"/>
  <c r="F51" i="10" s="1"/>
  <c r="G47" i="10" s="1"/>
  <c r="G5" i="10" s="1"/>
  <c r="C56" i="10" s="1"/>
  <c r="G56" i="10" s="1"/>
  <c r="D51" i="10"/>
  <c r="A51" i="10" s="1"/>
  <c r="E47" i="10" s="1"/>
  <c r="C6" i="10" s="1"/>
  <c r="C55" i="10" s="1"/>
  <c r="G55" i="10" s="1"/>
  <c r="GP51" i="9"/>
  <c r="GN51" i="9" s="1"/>
  <c r="GO47" i="9" s="1"/>
  <c r="GO5" i="9" s="1"/>
  <c r="GK56" i="9" s="1"/>
  <c r="GO56" i="9" s="1"/>
  <c r="EJ51" i="9"/>
  <c r="EG51" i="9" s="1"/>
  <c r="EK47" i="9" s="1"/>
  <c r="EI6" i="9" s="1"/>
  <c r="EI55" i="9" s="1"/>
  <c r="EM55" i="9" s="1"/>
  <c r="CG5" i="9"/>
  <c r="CG54" i="9" s="1"/>
  <c r="CK54" i="9" s="1"/>
  <c r="JE51" i="9"/>
  <c r="JA51" i="9"/>
  <c r="IX51" i="9" s="1"/>
  <c r="JB47" i="9" s="1"/>
  <c r="IZ6" i="9" s="1"/>
  <c r="IZ55" i="9" s="1"/>
  <c r="JD55" i="9" s="1"/>
  <c r="JC51" i="9"/>
  <c r="JD47" i="9" s="1"/>
  <c r="JD5" i="9" s="1"/>
  <c r="IZ56" i="9" s="1"/>
  <c r="JD56" i="9" s="1"/>
  <c r="IZ5" i="9"/>
  <c r="IZ54" i="9" s="1"/>
  <c r="JD54" i="9" s="1"/>
  <c r="IN51" i="9"/>
  <c r="IK51" i="9" s="1"/>
  <c r="IO47" i="9" s="1"/>
  <c r="IM6" i="9" s="1"/>
  <c r="IM55" i="9" s="1"/>
  <c r="IQ55" i="9" s="1"/>
  <c r="IP51" i="9"/>
  <c r="IQ47" i="9" s="1"/>
  <c r="IQ5" i="9" s="1"/>
  <c r="IM56" i="9" s="1"/>
  <c r="IQ56" i="9" s="1"/>
  <c r="IT51" i="9"/>
  <c r="IV47" i="9" s="1"/>
  <c r="IV6" i="9" s="1"/>
  <c r="IM58" i="9" s="1"/>
  <c r="IQ58" i="9" s="1"/>
  <c r="ID51" i="9"/>
  <c r="IB51" i="9" s="1"/>
  <c r="IC47" i="9" s="1"/>
  <c r="IC5" i="9" s="1"/>
  <c r="HY56" i="9" s="1"/>
  <c r="IC56" i="9" s="1"/>
  <c r="HZ51" i="9"/>
  <c r="HW51" i="9" s="1"/>
  <c r="IA47" i="9" s="1"/>
  <c r="HY6" i="9" s="1"/>
  <c r="HY55" i="9" s="1"/>
  <c r="IC55" i="9" s="1"/>
  <c r="HY5" i="9"/>
  <c r="HY54" i="9" s="1"/>
  <c r="IC54" i="9" s="1"/>
  <c r="HQ51" i="9"/>
  <c r="HM51" i="9"/>
  <c r="HJ51" i="9" s="1"/>
  <c r="HN47" i="9" s="1"/>
  <c r="HL6" i="9" s="1"/>
  <c r="HL55" i="9" s="1"/>
  <c r="HP55" i="9" s="1"/>
  <c r="HP59" i="9" s="1"/>
  <c r="HP63" i="9" s="1"/>
  <c r="HO51" i="9"/>
  <c r="HP47" i="9" s="1"/>
  <c r="HP5" i="9" s="1"/>
  <c r="HL56" i="9" s="1"/>
  <c r="HP56" i="9" s="1"/>
  <c r="HS51" i="9"/>
  <c r="HU47" i="9" s="1"/>
  <c r="HU6" i="9" s="1"/>
  <c r="HL58" i="9" s="1"/>
  <c r="HP58" i="9" s="1"/>
  <c r="GY51" i="9"/>
  <c r="GV51" i="9"/>
  <c r="GZ47" i="9" s="1"/>
  <c r="GX6" i="9" s="1"/>
  <c r="GX55" i="9" s="1"/>
  <c r="HB55" i="9" s="1"/>
  <c r="GX5" i="9"/>
  <c r="GX54" i="9" s="1"/>
  <c r="HB54" i="9" s="1"/>
  <c r="HB59" i="9" s="1"/>
  <c r="HB63" i="9" s="1"/>
  <c r="GL51" i="9"/>
  <c r="GI51" i="9" s="1"/>
  <c r="GM47" i="9" s="1"/>
  <c r="GK6" i="9" s="1"/>
  <c r="GK55" i="9" s="1"/>
  <c r="GO55" i="9" s="1"/>
  <c r="GK5" i="9"/>
  <c r="GK54" i="9" s="1"/>
  <c r="GO54" i="9" s="1"/>
  <c r="FX51" i="9"/>
  <c r="FU51" i="9" s="1"/>
  <c r="FY47" i="9" s="1"/>
  <c r="FW6" i="9" s="1"/>
  <c r="FW55" i="9" s="1"/>
  <c r="GA55" i="9" s="1"/>
  <c r="GB51" i="9"/>
  <c r="FZ51" i="9"/>
  <c r="GA47" i="9" s="1"/>
  <c r="GA5" i="9" s="1"/>
  <c r="FW56" i="9" s="1"/>
  <c r="GA56" i="9" s="1"/>
  <c r="FW5" i="9"/>
  <c r="FW54" i="9" s="1"/>
  <c r="GA54" i="9" s="1"/>
  <c r="FO51" i="9"/>
  <c r="FK51" i="9"/>
  <c r="FH51" i="9" s="1"/>
  <c r="FL47" i="9" s="1"/>
  <c r="FJ6" i="9" s="1"/>
  <c r="FJ55" i="9" s="1"/>
  <c r="FN55" i="9" s="1"/>
  <c r="FN59" i="9" s="1"/>
  <c r="FN63" i="9" s="1"/>
  <c r="FM51" i="9"/>
  <c r="FN47" i="9" s="1"/>
  <c r="FN5" i="9" s="1"/>
  <c r="FJ56" i="9" s="1"/>
  <c r="FN56" i="9" s="1"/>
  <c r="FQ51" i="9"/>
  <c r="FS47" i="9" s="1"/>
  <c r="FS6" i="9" s="1"/>
  <c r="FJ58" i="9" s="1"/>
  <c r="FN58" i="9" s="1"/>
  <c r="EW51" i="9"/>
  <c r="ET51" i="9" s="1"/>
  <c r="EX47" i="9" s="1"/>
  <c r="EV6" i="9" s="1"/>
  <c r="EV55" i="9" s="1"/>
  <c r="EZ55" i="9" s="1"/>
  <c r="FA51" i="9"/>
  <c r="EY51" i="9" s="1"/>
  <c r="EZ47" i="9" s="1"/>
  <c r="EZ5" i="9" s="1"/>
  <c r="EV56" i="9" s="1"/>
  <c r="EZ56" i="9" s="1"/>
  <c r="FC51" i="9"/>
  <c r="FE47" i="9" s="1"/>
  <c r="FE6" i="9" s="1"/>
  <c r="EV58" i="9" s="1"/>
  <c r="EZ58" i="9" s="1"/>
  <c r="EV5" i="9"/>
  <c r="EV54" i="9" s="1"/>
  <c r="EZ54" i="9" s="1"/>
  <c r="EN51" i="9"/>
  <c r="EL51" i="9" s="1"/>
  <c r="EM47" i="9" s="1"/>
  <c r="EM5" i="9" s="1"/>
  <c r="EI56" i="9" s="1"/>
  <c r="EM56" i="9" s="1"/>
  <c r="DZ51" i="9"/>
  <c r="DX51" i="9" s="1"/>
  <c r="DY47" i="9" s="1"/>
  <c r="DY5" i="9" s="1"/>
  <c r="DU56" i="9" s="1"/>
  <c r="DY56" i="9" s="1"/>
  <c r="EB51" i="9"/>
  <c r="ED47" i="9" s="1"/>
  <c r="ED6" i="9" s="1"/>
  <c r="DU58" i="9" s="1"/>
  <c r="DY58" i="9" s="1"/>
  <c r="DV51" i="9"/>
  <c r="DS51" i="9" s="1"/>
  <c r="DW47" i="9" s="1"/>
  <c r="DU6" i="9" s="1"/>
  <c r="DU55" i="9" s="1"/>
  <c r="DY55" i="9" s="1"/>
  <c r="DI51" i="9"/>
  <c r="DF51" i="9" s="1"/>
  <c r="DJ47" i="9" s="1"/>
  <c r="DH6" i="9" s="1"/>
  <c r="DH55" i="9" s="1"/>
  <c r="DL55" i="9" s="1"/>
  <c r="DL59" i="9" s="1"/>
  <c r="DL63" i="9" s="1"/>
  <c r="DK51" i="9"/>
  <c r="DL47" i="9" s="1"/>
  <c r="DL5" i="9" s="1"/>
  <c r="DH56" i="9" s="1"/>
  <c r="DL56" i="9" s="1"/>
  <c r="CU51" i="9"/>
  <c r="CR51" i="9" s="1"/>
  <c r="CV47" i="9" s="1"/>
  <c r="CT6" i="9" s="1"/>
  <c r="CT55" i="9" s="1"/>
  <c r="CX55" i="9" s="1"/>
  <c r="CX59" i="9" s="1"/>
  <c r="CX63" i="9" s="1"/>
  <c r="CY51" i="9"/>
  <c r="CW51" i="9"/>
  <c r="CX47" i="9" s="1"/>
  <c r="CX5" i="9" s="1"/>
  <c r="CT56" i="9" s="1"/>
  <c r="CX56" i="9" s="1"/>
  <c r="CL51" i="9"/>
  <c r="CH51" i="9"/>
  <c r="CE51" i="9" s="1"/>
  <c r="CI47" i="9" s="1"/>
  <c r="CG6" i="9" s="1"/>
  <c r="CG55" i="9" s="1"/>
  <c r="CK55" i="9" s="1"/>
  <c r="CK59" i="9" s="1"/>
  <c r="CK63" i="9" s="1"/>
  <c r="CJ51" i="9"/>
  <c r="CK47" i="9" s="1"/>
  <c r="CK5" i="9" s="1"/>
  <c r="CG56" i="9" s="1"/>
  <c r="CK56" i="9" s="1"/>
  <c r="CN51" i="9"/>
  <c r="CP47" i="9" s="1"/>
  <c r="CP6" i="9" s="1"/>
  <c r="CG58" i="9" s="1"/>
  <c r="CK58" i="9" s="1"/>
  <c r="BT51" i="9"/>
  <c r="BQ51" i="9" s="1"/>
  <c r="BU47" i="9" s="1"/>
  <c r="BS6" i="9" s="1"/>
  <c r="BS55" i="9" s="1"/>
  <c r="BW55" i="9" s="1"/>
  <c r="BW59" i="9" s="1"/>
  <c r="BW63" i="9" s="1"/>
  <c r="BV51" i="9"/>
  <c r="BW47" i="9" s="1"/>
  <c r="BW5" i="9" s="1"/>
  <c r="BS56" i="9" s="1"/>
  <c r="BW56" i="9" s="1"/>
  <c r="AF51" i="9"/>
  <c r="AC51" i="9" s="1"/>
  <c r="AG47" i="9" s="1"/>
  <c r="AE6" i="9" s="1"/>
  <c r="AE55" i="9" s="1"/>
  <c r="AI55" i="9" s="1"/>
  <c r="AI59" i="9" s="1"/>
  <c r="AI63" i="9" s="1"/>
  <c r="V51" i="8"/>
  <c r="T51" i="8"/>
  <c r="U47" i="8" s="1"/>
  <c r="U5" i="8" s="1"/>
  <c r="Q56" i="8" s="1"/>
  <c r="U56" i="8" s="1"/>
  <c r="R51" i="8"/>
  <c r="O51" i="8" s="1"/>
  <c r="S47" i="8" s="1"/>
  <c r="Q6" i="8" s="1"/>
  <c r="Q55" i="8" s="1"/>
  <c r="U55" i="8" s="1"/>
  <c r="U59" i="8" s="1"/>
  <c r="U63" i="8" s="1"/>
  <c r="X51" i="8"/>
  <c r="Z47" i="8" s="1"/>
  <c r="Z6" i="8" s="1"/>
  <c r="Q58" i="8" s="1"/>
  <c r="U58" i="8" s="1"/>
  <c r="H51" i="8"/>
  <c r="F51" i="8" s="1"/>
  <c r="G47" i="8" s="1"/>
  <c r="G5" i="8" s="1"/>
  <c r="C56" i="8" s="1"/>
  <c r="G56" i="8" s="1"/>
  <c r="D51" i="8"/>
  <c r="A51" i="8" s="1"/>
  <c r="E47" i="8" s="1"/>
  <c r="C6" i="8" s="1"/>
  <c r="C55" i="8" s="1"/>
  <c r="G55" i="8" s="1"/>
  <c r="BG51" i="9"/>
  <c r="BD51" i="9" s="1"/>
  <c r="BH47" i="9" s="1"/>
  <c r="BF6" i="9" s="1"/>
  <c r="BF55" i="9" s="1"/>
  <c r="BJ55" i="9" s="1"/>
  <c r="BK51" i="9"/>
  <c r="BI51" i="9" s="1"/>
  <c r="BJ47" i="9" s="1"/>
  <c r="BJ5" i="9" s="1"/>
  <c r="BF56" i="9" s="1"/>
  <c r="BJ56" i="9" s="1"/>
  <c r="BF5" i="9"/>
  <c r="BF54" i="9" s="1"/>
  <c r="BJ54" i="9" s="1"/>
  <c r="J51" i="9"/>
  <c r="L47" i="9" s="1"/>
  <c r="L6" i="9" s="1"/>
  <c r="C58" i="9" s="1"/>
  <c r="G58" i="9" s="1"/>
  <c r="AS51" i="9"/>
  <c r="AP51" i="9" s="1"/>
  <c r="AT47" i="9" s="1"/>
  <c r="AR6" i="9" s="1"/>
  <c r="AR55" i="9" s="1"/>
  <c r="AV55" i="9" s="1"/>
  <c r="AW51" i="9"/>
  <c r="AU51" i="9" s="1"/>
  <c r="AV47" i="9" s="1"/>
  <c r="AV5" i="9" s="1"/>
  <c r="AR56" i="9" s="1"/>
  <c r="AV56" i="9" s="1"/>
  <c r="AY51" i="9"/>
  <c r="BA47" i="9" s="1"/>
  <c r="BA6" i="9" s="1"/>
  <c r="AR58" i="9" s="1"/>
  <c r="AV58" i="9" s="1"/>
  <c r="R51" i="9"/>
  <c r="O51" i="9" s="1"/>
  <c r="S47" i="9" s="1"/>
  <c r="Q6" i="9" s="1"/>
  <c r="Q55" i="9" s="1"/>
  <c r="U55" i="9" s="1"/>
  <c r="V51" i="9"/>
  <c r="T51" i="9" s="1"/>
  <c r="U47" i="9" s="1"/>
  <c r="U5" i="9" s="1"/>
  <c r="Q56" i="9" s="1"/>
  <c r="U56" i="9" s="1"/>
  <c r="X51" i="9"/>
  <c r="Z47" i="9" s="1"/>
  <c r="Z6" i="9" s="1"/>
  <c r="Q58" i="9" s="1"/>
  <c r="U58" i="9" s="1"/>
  <c r="Q5" i="9"/>
  <c r="Q54" i="9" s="1"/>
  <c r="U54" i="9" s="1"/>
  <c r="H51" i="9"/>
  <c r="F51" i="9" s="1"/>
  <c r="G47" i="9" s="1"/>
  <c r="G5" i="9" s="1"/>
  <c r="C56" i="9" s="1"/>
  <c r="G56" i="9" s="1"/>
  <c r="D51" i="9"/>
  <c r="A51" i="9" s="1"/>
  <c r="E47" i="9" s="1"/>
  <c r="C6" i="9" s="1"/>
  <c r="C55" i="9" s="1"/>
  <c r="G55" i="9" s="1"/>
  <c r="C5" i="9"/>
  <c r="C54" i="9" s="1"/>
  <c r="G54" i="9" s="1"/>
  <c r="DI5" i="11"/>
  <c r="DI54" i="11" s="1"/>
  <c r="DM54" i="11" s="1"/>
  <c r="DX51" i="11"/>
  <c r="DU51" i="11" s="1"/>
  <c r="DY47" i="11" s="1"/>
  <c r="DW6" i="11" s="1"/>
  <c r="DW55" i="11" s="1"/>
  <c r="EA55" i="11" s="1"/>
  <c r="DZ51" i="11"/>
  <c r="EA47" i="11" s="1"/>
  <c r="EA5" i="11" s="1"/>
  <c r="DW56" i="11" s="1"/>
  <c r="EA56" i="11" s="1"/>
  <c r="ED51" i="11"/>
  <c r="EF47" i="11" s="1"/>
  <c r="EF6" i="11" s="1"/>
  <c r="DW58" i="11" s="1"/>
  <c r="EA58" i="11" s="1"/>
  <c r="DN51" i="11"/>
  <c r="DL51" i="11" s="1"/>
  <c r="DM47" i="11" s="1"/>
  <c r="DM5" i="11" s="1"/>
  <c r="DI56" i="11" s="1"/>
  <c r="DM56" i="11" s="1"/>
  <c r="DJ51" i="11"/>
  <c r="DG51" i="11" s="1"/>
  <c r="DK47" i="11" s="1"/>
  <c r="DI6" i="11" s="1"/>
  <c r="DI55" i="11" s="1"/>
  <c r="DM55" i="11" s="1"/>
  <c r="CH51" i="11"/>
  <c r="CE51" i="11" s="1"/>
  <c r="CI47" i="11" s="1"/>
  <c r="CG6" i="11" s="1"/>
  <c r="CG55" i="11" s="1"/>
  <c r="CK55" i="11" s="1"/>
  <c r="CL51" i="11"/>
  <c r="CJ51" i="11" s="1"/>
  <c r="CK47" i="11" s="1"/>
  <c r="CK5" i="11" s="1"/>
  <c r="CG56" i="11" s="1"/>
  <c r="CK56" i="11" s="1"/>
  <c r="CK59" i="11" s="1"/>
  <c r="CK63" i="11" s="1"/>
  <c r="CN51" i="11"/>
  <c r="CP47" i="11" s="1"/>
  <c r="CP6" i="11" s="1"/>
  <c r="CG58" i="11" s="1"/>
  <c r="CK58" i="11" s="1"/>
  <c r="Q5" i="11"/>
  <c r="Q54" i="11" s="1"/>
  <c r="U54" i="11" s="1"/>
  <c r="BZ51" i="11"/>
  <c r="CB47" i="11" s="1"/>
  <c r="CB6" i="11" s="1"/>
  <c r="BS58" i="11" s="1"/>
  <c r="BW58" i="11" s="1"/>
  <c r="AD5" i="11"/>
  <c r="AD54" i="11" s="1"/>
  <c r="AH54" i="11" s="1"/>
  <c r="AY51" i="11"/>
  <c r="BA47" i="11" s="1"/>
  <c r="BA6" i="11" s="1"/>
  <c r="AR58" i="11" s="1"/>
  <c r="AV58" i="11" s="1"/>
  <c r="BT51" i="11"/>
  <c r="BQ51" i="11" s="1"/>
  <c r="BU47" i="11" s="1"/>
  <c r="BS6" i="11" s="1"/>
  <c r="BS55" i="11" s="1"/>
  <c r="BW55" i="11" s="1"/>
  <c r="AS51" i="11"/>
  <c r="AP51" i="11" s="1"/>
  <c r="AT47" i="11" s="1"/>
  <c r="AR6" i="11" s="1"/>
  <c r="AR55" i="11" s="1"/>
  <c r="AV55" i="11" s="1"/>
  <c r="BX51" i="11"/>
  <c r="BV51" i="11" s="1"/>
  <c r="BW47" i="11" s="1"/>
  <c r="BW5" i="11" s="1"/>
  <c r="BS56" i="11" s="1"/>
  <c r="BW56" i="11" s="1"/>
  <c r="AE51" i="11"/>
  <c r="AB51" i="11" s="1"/>
  <c r="AF47" i="11" s="1"/>
  <c r="AD6" i="11" s="1"/>
  <c r="AD55" i="11" s="1"/>
  <c r="AH55" i="11" s="1"/>
  <c r="BJ51" i="11"/>
  <c r="BS5" i="11"/>
  <c r="BS54" i="11" s="1"/>
  <c r="BW54" i="11" s="1"/>
  <c r="C5" i="11"/>
  <c r="C54" i="11" s="1"/>
  <c r="G54" i="11" s="1"/>
  <c r="BF51" i="11"/>
  <c r="BC51" i="11" s="1"/>
  <c r="BG47" i="11" s="1"/>
  <c r="BE6" i="11" s="1"/>
  <c r="BE55" i="11" s="1"/>
  <c r="BI55" i="11" s="1"/>
  <c r="BH51" i="11"/>
  <c r="BI47" i="11" s="1"/>
  <c r="BI5" i="11" s="1"/>
  <c r="BE56" i="11" s="1"/>
  <c r="BI56" i="11" s="1"/>
  <c r="BL51" i="11"/>
  <c r="BN47" i="11" s="1"/>
  <c r="BN6" i="11" s="1"/>
  <c r="BE58" i="11" s="1"/>
  <c r="BI58" i="11" s="1"/>
  <c r="BE5" i="11"/>
  <c r="BE54" i="11" s="1"/>
  <c r="BI54" i="11" s="1"/>
  <c r="AW51" i="11"/>
  <c r="AU51" i="11" s="1"/>
  <c r="AV47" i="11" s="1"/>
  <c r="AV5" i="11" s="1"/>
  <c r="AR56" i="11" s="1"/>
  <c r="AV56" i="11" s="1"/>
  <c r="AR5" i="11"/>
  <c r="AR54" i="11" s="1"/>
  <c r="AV54" i="11" s="1"/>
  <c r="AI51" i="11"/>
  <c r="AG51" i="11" s="1"/>
  <c r="AH47" i="11" s="1"/>
  <c r="AH5" i="11" s="1"/>
  <c r="AD56" i="11" s="1"/>
  <c r="AH56" i="11" s="1"/>
  <c r="AK51" i="11"/>
  <c r="AM47" i="11" s="1"/>
  <c r="AM6" i="11" s="1"/>
  <c r="AD58" i="11" s="1"/>
  <c r="AH58" i="11" s="1"/>
  <c r="V51" i="11"/>
  <c r="T51" i="11" s="1"/>
  <c r="U47" i="11" s="1"/>
  <c r="U5" i="11" s="1"/>
  <c r="Q56" i="11" s="1"/>
  <c r="U56" i="11" s="1"/>
  <c r="R51" i="11"/>
  <c r="O51" i="11" s="1"/>
  <c r="S47" i="11" s="1"/>
  <c r="Q6" i="11" s="1"/>
  <c r="Q55" i="11" s="1"/>
  <c r="U55" i="11" s="1"/>
  <c r="D51" i="11"/>
  <c r="A51" i="11" s="1"/>
  <c r="E47" i="11" s="1"/>
  <c r="C6" i="11" s="1"/>
  <c r="C55" i="11" s="1"/>
  <c r="G55" i="11" s="1"/>
  <c r="H51" i="11"/>
  <c r="F51" i="11" s="1"/>
  <c r="G47" i="11" s="1"/>
  <c r="G5" i="11" s="1"/>
  <c r="C56" i="11" s="1"/>
  <c r="G56" i="11" s="1"/>
  <c r="J51" i="11"/>
  <c r="L47" i="11" s="1"/>
  <c r="L6" i="11" s="1"/>
  <c r="C58" i="11" s="1"/>
  <c r="G58" i="11" s="1"/>
  <c r="CL51" i="6"/>
  <c r="CJ51" i="6" s="1"/>
  <c r="CK47" i="6" s="1"/>
  <c r="CK5" i="6" s="1"/>
  <c r="CG56" i="6" s="1"/>
  <c r="CK56" i="6" s="1"/>
  <c r="AY51" i="6"/>
  <c r="BA47" i="6" s="1"/>
  <c r="BA6" i="6" s="1"/>
  <c r="AR58" i="6" s="1"/>
  <c r="AV58" i="6" s="1"/>
  <c r="Q5" i="6"/>
  <c r="Q54" i="6" s="1"/>
  <c r="U54" i="6" s="1"/>
  <c r="CG5" i="6"/>
  <c r="CG54" i="6" s="1"/>
  <c r="CK54" i="6" s="1"/>
  <c r="BX51" i="6"/>
  <c r="CU5" i="6"/>
  <c r="CU54" i="6" s="1"/>
  <c r="CY54" i="6" s="1"/>
  <c r="BS5" i="6"/>
  <c r="BS54" i="6" s="1"/>
  <c r="BW54" i="6" s="1"/>
  <c r="DN51" i="6"/>
  <c r="DL51" i="6" s="1"/>
  <c r="DM47" i="6" s="1"/>
  <c r="DM5" i="6" s="1"/>
  <c r="DI56" i="6" s="1"/>
  <c r="DM56" i="6" s="1"/>
  <c r="DJ51" i="6"/>
  <c r="DG51" i="6" s="1"/>
  <c r="DK47" i="6" s="1"/>
  <c r="DI6" i="6" s="1"/>
  <c r="DI55" i="6" s="1"/>
  <c r="DM55" i="6" s="1"/>
  <c r="CV51" i="6"/>
  <c r="CS51" i="6" s="1"/>
  <c r="CW47" i="6" s="1"/>
  <c r="CU6" i="6" s="1"/>
  <c r="CU55" i="6" s="1"/>
  <c r="CY55" i="6" s="1"/>
  <c r="J51" i="6"/>
  <c r="L47" i="6" s="1"/>
  <c r="L6" i="6" s="1"/>
  <c r="C58" i="6" s="1"/>
  <c r="G58" i="6" s="1"/>
  <c r="X51" i="6"/>
  <c r="Z47" i="6" s="1"/>
  <c r="Z6" i="6" s="1"/>
  <c r="Q58" i="6" s="1"/>
  <c r="U58" i="6" s="1"/>
  <c r="AD5" i="6"/>
  <c r="AD54" i="6" s="1"/>
  <c r="AH54" i="6" s="1"/>
  <c r="DI5" i="6"/>
  <c r="DI54" i="6" s="1"/>
  <c r="DM54" i="6" s="1"/>
  <c r="DP51" i="6"/>
  <c r="DR47" i="6" s="1"/>
  <c r="DR6" i="6" s="1"/>
  <c r="DI58" i="6" s="1"/>
  <c r="DM58" i="6" s="1"/>
  <c r="CZ51" i="6"/>
  <c r="CX51" i="6" s="1"/>
  <c r="CY47" i="6" s="1"/>
  <c r="CY5" i="6" s="1"/>
  <c r="CU56" i="6" s="1"/>
  <c r="CY56" i="6" s="1"/>
  <c r="CH51" i="6"/>
  <c r="CE51" i="6" s="1"/>
  <c r="CI47" i="6" s="1"/>
  <c r="CG6" i="6" s="1"/>
  <c r="CG55" i="6" s="1"/>
  <c r="CK55" i="6" s="1"/>
  <c r="CN51" i="6"/>
  <c r="CP47" i="6" s="1"/>
  <c r="CP6" i="6" s="1"/>
  <c r="CG58" i="6" s="1"/>
  <c r="CK58" i="6" s="1"/>
  <c r="BT51" i="6"/>
  <c r="BQ51" i="6" s="1"/>
  <c r="BU47" i="6" s="1"/>
  <c r="BS6" i="6" s="1"/>
  <c r="BS55" i="6" s="1"/>
  <c r="BW55" i="6" s="1"/>
  <c r="BV51" i="6"/>
  <c r="BW47" i="6" s="1"/>
  <c r="BW5" i="6" s="1"/>
  <c r="BS56" i="6" s="1"/>
  <c r="BW56" i="6" s="1"/>
  <c r="BZ51" i="6"/>
  <c r="CB47" i="6" s="1"/>
  <c r="CB6" i="6" s="1"/>
  <c r="BS58" i="6" s="1"/>
  <c r="BW58" i="6" s="1"/>
  <c r="BJ51" i="6"/>
  <c r="BH51" i="6" s="1"/>
  <c r="BI47" i="6" s="1"/>
  <c r="BI5" i="6" s="1"/>
  <c r="BE56" i="6" s="1"/>
  <c r="BI56" i="6" s="1"/>
  <c r="BF51" i="6"/>
  <c r="BC51" i="6" s="1"/>
  <c r="BG47" i="6" s="1"/>
  <c r="BE6" i="6" s="1"/>
  <c r="BE55" i="6" s="1"/>
  <c r="BI55" i="6" s="1"/>
  <c r="BE5" i="6"/>
  <c r="BE54" i="6" s="1"/>
  <c r="BI54" i="6" s="1"/>
  <c r="AS51" i="6"/>
  <c r="AP51" i="6" s="1"/>
  <c r="AT47" i="6" s="1"/>
  <c r="AR6" i="6" s="1"/>
  <c r="AR55" i="6" s="1"/>
  <c r="AV55" i="6" s="1"/>
  <c r="AW51" i="6"/>
  <c r="AU51" i="6" s="1"/>
  <c r="AV47" i="6" s="1"/>
  <c r="AV5" i="6" s="1"/>
  <c r="AR56" i="6" s="1"/>
  <c r="AV56" i="6" s="1"/>
  <c r="AE51" i="6"/>
  <c r="AB51" i="6" s="1"/>
  <c r="AF47" i="6" s="1"/>
  <c r="AD6" i="6" s="1"/>
  <c r="AD55" i="6" s="1"/>
  <c r="AH55" i="6" s="1"/>
  <c r="AI51" i="6"/>
  <c r="AG51" i="6" s="1"/>
  <c r="AH47" i="6" s="1"/>
  <c r="AH5" i="6" s="1"/>
  <c r="AD56" i="6" s="1"/>
  <c r="AH56" i="6" s="1"/>
  <c r="V51" i="6"/>
  <c r="T51" i="6" s="1"/>
  <c r="U47" i="6" s="1"/>
  <c r="U5" i="6" s="1"/>
  <c r="Q56" i="6" s="1"/>
  <c r="U56" i="6" s="1"/>
  <c r="R51" i="6"/>
  <c r="O51" i="6" s="1"/>
  <c r="S47" i="6" s="1"/>
  <c r="Q6" i="6" s="1"/>
  <c r="Q55" i="6" s="1"/>
  <c r="U55" i="6" s="1"/>
  <c r="H51" i="6"/>
  <c r="F51" i="6" s="1"/>
  <c r="G47" i="6" s="1"/>
  <c r="G5" i="6" s="1"/>
  <c r="C56" i="6" s="1"/>
  <c r="G56" i="6" s="1"/>
  <c r="D51" i="6"/>
  <c r="A51" i="6" s="1"/>
  <c r="E47" i="6" s="1"/>
  <c r="C6" i="6" s="1"/>
  <c r="C55" i="6" s="1"/>
  <c r="G55" i="6" s="1"/>
  <c r="C5" i="6"/>
  <c r="C54" i="6" s="1"/>
  <c r="G54" i="6" s="1"/>
  <c r="AS51" i="7"/>
  <c r="AP51" i="7" s="1"/>
  <c r="AT47" i="7" s="1"/>
  <c r="AR6" i="7" s="1"/>
  <c r="AR55" i="7" s="1"/>
  <c r="AV55" i="7" s="1"/>
  <c r="AW51" i="7"/>
  <c r="AU51" i="7" s="1"/>
  <c r="AV47" i="7" s="1"/>
  <c r="AV5" i="7" s="1"/>
  <c r="AR56" i="7" s="1"/>
  <c r="AV56" i="7" s="1"/>
  <c r="AV59" i="7" s="1"/>
  <c r="AV63" i="7" s="1"/>
  <c r="AI51" i="7"/>
  <c r="AG51" i="7" s="1"/>
  <c r="AH47" i="7" s="1"/>
  <c r="AH5" i="7" s="1"/>
  <c r="AD56" i="7" s="1"/>
  <c r="AH56" i="7" s="1"/>
  <c r="AE51" i="7"/>
  <c r="AB51" i="7" s="1"/>
  <c r="AF47" i="7" s="1"/>
  <c r="AD6" i="7" s="1"/>
  <c r="AD55" i="7" s="1"/>
  <c r="AH55" i="7" s="1"/>
  <c r="AH59" i="7" s="1"/>
  <c r="AH63" i="7" s="1"/>
  <c r="AK51" i="7"/>
  <c r="AM47" i="7" s="1"/>
  <c r="AM6" i="7" s="1"/>
  <c r="AD58" i="7" s="1"/>
  <c r="AH58" i="7" s="1"/>
  <c r="R51" i="7"/>
  <c r="O51" i="7" s="1"/>
  <c r="S47" i="7" s="1"/>
  <c r="Q6" i="7" s="1"/>
  <c r="Q55" i="7" s="1"/>
  <c r="U55" i="7" s="1"/>
  <c r="U59" i="7" s="1"/>
  <c r="U63" i="7" s="1"/>
  <c r="T51" i="7"/>
  <c r="U47" i="7" s="1"/>
  <c r="U5" i="7" s="1"/>
  <c r="Q56" i="7" s="1"/>
  <c r="U56" i="7" s="1"/>
  <c r="H51" i="7"/>
  <c r="F51" i="7" s="1"/>
  <c r="G47" i="7" s="1"/>
  <c r="G5" i="7" s="1"/>
  <c r="C56" i="7" s="1"/>
  <c r="G56" i="7" s="1"/>
  <c r="D51" i="7"/>
  <c r="A51" i="7" s="1"/>
  <c r="E47" i="7" s="1"/>
  <c r="C6" i="7" s="1"/>
  <c r="C55" i="7" s="1"/>
  <c r="G55" i="7" s="1"/>
  <c r="CU51" i="5"/>
  <c r="CR51" i="5" s="1"/>
  <c r="CV47" i="5" s="1"/>
  <c r="CT6" i="5" s="1"/>
  <c r="CT55" i="5" s="1"/>
  <c r="CX55" i="5" s="1"/>
  <c r="CX59" i="5" s="1"/>
  <c r="CX63" i="5" s="1"/>
  <c r="CW51" i="5"/>
  <c r="CX47" i="5" s="1"/>
  <c r="CX5" i="5" s="1"/>
  <c r="CT56" i="5" s="1"/>
  <c r="CX56" i="5" s="1"/>
  <c r="CY51" i="5"/>
  <c r="CM51" i="5"/>
  <c r="CO47" i="5" s="1"/>
  <c r="CO6" i="5" s="1"/>
  <c r="CF58" i="5" s="1"/>
  <c r="CJ58" i="5" s="1"/>
  <c r="AR5" i="5"/>
  <c r="AR54" i="5" s="1"/>
  <c r="AV54" i="5" s="1"/>
  <c r="AD5" i="5"/>
  <c r="AD54" i="5" s="1"/>
  <c r="AH54" i="5" s="1"/>
  <c r="DI51" i="5"/>
  <c r="DF51" i="5" s="1"/>
  <c r="DJ47" i="5" s="1"/>
  <c r="DH6" i="5" s="1"/>
  <c r="DH55" i="5" s="1"/>
  <c r="DL55" i="5" s="1"/>
  <c r="DM51" i="5"/>
  <c r="DK51" i="5" s="1"/>
  <c r="DL47" i="5" s="1"/>
  <c r="DL5" i="5" s="1"/>
  <c r="DH56" i="5" s="1"/>
  <c r="DL56" i="5" s="1"/>
  <c r="CK51" i="5"/>
  <c r="CI51" i="5" s="1"/>
  <c r="CJ47" i="5" s="1"/>
  <c r="CJ5" i="5" s="1"/>
  <c r="CF56" i="5" s="1"/>
  <c r="CJ56" i="5" s="1"/>
  <c r="CG51" i="5"/>
  <c r="CD51" i="5" s="1"/>
  <c r="CH47" i="5" s="1"/>
  <c r="CF6" i="5" s="1"/>
  <c r="CF55" i="5" s="1"/>
  <c r="CJ55" i="5" s="1"/>
  <c r="CF5" i="5"/>
  <c r="CF54" i="5" s="1"/>
  <c r="CJ54" i="5" s="1"/>
  <c r="AE51" i="5"/>
  <c r="AB51" i="5" s="1"/>
  <c r="AF47" i="5" s="1"/>
  <c r="AD6" i="5" s="1"/>
  <c r="AD55" i="5" s="1"/>
  <c r="AH55" i="5" s="1"/>
  <c r="AH59" i="5" s="1"/>
  <c r="AH63" i="5" s="1"/>
  <c r="AG51" i="5"/>
  <c r="AH47" i="5" s="1"/>
  <c r="AH5" i="5" s="1"/>
  <c r="AD56" i="5" s="1"/>
  <c r="AH56" i="5" s="1"/>
  <c r="BL51" i="5"/>
  <c r="BN47" i="5" s="1"/>
  <c r="BN6" i="5" s="1"/>
  <c r="BE58" i="5" s="1"/>
  <c r="BI58" i="5" s="1"/>
  <c r="AW51" i="5"/>
  <c r="AU51" i="5" s="1"/>
  <c r="AV47" i="5" s="1"/>
  <c r="AV5" i="5" s="1"/>
  <c r="AR56" i="5" s="1"/>
  <c r="AV56" i="5" s="1"/>
  <c r="J51" i="5"/>
  <c r="L47" i="5" s="1"/>
  <c r="L6" i="5" s="1"/>
  <c r="C58" i="5" s="1"/>
  <c r="G58" i="5" s="1"/>
  <c r="BT51" i="5"/>
  <c r="BQ51" i="5" s="1"/>
  <c r="BU47" i="5" s="1"/>
  <c r="BS6" i="5" s="1"/>
  <c r="BS55" i="5" s="1"/>
  <c r="BW55" i="5" s="1"/>
  <c r="BJ51" i="5"/>
  <c r="BH51" i="5" s="1"/>
  <c r="BI47" i="5" s="1"/>
  <c r="BI5" i="5" s="1"/>
  <c r="BE56" i="5" s="1"/>
  <c r="BI56" i="5" s="1"/>
  <c r="BF51" i="5"/>
  <c r="BC51" i="5" s="1"/>
  <c r="BX51" i="5"/>
  <c r="BV51" i="5" s="1"/>
  <c r="BW47" i="5" s="1"/>
  <c r="BW5" i="5" s="1"/>
  <c r="BS56" i="5" s="1"/>
  <c r="BW56" i="5" s="1"/>
  <c r="BG51" i="5"/>
  <c r="AS51" i="5"/>
  <c r="AP51" i="5" s="1"/>
  <c r="AT47" i="5" s="1"/>
  <c r="AR6" i="5" s="1"/>
  <c r="AR55" i="5" s="1"/>
  <c r="AV55" i="5" s="1"/>
  <c r="D51" i="5"/>
  <c r="A51" i="5" s="1"/>
  <c r="R51" i="5"/>
  <c r="O51" i="5" s="1"/>
  <c r="S47" i="5" s="1"/>
  <c r="Q6" i="5" s="1"/>
  <c r="Q55" i="5" s="1"/>
  <c r="U55" i="5" s="1"/>
  <c r="H51" i="5"/>
  <c r="F51" i="5" s="1"/>
  <c r="G47" i="5" s="1"/>
  <c r="G5" i="5" s="1"/>
  <c r="C56" i="5" s="1"/>
  <c r="G56" i="5" s="1"/>
  <c r="V51" i="5"/>
  <c r="T51" i="5" s="1"/>
  <c r="U47" i="5" s="1"/>
  <c r="U5" i="5" s="1"/>
  <c r="Q56" i="5" s="1"/>
  <c r="U56" i="5" s="1"/>
  <c r="E51" i="5"/>
  <c r="CY51" i="4"/>
  <c r="S51" i="4"/>
  <c r="C5" i="4"/>
  <c r="DA51" i="4"/>
  <c r="DC47" i="4" s="1"/>
  <c r="DC6" i="4" s="1"/>
  <c r="CT58" i="4" s="1"/>
  <c r="CX58" i="4" s="1"/>
  <c r="AK51" i="4"/>
  <c r="AM47" i="4" s="1"/>
  <c r="AM6" i="4" s="1"/>
  <c r="AD58" i="4" s="1"/>
  <c r="AH58" i="4" s="1"/>
  <c r="CW51" i="4"/>
  <c r="CX47" i="4" s="1"/>
  <c r="CX5" i="4" s="1"/>
  <c r="CT56" i="4" s="1"/>
  <c r="CX56" i="4" s="1"/>
  <c r="BZ51" i="4"/>
  <c r="CB47" i="4" s="1"/>
  <c r="CB6" i="4" s="1"/>
  <c r="BS58" i="4" s="1"/>
  <c r="BW58" i="4" s="1"/>
  <c r="CV51" i="4"/>
  <c r="BX51" i="4"/>
  <c r="BV51" i="4" s="1"/>
  <c r="BW47" i="4" s="1"/>
  <c r="BW5" i="4" s="1"/>
  <c r="BS56" i="4" s="1"/>
  <c r="BW56" i="4" s="1"/>
  <c r="BJ51" i="4"/>
  <c r="BH51" i="4" s="1"/>
  <c r="BI47" i="4" s="1"/>
  <c r="BI5" i="4" s="1"/>
  <c r="BE56" i="4" s="1"/>
  <c r="BI56" i="4" s="1"/>
  <c r="AW51" i="4"/>
  <c r="AU51" i="4" s="1"/>
  <c r="AV47" i="4" s="1"/>
  <c r="AV5" i="4" s="1"/>
  <c r="AR56" i="4" s="1"/>
  <c r="AV56" i="4" s="1"/>
  <c r="H51" i="4"/>
  <c r="F51" i="4" s="1"/>
  <c r="G47" i="4" s="1"/>
  <c r="AD5" i="4"/>
  <c r="AD54" i="4" s="1"/>
  <c r="AH54" i="4" s="1"/>
  <c r="AI51" i="4"/>
  <c r="AG51" i="4" s="1"/>
  <c r="AH47" i="4" s="1"/>
  <c r="AH5" i="4" s="1"/>
  <c r="AD56" i="4" s="1"/>
  <c r="AH56" i="4" s="1"/>
  <c r="AE51" i="4"/>
  <c r="AB51" i="4" s="1"/>
  <c r="AF47" i="4" s="1"/>
  <c r="AD6" i="4" s="1"/>
  <c r="AD55" i="4" s="1"/>
  <c r="AH55" i="4" s="1"/>
  <c r="AS51" i="4"/>
  <c r="AP51" i="4" s="1"/>
  <c r="AT47" i="4" s="1"/>
  <c r="AR6" i="4" s="1"/>
  <c r="AR55" i="4" s="1"/>
  <c r="AV55" i="4" s="1"/>
  <c r="BF51" i="4"/>
  <c r="BC51" i="4" s="1"/>
  <c r="BG47" i="4" s="1"/>
  <c r="BE6" i="4" s="1"/>
  <c r="BE55" i="4" s="1"/>
  <c r="BI55" i="4" s="1"/>
  <c r="BL51" i="4"/>
  <c r="BN47" i="4" s="1"/>
  <c r="BN6" i="4" s="1"/>
  <c r="BE58" i="4" s="1"/>
  <c r="BI58" i="4" s="1"/>
  <c r="BT51" i="4"/>
  <c r="BQ51" i="4" s="1"/>
  <c r="BU47" i="4" s="1"/>
  <c r="BS6" i="4" s="1"/>
  <c r="BS55" i="4" s="1"/>
  <c r="BW55" i="4" s="1"/>
  <c r="BU51" i="4"/>
  <c r="CU51" i="4"/>
  <c r="CR51" i="4" s="1"/>
  <c r="CM51" i="4"/>
  <c r="CO47" i="4" s="1"/>
  <c r="CO6" i="4" s="1"/>
  <c r="CF58" i="4" s="1"/>
  <c r="CJ58" i="4" s="1"/>
  <c r="CI51" i="4"/>
  <c r="CJ47" i="4" s="1"/>
  <c r="CJ5" i="4" s="1"/>
  <c r="CF56" i="4" s="1"/>
  <c r="CJ56" i="4" s="1"/>
  <c r="CG51" i="4"/>
  <c r="CD51" i="4" s="1"/>
  <c r="CH47" i="4" s="1"/>
  <c r="CF6" i="4" s="1"/>
  <c r="CF55" i="4" s="1"/>
  <c r="CJ55" i="4" s="1"/>
  <c r="CF5" i="4"/>
  <c r="CF54" i="4" s="1"/>
  <c r="CJ54" i="4" s="1"/>
  <c r="X51" i="4"/>
  <c r="Z47" i="4" s="1"/>
  <c r="Z6" i="4" s="1"/>
  <c r="Q58" i="4" s="1"/>
  <c r="U58" i="4" s="1"/>
  <c r="V51" i="4"/>
  <c r="T51" i="4" s="1"/>
  <c r="U47" i="4" s="1"/>
  <c r="U5" i="4" s="1"/>
  <c r="Q56" i="4" s="1"/>
  <c r="U56" i="4" s="1"/>
  <c r="U59" i="4" s="1"/>
  <c r="U63" i="4" s="1"/>
  <c r="R51" i="4"/>
  <c r="O51" i="4" s="1"/>
  <c r="S47" i="4" s="1"/>
  <c r="Q6" i="4" s="1"/>
  <c r="Q55" i="4" s="1"/>
  <c r="U55" i="4" s="1"/>
  <c r="J38" i="4"/>
  <c r="L38" i="4" s="1"/>
  <c r="J37" i="4"/>
  <c r="L37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7" i="4"/>
  <c r="L27" i="4" s="1"/>
  <c r="J26" i="4"/>
  <c r="L26" i="4" s="1"/>
  <c r="J25" i="4"/>
  <c r="L25" i="4" s="1"/>
  <c r="J24" i="4"/>
  <c r="L24" i="4" s="1"/>
  <c r="J23" i="4"/>
  <c r="L23" i="4" s="1"/>
  <c r="J22" i="4"/>
  <c r="L22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J13" i="4"/>
  <c r="L13" i="4" s="1"/>
  <c r="J12" i="4"/>
  <c r="L12" i="4" s="1"/>
  <c r="J11" i="4"/>
  <c r="L11" i="4" s="1"/>
  <c r="J10" i="4"/>
  <c r="L10" i="4" s="1"/>
  <c r="D51" i="4" s="1"/>
  <c r="AK38" i="8"/>
  <c r="AM38" i="8" s="1"/>
  <c r="AK37" i="8"/>
  <c r="AM37" i="8" s="1"/>
  <c r="AK36" i="8"/>
  <c r="AM36" i="8" s="1"/>
  <c r="AK34" i="8"/>
  <c r="AM34" i="8" s="1"/>
  <c r="AK33" i="8"/>
  <c r="AM33" i="8" s="1"/>
  <c r="AK32" i="8"/>
  <c r="AM32" i="8" s="1"/>
  <c r="AK31" i="8"/>
  <c r="AM31" i="8" s="1"/>
  <c r="AK30" i="8"/>
  <c r="AM30" i="8" s="1"/>
  <c r="AK29" i="8"/>
  <c r="AM29" i="8" s="1"/>
  <c r="AK27" i="8"/>
  <c r="AM27" i="8" s="1"/>
  <c r="AK26" i="8"/>
  <c r="AM26" i="8" s="1"/>
  <c r="AK25" i="8"/>
  <c r="AM25" i="8" s="1"/>
  <c r="AK24" i="8"/>
  <c r="AM24" i="8" s="1"/>
  <c r="AK23" i="8"/>
  <c r="AM23" i="8" s="1"/>
  <c r="AK22" i="8"/>
  <c r="AM22" i="8" s="1"/>
  <c r="AK20" i="8"/>
  <c r="AM20" i="8" s="1"/>
  <c r="AK19" i="8"/>
  <c r="AM19" i="8" s="1"/>
  <c r="AK18" i="8"/>
  <c r="AM18" i="8" s="1"/>
  <c r="AK17" i="8"/>
  <c r="AM17" i="8" s="1"/>
  <c r="AK16" i="8"/>
  <c r="AM16" i="8" s="1"/>
  <c r="AK15" i="8"/>
  <c r="AM15" i="8" s="1"/>
  <c r="AK11" i="8"/>
  <c r="AM11" i="8" s="1"/>
  <c r="AK10" i="8"/>
  <c r="AM10" i="8" s="1"/>
  <c r="AK13" i="8"/>
  <c r="AM13" i="8" s="1"/>
  <c r="AK12" i="8"/>
  <c r="AM12" i="8" s="1"/>
  <c r="AK9" i="8"/>
  <c r="AM9" i="8" s="1"/>
  <c r="AM5" i="8"/>
  <c r="AD57" i="8" s="1"/>
  <c r="AH57" i="8" s="1"/>
  <c r="AD5" i="8"/>
  <c r="AD54" i="8" s="1"/>
  <c r="AH54" i="8" s="1"/>
  <c r="AF51" i="8"/>
  <c r="AG51" i="8"/>
  <c r="AH47" i="8" s="1"/>
  <c r="BE5" i="10"/>
  <c r="BE57" i="10"/>
  <c r="BI57" i="10" s="1"/>
  <c r="BE54" i="10"/>
  <c r="BI54" i="10" s="1"/>
  <c r="BG51" i="10"/>
  <c r="BN51" i="10"/>
  <c r="BL51" i="10" s="1"/>
  <c r="BN47" i="10" s="1"/>
  <c r="BN6" i="10" s="1"/>
  <c r="BE58" i="10" s="1"/>
  <c r="BI58" i="10" s="1"/>
  <c r="BJ51" i="10"/>
  <c r="BH51" i="10" s="1"/>
  <c r="BI47" i="10" s="1"/>
  <c r="BI5" i="10" s="1"/>
  <c r="BE56" i="10" s="1"/>
  <c r="BI56" i="10" s="1"/>
  <c r="CW51" i="11"/>
  <c r="CZ51" i="11"/>
  <c r="CX51" i="11" s="1"/>
  <c r="CY47" i="11" s="1"/>
  <c r="CY5" i="11" s="1"/>
  <c r="CU56" i="11" s="1"/>
  <c r="CY56" i="11" s="1"/>
  <c r="DD51" i="11"/>
  <c r="DB51" i="11" s="1"/>
  <c r="DD47" i="11" s="1"/>
  <c r="DD6" i="11" s="1"/>
  <c r="CU58" i="11" s="1"/>
  <c r="CY58" i="11" s="1"/>
  <c r="DD5" i="11"/>
  <c r="CU57" i="11" s="1"/>
  <c r="CY57" i="11" s="1"/>
  <c r="CU5" i="11"/>
  <c r="CU54" i="11" s="1"/>
  <c r="CY54" i="11" s="1"/>
  <c r="HW1" i="9"/>
  <c r="HJ1" i="9"/>
  <c r="GV1" i="9"/>
  <c r="GI1" i="9"/>
  <c r="FU1" i="9"/>
  <c r="FH1" i="9"/>
  <c r="ET1" i="9"/>
  <c r="EG1" i="9"/>
  <c r="DS1" i="9"/>
  <c r="DF1" i="9"/>
  <c r="CR1" i="9"/>
  <c r="CE1" i="9"/>
  <c r="BQ1" i="9"/>
  <c r="BD1" i="9"/>
  <c r="AC1" i="9"/>
  <c r="O1" i="9"/>
  <c r="JZ1" i="10"/>
  <c r="IY1" i="10"/>
  <c r="IK1" i="10"/>
  <c r="HX1" i="10"/>
  <c r="HJ1" i="10"/>
  <c r="GW1" i="10"/>
  <c r="GI1" i="10"/>
  <c r="FV1" i="10"/>
  <c r="FH1" i="10"/>
  <c r="EU1" i="10"/>
  <c r="EG1" i="10"/>
  <c r="CR1" i="10"/>
  <c r="CE1" i="10"/>
  <c r="BQ1" i="10"/>
  <c r="DF1" i="10" s="1"/>
  <c r="BC1" i="10"/>
  <c r="AP1" i="10"/>
  <c r="AB1" i="10"/>
  <c r="O1" i="10"/>
  <c r="DU1" i="11"/>
  <c r="DG1" i="11"/>
  <c r="CS1" i="11"/>
  <c r="CE1" i="11"/>
  <c r="BQ1" i="11"/>
  <c r="BC1" i="11"/>
  <c r="AP1" i="11"/>
  <c r="AB1" i="11"/>
  <c r="O1" i="11"/>
  <c r="BC1" i="6"/>
  <c r="BQ1" i="6"/>
  <c r="CE1" i="6"/>
  <c r="DG1" i="6"/>
  <c r="AB1" i="6"/>
  <c r="O1" i="6"/>
  <c r="DF1" i="5"/>
  <c r="CR1" i="5"/>
  <c r="CD1" i="5"/>
  <c r="BQ1" i="5"/>
  <c r="BC1" i="5"/>
  <c r="IQ59" i="10" l="1"/>
  <c r="IQ63" i="10" s="1"/>
  <c r="FA59" i="10"/>
  <c r="FA63" i="10" s="1"/>
  <c r="DZ59" i="10"/>
  <c r="DZ63" i="10" s="1"/>
  <c r="G59" i="10"/>
  <c r="G63" i="10" s="1"/>
  <c r="JE59" i="10"/>
  <c r="JE63" i="10" s="1"/>
  <c r="CX59" i="10"/>
  <c r="CX63" i="10" s="1"/>
  <c r="BW59" i="10"/>
  <c r="BW63" i="10" s="1"/>
  <c r="KF59" i="10"/>
  <c r="KF63" i="10" s="1"/>
  <c r="HP59" i="10"/>
  <c r="HP63" i="10" s="1"/>
  <c r="HC59" i="10"/>
  <c r="HC63" i="10" s="1"/>
  <c r="GO59" i="10"/>
  <c r="GO63" i="10" s="1"/>
  <c r="GB59" i="10"/>
  <c r="GB63" i="10" s="1"/>
  <c r="FN59" i="10"/>
  <c r="FN63" i="10" s="1"/>
  <c r="DL59" i="10"/>
  <c r="DL63" i="10" s="1"/>
  <c r="U59" i="10"/>
  <c r="U63" i="10" s="1"/>
  <c r="EM59" i="9"/>
  <c r="EM63" i="9" s="1"/>
  <c r="DY59" i="9"/>
  <c r="DY63" i="9" s="1"/>
  <c r="IQ59" i="9"/>
  <c r="IQ63" i="9" s="1"/>
  <c r="JD59" i="9"/>
  <c r="JD63" i="9" s="1"/>
  <c r="IC59" i="9"/>
  <c r="IC63" i="9" s="1"/>
  <c r="GO59" i="9"/>
  <c r="GO63" i="9" s="1"/>
  <c r="GA59" i="9"/>
  <c r="GA63" i="9" s="1"/>
  <c r="EZ59" i="9"/>
  <c r="EZ63" i="9" s="1"/>
  <c r="G59" i="8"/>
  <c r="G63" i="8" s="1"/>
  <c r="BJ59" i="9"/>
  <c r="BJ63" i="9" s="1"/>
  <c r="AV59" i="9"/>
  <c r="AV63" i="9" s="1"/>
  <c r="U59" i="9"/>
  <c r="U63" i="9" s="1"/>
  <c r="G59" i="9"/>
  <c r="G63" i="9" s="1"/>
  <c r="EA59" i="11"/>
  <c r="EA63" i="11" s="1"/>
  <c r="DM59" i="11"/>
  <c r="DM63" i="11" s="1"/>
  <c r="AH59" i="11"/>
  <c r="AH63" i="11" s="1"/>
  <c r="BW59" i="11"/>
  <c r="BW63" i="11" s="1"/>
  <c r="BI59" i="11"/>
  <c r="BI63" i="11" s="1"/>
  <c r="AV59" i="11"/>
  <c r="AV63" i="11" s="1"/>
  <c r="U59" i="11"/>
  <c r="U63" i="11" s="1"/>
  <c r="G59" i="11"/>
  <c r="G63" i="11" s="1"/>
  <c r="BW59" i="6"/>
  <c r="BW63" i="6" s="1"/>
  <c r="DM59" i="6"/>
  <c r="DM63" i="6" s="1"/>
  <c r="CK59" i="6"/>
  <c r="CK63" i="6" s="1"/>
  <c r="AV59" i="6"/>
  <c r="AV63" i="6" s="1"/>
  <c r="CY59" i="6"/>
  <c r="CY63" i="6" s="1"/>
  <c r="BI59" i="6"/>
  <c r="BI63" i="6" s="1"/>
  <c r="AH59" i="6"/>
  <c r="AH63" i="6" s="1"/>
  <c r="U59" i="6"/>
  <c r="U63" i="6" s="1"/>
  <c r="G59" i="6"/>
  <c r="G63" i="6" s="1"/>
  <c r="G59" i="7"/>
  <c r="G63" i="7" s="1"/>
  <c r="DL59" i="5"/>
  <c r="DL63" i="5" s="1"/>
  <c r="BW59" i="5"/>
  <c r="BW63" i="5" s="1"/>
  <c r="AV59" i="5"/>
  <c r="AV63" i="5" s="1"/>
  <c r="CJ59" i="5"/>
  <c r="CJ63" i="5" s="1"/>
  <c r="U59" i="5"/>
  <c r="U63" i="5" s="1"/>
  <c r="BG47" i="5"/>
  <c r="BE6" i="5" s="1"/>
  <c r="BE55" i="5" s="1"/>
  <c r="BI55" i="5" s="1"/>
  <c r="BI59" i="5" s="1"/>
  <c r="BI63" i="5" s="1"/>
  <c r="E47" i="5"/>
  <c r="C6" i="5" s="1"/>
  <c r="C55" i="5" s="1"/>
  <c r="G55" i="5" s="1"/>
  <c r="G59" i="5" s="1"/>
  <c r="G63" i="5" s="1"/>
  <c r="BW59" i="4"/>
  <c r="BW63" i="4" s="1"/>
  <c r="CV47" i="4"/>
  <c r="CT6" i="4" s="1"/>
  <c r="CT55" i="4" s="1"/>
  <c r="CX55" i="4" s="1"/>
  <c r="CX59" i="4" s="1"/>
  <c r="CX63" i="4" s="1"/>
  <c r="CJ59" i="4"/>
  <c r="CJ63" i="4" s="1"/>
  <c r="BI59" i="4"/>
  <c r="BI63" i="4" s="1"/>
  <c r="AV59" i="4"/>
  <c r="AV63" i="4" s="1"/>
  <c r="AH59" i="4"/>
  <c r="AH63" i="4" s="1"/>
  <c r="A51" i="4"/>
  <c r="E47" i="4" s="1"/>
  <c r="C6" i="4" s="1"/>
  <c r="G5" i="4"/>
  <c r="AH5" i="8"/>
  <c r="AD56" i="8" s="1"/>
  <c r="AH56" i="8" s="1"/>
  <c r="AB51" i="8"/>
  <c r="AF47" i="8" s="1"/>
  <c r="AD6" i="8" s="1"/>
  <c r="AD55" i="8" s="1"/>
  <c r="AH55" i="8" s="1"/>
  <c r="BF51" i="10"/>
  <c r="BC51" i="10" s="1"/>
  <c r="BG47" i="10" s="1"/>
  <c r="BE6" i="10" s="1"/>
  <c r="BE55" i="10" s="1"/>
  <c r="BI55" i="10" s="1"/>
  <c r="BI59" i="10" s="1"/>
  <c r="BI63" i="10" s="1"/>
  <c r="CV51" i="11"/>
  <c r="CS51" i="11" s="1"/>
  <c r="CW47" i="11" s="1"/>
  <c r="CU6" i="11" s="1"/>
  <c r="CU55" i="11" s="1"/>
  <c r="CY55" i="11" s="1"/>
  <c r="CY59" i="11" s="1"/>
  <c r="CY63" i="11" s="1"/>
  <c r="AP1" i="6"/>
  <c r="AM47" i="8" l="1"/>
  <c r="AM6" i="8" s="1"/>
  <c r="AD58" i="8" s="1"/>
  <c r="AH58" i="8" s="1"/>
  <c r="AH59" i="8" l="1"/>
  <c r="AH63" i="8" s="1"/>
  <c r="AP1" i="7" l="1"/>
  <c r="AB1" i="7"/>
  <c r="O1" i="7"/>
  <c r="AP1" i="5"/>
  <c r="O1" i="5"/>
  <c r="CD1" i="4" l="1"/>
  <c r="BQ1" i="4"/>
  <c r="BC1" i="4"/>
  <c r="AB1" i="4" l="1"/>
  <c r="O1" i="4"/>
  <c r="C54" i="4" l="1"/>
  <c r="G54" i="4" s="1"/>
  <c r="C53" i="4"/>
  <c r="C57" i="4"/>
  <c r="G57" i="4" s="1"/>
  <c r="C58" i="4" l="1"/>
  <c r="G58" i="4" s="1"/>
  <c r="C56" i="4"/>
  <c r="G56" i="4" s="1"/>
  <c r="C55" i="4" l="1"/>
  <c r="G55" i="4" s="1"/>
  <c r="G59" i="4" s="1"/>
  <c r="G63" i="4" s="1"/>
  <c r="C37" i="2" l="1"/>
  <c r="C19" i="2"/>
  <c r="D36" i="2"/>
  <c r="B37" i="2"/>
  <c r="D18" i="2"/>
  <c r="B19" i="2"/>
  <c r="D19" i="2" l="1"/>
  <c r="D35" i="2" l="1"/>
  <c r="D37" i="2"/>
  <c r="D34" i="2" l="1"/>
  <c r="D33" i="2"/>
  <c r="D32" i="2"/>
  <c r="D31" i="2"/>
  <c r="D30" i="2"/>
  <c r="D29" i="2"/>
  <c r="D28" i="2"/>
  <c r="D27" i="2"/>
  <c r="D26" i="2"/>
  <c r="D25" i="2"/>
  <c r="D24" i="2"/>
  <c r="D23" i="2"/>
  <c r="D17" i="2"/>
  <c r="D16" i="2"/>
  <c r="D15" i="2"/>
  <c r="D14" i="2"/>
  <c r="D13" i="2"/>
  <c r="D12" i="2"/>
  <c r="D11" i="2"/>
  <c r="D10" i="2"/>
  <c r="D9" i="2"/>
  <c r="D8" i="2"/>
  <c r="D7" i="2"/>
  <c r="H9" i="2" l="1"/>
  <c r="H8" i="2"/>
  <c r="H10" i="2" l="1"/>
  <c r="J10" i="2" s="1"/>
  <c r="AB1" i="8" l="1"/>
  <c r="O1" i="8"/>
</calcChain>
</file>

<file path=xl/sharedStrings.xml><?xml version="1.0" encoding="utf-8"?>
<sst xmlns="http://schemas.openxmlformats.org/spreadsheetml/2006/main" count="8564" uniqueCount="230">
  <si>
    <t>DATE</t>
  </si>
  <si>
    <t>SUN</t>
  </si>
  <si>
    <t>TUE</t>
  </si>
  <si>
    <t>WED</t>
  </si>
  <si>
    <t>THU</t>
  </si>
  <si>
    <t>FRI</t>
  </si>
  <si>
    <t>SAT</t>
  </si>
  <si>
    <t>IN</t>
  </si>
  <si>
    <t>OUT</t>
  </si>
  <si>
    <t>HRS WRK</t>
  </si>
  <si>
    <t>BASIC</t>
  </si>
  <si>
    <t>OT</t>
  </si>
  <si>
    <t>HRS</t>
  </si>
  <si>
    <t>IN HRS</t>
  </si>
  <si>
    <t>IN MIN</t>
  </si>
  <si>
    <t>REMARK</t>
  </si>
  <si>
    <t>PH</t>
  </si>
  <si>
    <t>PH OT</t>
  </si>
  <si>
    <t>NORMAL</t>
  </si>
  <si>
    <t>R2</t>
  </si>
  <si>
    <t xml:space="preserve">NAME         : </t>
  </si>
  <si>
    <t>OT                :</t>
  </si>
  <si>
    <t>DAYS</t>
  </si>
  <si>
    <t>RD         :</t>
  </si>
  <si>
    <t xml:space="preserve">NAME   : </t>
  </si>
  <si>
    <t xml:space="preserve">BASIC  : </t>
  </si>
  <si>
    <t xml:space="preserve">OT   : </t>
  </si>
  <si>
    <t xml:space="preserve">SAT  : </t>
  </si>
  <si>
    <t xml:space="preserve">PH   : </t>
  </si>
  <si>
    <t xml:space="preserve">PH OT : </t>
  </si>
  <si>
    <t>RM</t>
  </si>
  <si>
    <t>ALL</t>
  </si>
  <si>
    <t>ADVANCE</t>
  </si>
  <si>
    <t xml:space="preserve">TOTAL </t>
  </si>
  <si>
    <t>LUNCH BREAK</t>
  </si>
  <si>
    <t xml:space="preserve">!!!! </t>
  </si>
  <si>
    <t>PH  OT:</t>
  </si>
  <si>
    <t>PH       :</t>
  </si>
  <si>
    <t>day</t>
  </si>
  <si>
    <t>B42</t>
  </si>
  <si>
    <t>AHMED MD BIJOY</t>
  </si>
  <si>
    <t>B48</t>
  </si>
  <si>
    <t>RAHMAN MAKLICHUR</t>
  </si>
  <si>
    <t>ISLAM SAIFUL</t>
  </si>
  <si>
    <t>B51</t>
  </si>
  <si>
    <t>B55</t>
  </si>
  <si>
    <t>MIA MD MUNSUR</t>
  </si>
  <si>
    <t>HASAN MD</t>
  </si>
  <si>
    <t>B58</t>
  </si>
  <si>
    <t>BASIC         :</t>
  </si>
  <si>
    <t>B61</t>
  </si>
  <si>
    <t>B63</t>
  </si>
  <si>
    <t>B64</t>
  </si>
  <si>
    <t>B65</t>
  </si>
  <si>
    <t>PARVES MASUD</t>
  </si>
  <si>
    <t>HOSSAIN MD MUNNA</t>
  </si>
  <si>
    <t>HOSAIN MD AMRAN</t>
  </si>
  <si>
    <t>total</t>
  </si>
  <si>
    <t>SUM DETAILS</t>
  </si>
  <si>
    <t>&gt;40</t>
  </si>
  <si>
    <t>&lt;60</t>
  </si>
  <si>
    <t>RANA MD MASUD</t>
  </si>
  <si>
    <t>ISLAM MD MAZAHARUL</t>
  </si>
  <si>
    <t>B08</t>
  </si>
  <si>
    <t>HLAING KYI OO</t>
  </si>
  <si>
    <t>M10</t>
  </si>
  <si>
    <t>MYO MIN KYAW</t>
  </si>
  <si>
    <t>M21</t>
  </si>
  <si>
    <t>WORKER WAGES -  MAR 26</t>
  </si>
  <si>
    <t>ROHIT</t>
  </si>
  <si>
    <t>N04</t>
  </si>
  <si>
    <t>RAY RAJ KUMAR</t>
  </si>
  <si>
    <t>N13</t>
  </si>
  <si>
    <t>SAH SATRUGHAN</t>
  </si>
  <si>
    <t>N17</t>
  </si>
  <si>
    <t>MUKHIYA BIN SHAMBHU</t>
  </si>
  <si>
    <t>N18</t>
  </si>
  <si>
    <t>RIPON</t>
  </si>
  <si>
    <t>B11</t>
  </si>
  <si>
    <t>RIAD</t>
  </si>
  <si>
    <t>B14</t>
  </si>
  <si>
    <t>THAN WAI PHYO</t>
  </si>
  <si>
    <t>M04</t>
  </si>
  <si>
    <t>TUN NAING OO</t>
  </si>
  <si>
    <t>M13</t>
  </si>
  <si>
    <t>ZAW MYO AUNG</t>
  </si>
  <si>
    <t>M14</t>
  </si>
  <si>
    <t>YE MYINT WIN</t>
  </si>
  <si>
    <t>M25</t>
  </si>
  <si>
    <t>RAY HIRENDRA</t>
  </si>
  <si>
    <t>N33</t>
  </si>
  <si>
    <t>AKRAM</t>
  </si>
  <si>
    <t>B22</t>
  </si>
  <si>
    <t>RAUT SHASHIDEV</t>
  </si>
  <si>
    <t>N11</t>
  </si>
  <si>
    <t>YADAV BHARAT KUMAR</t>
  </si>
  <si>
    <t>N34</t>
  </si>
  <si>
    <t>YADAV SANTOSH KUMAR</t>
  </si>
  <si>
    <t>N35</t>
  </si>
  <si>
    <t>AUNG NAING WIN</t>
  </si>
  <si>
    <t>M31</t>
  </si>
  <si>
    <t>DAYANIDHI</t>
  </si>
  <si>
    <t>N07</t>
  </si>
  <si>
    <t>YADAV SHATRUHAN KUMAR</t>
  </si>
  <si>
    <t>N21</t>
  </si>
  <si>
    <t>SAH ANISH KUMAR</t>
  </si>
  <si>
    <t>N30</t>
  </si>
  <si>
    <t>YADAV ROHIT</t>
  </si>
  <si>
    <t>N31</t>
  </si>
  <si>
    <t>DIPESH</t>
  </si>
  <si>
    <t>AHUMED KABIR</t>
  </si>
  <si>
    <t>B28</t>
  </si>
  <si>
    <t>ULLAH SANA</t>
  </si>
  <si>
    <t>B31</t>
  </si>
  <si>
    <t>MD NOUSHED</t>
  </si>
  <si>
    <t>B39</t>
  </si>
  <si>
    <t>SAGOR MD</t>
  </si>
  <si>
    <t>B49</t>
  </si>
  <si>
    <t>HOSSAIN MD SHAMIM</t>
  </si>
  <si>
    <t>B53</t>
  </si>
  <si>
    <t>ISLAM NAEEM</t>
  </si>
  <si>
    <t>B74</t>
  </si>
  <si>
    <t>BALIK CUTI</t>
  </si>
  <si>
    <t>KHANG BHIKHAI</t>
  </si>
  <si>
    <t>N10</t>
  </si>
  <si>
    <t xml:space="preserve">RAMESH </t>
  </si>
  <si>
    <t>N16</t>
  </si>
  <si>
    <t>RAUT BARAI BIJAY</t>
  </si>
  <si>
    <t>N24</t>
  </si>
  <si>
    <t>DAS MUKESH KUMAR</t>
  </si>
  <si>
    <t>N29</t>
  </si>
  <si>
    <t>MIA MOHAMMAD UZZAL</t>
  </si>
  <si>
    <t>B13</t>
  </si>
  <si>
    <t>ISLAM SAFIQUL</t>
  </si>
  <si>
    <t>B16</t>
  </si>
  <si>
    <t>PARVES MD</t>
  </si>
  <si>
    <t>B19</t>
  </si>
  <si>
    <t>JAMAN MD</t>
  </si>
  <si>
    <t>B23</t>
  </si>
  <si>
    <t>SHOHEL</t>
  </si>
  <si>
    <t>B35</t>
  </si>
  <si>
    <t>MEHEBUL MD</t>
  </si>
  <si>
    <t>B44</t>
  </si>
  <si>
    <t>HOSSEN AMIR</t>
  </si>
  <si>
    <t>B45</t>
  </si>
  <si>
    <t>RASHID HARUN OR</t>
  </si>
  <si>
    <t>B50</t>
  </si>
  <si>
    <t>HASAN MD MEHEDI</t>
  </si>
  <si>
    <t>B54</t>
  </si>
  <si>
    <t>AMIN AL</t>
  </si>
  <si>
    <t>B60</t>
  </si>
  <si>
    <t>HASSAN MD AKRAMUL</t>
  </si>
  <si>
    <t>B66</t>
  </si>
  <si>
    <t>KARIM SAJEDUL</t>
  </si>
  <si>
    <t>B71</t>
  </si>
  <si>
    <t>ISLAM MINARUL</t>
  </si>
  <si>
    <t>B72</t>
  </si>
  <si>
    <t>MIAH MD RONI</t>
  </si>
  <si>
    <t>B75</t>
  </si>
  <si>
    <t>TUN TUN NAING</t>
  </si>
  <si>
    <t>M08</t>
  </si>
  <si>
    <t>AUNG ZAW HEIN</t>
  </si>
  <si>
    <t>M26</t>
  </si>
  <si>
    <t>KHIN THAN MAUNG</t>
  </si>
  <si>
    <t>M29</t>
  </si>
  <si>
    <t>RITESH</t>
  </si>
  <si>
    <t>N12</t>
  </si>
  <si>
    <t>NAGENDRA</t>
  </si>
  <si>
    <t>N15</t>
  </si>
  <si>
    <t>YADAV RAM KRIPAL</t>
  </si>
  <si>
    <t>N26</t>
  </si>
  <si>
    <t>YADAV PRAMOD KUMAR</t>
  </si>
  <si>
    <t>N27</t>
  </si>
  <si>
    <t>YADAV ANUP LAL</t>
  </si>
  <si>
    <t>N32</t>
  </si>
  <si>
    <t>UDDIN GEAS</t>
  </si>
  <si>
    <t>B21</t>
  </si>
  <si>
    <t>ISLAM MD NORUL</t>
  </si>
  <si>
    <t>B32</t>
  </si>
  <si>
    <t>HOSSAIN AMZAD</t>
  </si>
  <si>
    <t>B41</t>
  </si>
  <si>
    <t>RABBI MD FAZLE</t>
  </si>
  <si>
    <t>B43</t>
  </si>
  <si>
    <t>ISLAM SHAKILUR</t>
  </si>
  <si>
    <t>B46</t>
  </si>
  <si>
    <t>SAHA RONJON</t>
  </si>
  <si>
    <t>B47</t>
  </si>
  <si>
    <t>SEIKH SAHIN</t>
  </si>
  <si>
    <t>B56</t>
  </si>
  <si>
    <t>ISLAM MD RABIUL</t>
  </si>
  <si>
    <t>B57</t>
  </si>
  <si>
    <t>ALOM MAHBUB</t>
  </si>
  <si>
    <t>B59</t>
  </si>
  <si>
    <t>MIA MD ROBIN</t>
  </si>
  <si>
    <t>B62</t>
  </si>
  <si>
    <t>HASAN MD RIDOY</t>
  </si>
  <si>
    <t>B67</t>
  </si>
  <si>
    <t>UDDIN MD SALAH</t>
  </si>
  <si>
    <t>B68</t>
  </si>
  <si>
    <t>SHAGOR ISMIYEL HOSSAN</t>
  </si>
  <si>
    <t>B69</t>
  </si>
  <si>
    <t>MIA ONTOR</t>
  </si>
  <si>
    <t>B73</t>
  </si>
  <si>
    <t>KYAW MYO LWIN</t>
  </si>
  <si>
    <t>M19</t>
  </si>
  <si>
    <t>MYO MYINT AYE</t>
  </si>
  <si>
    <t>M22</t>
  </si>
  <si>
    <t>SHARMA SANJAY</t>
  </si>
  <si>
    <t>N14</t>
  </si>
  <si>
    <t>BIBEK</t>
  </si>
  <si>
    <t>N20</t>
  </si>
  <si>
    <t>SATENDRA KUMAR</t>
  </si>
  <si>
    <t>N28</t>
  </si>
  <si>
    <t>CHHOTELAL</t>
  </si>
  <si>
    <t>N19</t>
  </si>
  <si>
    <t>N25</t>
  </si>
  <si>
    <t xml:space="preserve">MON </t>
  </si>
  <si>
    <t>EARLY BACK</t>
  </si>
  <si>
    <t>CHANGE TO KB,B3</t>
  </si>
  <si>
    <t>CINCAU</t>
  </si>
  <si>
    <t>KT</t>
  </si>
  <si>
    <t>B3 SPECIAL</t>
  </si>
  <si>
    <t>BALIK CUTI (MAY26)</t>
  </si>
  <si>
    <t>WORKER WAGES -JUNE 26</t>
  </si>
  <si>
    <t>WORKER WAGES - JUNE 26</t>
  </si>
  <si>
    <t>WD</t>
  </si>
  <si>
    <t xml:space="preserve">CUTI </t>
  </si>
  <si>
    <t>ABS</t>
  </si>
  <si>
    <t>SICK LEAVE</t>
  </si>
  <si>
    <t>OS RM80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</si>
</sst>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;[Red]0.00"/>
    <numFmt numFmtId="166" formatCode="0.000"/>
  </numFmts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Trebuchet MS"/>
      <family val="2"/>
    </font>
    <font>
      <sz val="2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rebuchet MS"/>
      <family val="2"/>
    </font>
    <font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FF0000"/>
      <name val="Trebuchet MS"/>
      <family val="2"/>
    </font>
    <font>
      <b/>
      <sz val="22"/>
      <color rgb="FFFF0000"/>
      <name val="Trebuchet MS"/>
      <family val="2"/>
    </font>
    <font>
      <b/>
      <sz val="14"/>
      <color theme="1"/>
      <name val="Trebuchet MS"/>
      <family val="2"/>
    </font>
    <font>
      <b/>
      <sz val="20"/>
      <color theme="1"/>
      <name val="Trebuchet MS"/>
      <family val="2"/>
    </font>
    <font>
      <b/>
      <sz val="24"/>
      <color rgb="FF0070C0"/>
      <name val="Trebuchet MS"/>
      <family val="2"/>
    </font>
    <font>
      <b/>
      <sz val="20"/>
      <color rgb="FF00B050"/>
      <name val="Trebuchet MS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1" fillId="0" borderId="0"/>
    <xf numFmtId="164" fontId="21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12" xfId="0" applyBorder="1"/>
    <xf numFmtId="0" fontId="1" fillId="0" borderId="0" xfId="0" applyFont="1"/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3" xfId="0" applyBorder="1"/>
    <xf numFmtId="0" fontId="4" fillId="4" borderId="0" xfId="0" applyFont="1" applyFill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5" fontId="7" fillId="2" borderId="8" xfId="0" applyNumberFormat="1" applyFont="1" applyFill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4" xfId="0" applyBorder="1"/>
    <xf numFmtId="2" fontId="0" fillId="0" borderId="3" xfId="0" applyNumberForma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0" fillId="0" borderId="0" xfId="0" applyNumberFormat="1"/>
    <xf numFmtId="0" fontId="7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4" borderId="0" xfId="0" applyFill="1"/>
    <xf numFmtId="2" fontId="0" fillId="0" borderId="1" xfId="0" applyNumberFormat="1" applyBorder="1"/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5" fontId="5" fillId="5" borderId="9" xfId="0" applyNumberFormat="1" applyFont="1" applyFill="1" applyBorder="1" applyAlignment="1">
      <alignment horizontal="center" vertical="center"/>
    </xf>
    <xf numFmtId="165" fontId="5" fillId="5" borderId="10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12" fillId="0" borderId="0" xfId="0" applyFont="1"/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0" borderId="15" xfId="0" applyFont="1" applyBorder="1" applyAlignment="1">
      <alignment vertical="center"/>
    </xf>
    <xf numFmtId="165" fontId="5" fillId="5" borderId="1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0" borderId="5" xfId="0" applyNumberFormat="1" applyFont="1" applyBorder="1" applyAlignment="1">
      <alignment vertical="center"/>
    </xf>
    <xf numFmtId="165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2" fontId="14" fillId="0" borderId="4" xfId="0" applyNumberFormat="1" applyFont="1" applyBorder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14" fillId="2" borderId="2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5" fontId="9" fillId="6" borderId="1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0" fillId="3" borderId="0" xfId="0" applyNumberForma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5" fillId="2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166" fontId="13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5" fontId="11" fillId="6" borderId="0" xfId="0" applyNumberFormat="1" applyFont="1" applyFill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5" fontId="7" fillId="2" borderId="14" xfId="0" applyNumberFormat="1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5" fontId="14" fillId="2" borderId="3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5" fontId="14" fillId="5" borderId="3" xfId="0" applyNumberFormat="1" applyFont="1" applyFill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5" fontId="25" fillId="7" borderId="0" xfId="0" applyNumberFormat="1" applyFont="1" applyFill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164" fontId="29" fillId="0" borderId="0" xfId="2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FD1F8203-CCF7-4AF2-A60A-2ED1BAF09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43DD-44A9-4B69-8E9A-41B725B4B42F}">
  <sheetPr>
    <tabColor rgb="FF00B0F0"/>
  </sheetPr>
  <dimension ref="A1:AO64"/>
  <sheetViews>
    <sheetView view="pageBreakPreview" zoomScale="85" zoomScaleNormal="85" zoomScaleSheetLayoutView="85" workbookViewId="0">
      <selection activeCell="K35" sqref="K35"/>
    </sheetView>
  </sheetViews>
  <sheetFormatPr defaultColWidth="8.81640625" defaultRowHeight="14.5" x14ac:dyDescent="0.35"/>
  <cols>
    <col min="1" max="2" width="5.7265625" customWidth="1"/>
    <col min="3" max="3" width="9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7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10.1796875" bestFit="1" customWidth="1"/>
    <col min="18" max="18" width="8.7265625" customWidth="1"/>
    <col min="19" max="19" width="9" bestFit="1" customWidth="1"/>
    <col min="20" max="20" width="7.7265625" customWidth="1"/>
    <col min="21" max="21" width="9.1796875" bestFit="1" customWidth="1"/>
    <col min="22" max="22" width="8.453125" style="3" customWidth="1"/>
    <col min="23" max="23" width="7.453125" style="3" customWidth="1"/>
    <col min="24" max="24" width="9" style="2" bestFit="1" customWidth="1"/>
    <col min="25" max="25" width="10.1796875" customWidth="1"/>
    <col min="26" max="26" width="9.1796875" bestFit="1" customWidth="1"/>
    <col min="27" max="27" width="13.81640625" style="1" customWidth="1"/>
    <col min="28" max="29" width="5.7265625" customWidth="1"/>
    <col min="30" max="30" width="9.7265625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7.26953125" style="3" customWidth="1"/>
    <col min="37" max="37" width="8.81640625" style="2"/>
    <col min="38" max="39" width="8.7265625" customWidth="1"/>
    <col min="40" max="40" width="14" style="1" customWidth="1"/>
  </cols>
  <sheetData>
    <row r="1" spans="1:41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$A$1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$A$1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</row>
    <row r="2" spans="1:41" s="78" customFormat="1" ht="39.75" customHeight="1" x14ac:dyDescent="0.35">
      <c r="A2" s="78" t="s">
        <v>20</v>
      </c>
      <c r="C2" s="79" t="s">
        <v>213</v>
      </c>
      <c r="D2" s="79"/>
      <c r="E2" s="79"/>
      <c r="F2" s="79"/>
      <c r="G2" s="79" t="s">
        <v>214</v>
      </c>
      <c r="H2" s="80"/>
      <c r="I2" s="80"/>
      <c r="J2" s="79"/>
      <c r="K2" s="79"/>
      <c r="L2" s="79"/>
      <c r="M2" s="79"/>
      <c r="O2" s="78" t="s">
        <v>20</v>
      </c>
      <c r="Q2" s="79" t="s">
        <v>177</v>
      </c>
      <c r="R2" s="79"/>
      <c r="S2" s="79"/>
      <c r="T2" s="79"/>
      <c r="U2" s="79" t="s">
        <v>178</v>
      </c>
      <c r="V2" s="80"/>
      <c r="W2" s="80"/>
      <c r="X2" s="80"/>
      <c r="Y2" s="80"/>
      <c r="Z2" s="80"/>
      <c r="AA2" s="80"/>
      <c r="AB2" s="78" t="s">
        <v>20</v>
      </c>
      <c r="AD2" s="79" t="s">
        <v>109</v>
      </c>
      <c r="AE2" s="79"/>
      <c r="AF2" s="79"/>
      <c r="AG2" s="79"/>
      <c r="AH2" s="79" t="s">
        <v>215</v>
      </c>
      <c r="AI2" s="80"/>
      <c r="AJ2" s="80"/>
      <c r="AK2" s="79"/>
      <c r="AL2" s="174" t="s">
        <v>222</v>
      </c>
      <c r="AM2" s="174"/>
      <c r="AN2" s="174"/>
    </row>
    <row r="3" spans="1:41" ht="3" customHeight="1" x14ac:dyDescent="0.35">
      <c r="AD3" t="s">
        <v>109</v>
      </c>
    </row>
    <row r="4" spans="1:41" x14ac:dyDescent="0.35">
      <c r="H4" s="6"/>
      <c r="I4" s="6"/>
      <c r="V4" s="6"/>
      <c r="W4" s="6"/>
      <c r="AI4" s="6"/>
      <c r="AJ4" s="6"/>
    </row>
    <row r="5" spans="1:41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0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20</v>
      </c>
      <c r="AE5" s="69" t="s">
        <v>22</v>
      </c>
      <c r="AF5" s="69"/>
      <c r="AG5" s="69" t="s">
        <v>23</v>
      </c>
      <c r="AH5" s="70">
        <f>SUM(AH47)</f>
        <v>0</v>
      </c>
      <c r="AI5" s="71" t="s">
        <v>12</v>
      </c>
      <c r="AJ5" s="71"/>
      <c r="AK5" s="72"/>
      <c r="AL5" s="69" t="s">
        <v>37</v>
      </c>
      <c r="AM5" s="70">
        <f>SUM(AK47)</f>
        <v>0</v>
      </c>
      <c r="AN5" s="73" t="s">
        <v>22</v>
      </c>
    </row>
    <row r="6" spans="1:41" s="74" customFormat="1" ht="20.149999999999999" customHeight="1" x14ac:dyDescent="0.35">
      <c r="A6" s="69" t="s">
        <v>21</v>
      </c>
      <c r="B6" s="69"/>
      <c r="C6" s="75">
        <f>SUM(E47)</f>
        <v>137.06666666666669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0</v>
      </c>
      <c r="M6" s="73" t="s">
        <v>12</v>
      </c>
      <c r="O6" s="69" t="s">
        <v>21</v>
      </c>
      <c r="P6" s="69"/>
      <c r="Q6" s="75">
        <f>SUM(S47)</f>
        <v>135.73333333333335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0</v>
      </c>
      <c r="AA6" s="73" t="s">
        <v>12</v>
      </c>
      <c r="AB6" s="69" t="s">
        <v>21</v>
      </c>
      <c r="AC6" s="69"/>
      <c r="AD6" s="75">
        <f>SUM(AF47)</f>
        <v>-364.66666666666674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0</v>
      </c>
      <c r="AN6" s="73" t="s">
        <v>12</v>
      </c>
    </row>
    <row r="7" spans="1:41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</row>
    <row r="8" spans="1:41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</row>
    <row r="9" spans="1:41" ht="17.149999999999999" customHeight="1" x14ac:dyDescent="0.35">
      <c r="A9" s="88" t="s">
        <v>216</v>
      </c>
      <c r="B9" s="88">
        <v>1</v>
      </c>
      <c r="C9" s="89"/>
      <c r="D9" s="138"/>
      <c r="E9" s="138">
        <v>0</v>
      </c>
      <c r="F9" s="89"/>
      <c r="G9" s="89">
        <f t="shared" ref="G9:G38" si="0">SUM(D9-C9)+(F9-E9)</f>
        <v>0</v>
      </c>
      <c r="H9" s="90"/>
      <c r="I9" s="89"/>
      <c r="J9" s="91">
        <f t="shared" ref="J9:J38" si="1">SUM((G9-H9)-I9)</f>
        <v>0</v>
      </c>
      <c r="K9" s="88"/>
      <c r="L9" s="88">
        <f t="shared" ref="L9:L38" si="2">SUM(J9-K9)*100</f>
        <v>0</v>
      </c>
      <c r="M9" s="134"/>
      <c r="O9" s="88" t="s">
        <v>216</v>
      </c>
      <c r="P9" s="88">
        <v>1</v>
      </c>
      <c r="Q9" s="89"/>
      <c r="R9" s="138"/>
      <c r="S9" s="138">
        <v>0</v>
      </c>
      <c r="T9" s="89"/>
      <c r="U9" s="89">
        <f t="shared" ref="U9:U38" si="3">SUM(R9-Q9)+(T9-S9)</f>
        <v>0</v>
      </c>
      <c r="V9" s="90"/>
      <c r="W9" s="89"/>
      <c r="X9" s="91">
        <f t="shared" ref="X9:X38" si="4">SUM((U9-V9)-W9)</f>
        <v>0</v>
      </c>
      <c r="Y9" s="88"/>
      <c r="Z9" s="88">
        <f t="shared" ref="Z9:Z38" si="5">SUM(X9-Y9)*100</f>
        <v>0</v>
      </c>
      <c r="AA9" s="134"/>
      <c r="AB9" s="86" t="s">
        <v>216</v>
      </c>
      <c r="AC9" s="86">
        <v>1</v>
      </c>
      <c r="AD9" s="58"/>
      <c r="AE9" s="96"/>
      <c r="AF9" s="96"/>
      <c r="AG9" s="53"/>
      <c r="AH9" s="58">
        <f t="shared" ref="AH9" si="6">SUM(AE9-AD9)+(AG9-AF9)</f>
        <v>0</v>
      </c>
      <c r="AI9" s="97">
        <v>7.3</v>
      </c>
      <c r="AJ9" s="58">
        <v>1</v>
      </c>
      <c r="AK9" s="59">
        <f t="shared" ref="AK9" si="7">SUM((AH9-AI9)-AJ9)</f>
        <v>-8.3000000000000007</v>
      </c>
      <c r="AL9" s="86"/>
      <c r="AM9" s="86">
        <f t="shared" ref="AM9" si="8">SUM(AK9-AL9)*100</f>
        <v>-830.00000000000011</v>
      </c>
      <c r="AN9" s="87"/>
    </row>
    <row r="10" spans="1:41" s="54" customFormat="1" ht="17.149999999999999" customHeight="1" x14ac:dyDescent="0.35">
      <c r="A10" s="86" t="s">
        <v>2</v>
      </c>
      <c r="B10" s="86">
        <v>2</v>
      </c>
      <c r="C10" s="58">
        <v>12</v>
      </c>
      <c r="D10" s="96"/>
      <c r="E10" s="96"/>
      <c r="F10" s="53">
        <v>26.87</v>
      </c>
      <c r="G10" s="58">
        <f t="shared" si="0"/>
        <v>14.870000000000001</v>
      </c>
      <c r="H10" s="97">
        <v>7.3</v>
      </c>
      <c r="I10" s="58">
        <v>1</v>
      </c>
      <c r="J10" s="59">
        <f t="shared" si="1"/>
        <v>6.5700000000000012</v>
      </c>
      <c r="K10" s="86">
        <v>6</v>
      </c>
      <c r="L10" s="86">
        <f t="shared" si="2"/>
        <v>57.000000000000114</v>
      </c>
      <c r="M10" s="98"/>
      <c r="N10"/>
      <c r="O10" s="86" t="s">
        <v>2</v>
      </c>
      <c r="P10" s="86">
        <v>2</v>
      </c>
      <c r="Q10" s="58">
        <v>12</v>
      </c>
      <c r="R10" s="96"/>
      <c r="S10" s="96"/>
      <c r="T10" s="53">
        <v>26.87</v>
      </c>
      <c r="U10" s="58">
        <f t="shared" si="3"/>
        <v>14.870000000000001</v>
      </c>
      <c r="V10" s="97">
        <v>7.3</v>
      </c>
      <c r="W10" s="58">
        <v>1</v>
      </c>
      <c r="X10" s="59">
        <f t="shared" si="4"/>
        <v>6.5700000000000012</v>
      </c>
      <c r="Y10" s="86">
        <v>6</v>
      </c>
      <c r="Z10" s="86">
        <f t="shared" si="5"/>
        <v>57.000000000000114</v>
      </c>
      <c r="AA10" s="98"/>
      <c r="AB10" s="86" t="s">
        <v>2</v>
      </c>
      <c r="AC10" s="86">
        <v>2</v>
      </c>
      <c r="AD10" s="58"/>
      <c r="AE10" s="96"/>
      <c r="AF10" s="96"/>
      <c r="AG10" s="53"/>
      <c r="AH10" s="58">
        <f t="shared" ref="AH10:AH13" si="9">SUM(AE10-AD10)+(AG10-AF10)</f>
        <v>0</v>
      </c>
      <c r="AI10" s="97">
        <v>7.3</v>
      </c>
      <c r="AJ10" s="58">
        <v>1</v>
      </c>
      <c r="AK10" s="59">
        <f t="shared" ref="AK10:AK13" si="10">SUM((AH10-AI10)-AJ10)</f>
        <v>-8.3000000000000007</v>
      </c>
      <c r="AL10" s="86"/>
      <c r="AM10" s="86">
        <f t="shared" ref="AM10:AM13" si="11">SUM(AK10-AL10)*100</f>
        <v>-830.00000000000011</v>
      </c>
      <c r="AN10" s="98"/>
      <c r="AO10"/>
    </row>
    <row r="11" spans="1:41" s="54" customFormat="1" ht="17.149999999999999" customHeight="1" x14ac:dyDescent="0.35">
      <c r="A11" s="86" t="s">
        <v>3</v>
      </c>
      <c r="B11" s="86">
        <v>3</v>
      </c>
      <c r="C11" s="58">
        <v>12</v>
      </c>
      <c r="D11" s="96"/>
      <c r="E11" s="96"/>
      <c r="F11" s="53">
        <v>26.56</v>
      </c>
      <c r="G11" s="58">
        <f t="shared" si="0"/>
        <v>14.559999999999999</v>
      </c>
      <c r="H11" s="97">
        <v>7.3</v>
      </c>
      <c r="I11" s="58">
        <v>1</v>
      </c>
      <c r="J11" s="59">
        <f t="shared" si="1"/>
        <v>6.2599999999999989</v>
      </c>
      <c r="K11" s="86">
        <v>6</v>
      </c>
      <c r="L11" s="86">
        <f t="shared" si="2"/>
        <v>25.99999999999989</v>
      </c>
      <c r="M11" s="87"/>
      <c r="N11"/>
      <c r="O11" s="86" t="s">
        <v>3</v>
      </c>
      <c r="P11" s="86">
        <v>3</v>
      </c>
      <c r="Q11" s="58">
        <v>12</v>
      </c>
      <c r="R11" s="96"/>
      <c r="S11" s="96"/>
      <c r="T11" s="53">
        <v>26.56</v>
      </c>
      <c r="U11" s="58">
        <f t="shared" si="3"/>
        <v>14.559999999999999</v>
      </c>
      <c r="V11" s="97">
        <v>7.3</v>
      </c>
      <c r="W11" s="58">
        <v>1</v>
      </c>
      <c r="X11" s="59">
        <f t="shared" si="4"/>
        <v>6.2599999999999989</v>
      </c>
      <c r="Y11" s="86">
        <v>6</v>
      </c>
      <c r="Z11" s="86">
        <f t="shared" si="5"/>
        <v>25.99999999999989</v>
      </c>
      <c r="AA11" s="87"/>
      <c r="AB11" s="86" t="s">
        <v>225</v>
      </c>
      <c r="AC11" s="86">
        <v>3</v>
      </c>
      <c r="AD11" s="58"/>
      <c r="AE11" s="96"/>
      <c r="AF11" s="96"/>
      <c r="AG11" s="53"/>
      <c r="AH11" s="58">
        <f t="shared" si="9"/>
        <v>0</v>
      </c>
      <c r="AI11" s="97">
        <v>7.3</v>
      </c>
      <c r="AJ11" s="58">
        <v>1</v>
      </c>
      <c r="AK11" s="59">
        <f t="shared" si="10"/>
        <v>-8.3000000000000007</v>
      </c>
      <c r="AL11" s="86"/>
      <c r="AM11" s="86">
        <f t="shared" si="11"/>
        <v>-830.00000000000011</v>
      </c>
      <c r="AN11" s="87"/>
      <c r="AO11"/>
    </row>
    <row r="12" spans="1:41" ht="17.149999999999999" customHeight="1" x14ac:dyDescent="0.35">
      <c r="A12" s="86" t="s">
        <v>4</v>
      </c>
      <c r="B12" s="86">
        <v>4</v>
      </c>
      <c r="C12" s="58">
        <v>12</v>
      </c>
      <c r="D12" s="96"/>
      <c r="E12" s="96"/>
      <c r="F12" s="53">
        <v>26.92</v>
      </c>
      <c r="G12" s="58">
        <f t="shared" si="0"/>
        <v>14.920000000000002</v>
      </c>
      <c r="H12" s="97">
        <v>7.3</v>
      </c>
      <c r="I12" s="58">
        <v>1.4</v>
      </c>
      <c r="J12" s="59">
        <f t="shared" si="1"/>
        <v>6.2200000000000024</v>
      </c>
      <c r="K12" s="86">
        <v>6</v>
      </c>
      <c r="L12" s="86">
        <f t="shared" si="2"/>
        <v>22.000000000000242</v>
      </c>
      <c r="M12" s="98"/>
      <c r="O12" s="86" t="s">
        <v>4</v>
      </c>
      <c r="P12" s="86">
        <v>4</v>
      </c>
      <c r="Q12" s="58">
        <v>12</v>
      </c>
      <c r="R12" s="96"/>
      <c r="S12" s="96"/>
      <c r="T12" s="53">
        <v>26.92</v>
      </c>
      <c r="U12" s="58">
        <f t="shared" si="3"/>
        <v>14.920000000000002</v>
      </c>
      <c r="V12" s="97">
        <v>7.3</v>
      </c>
      <c r="W12" s="58">
        <v>1.4</v>
      </c>
      <c r="X12" s="59">
        <f t="shared" si="4"/>
        <v>6.2200000000000024</v>
      </c>
      <c r="Y12" s="86">
        <v>6</v>
      </c>
      <c r="Z12" s="86">
        <f t="shared" si="5"/>
        <v>22.000000000000242</v>
      </c>
      <c r="AA12" s="98"/>
      <c r="AB12" s="86" t="s">
        <v>4</v>
      </c>
      <c r="AC12" s="86">
        <v>4</v>
      </c>
      <c r="AD12" s="58"/>
      <c r="AE12" s="96"/>
      <c r="AF12" s="96"/>
      <c r="AG12" s="53"/>
      <c r="AH12" s="58">
        <f t="shared" si="9"/>
        <v>0</v>
      </c>
      <c r="AI12" s="97">
        <v>7.3</v>
      </c>
      <c r="AJ12" s="58">
        <v>1</v>
      </c>
      <c r="AK12" s="59">
        <f t="shared" si="10"/>
        <v>-8.3000000000000007</v>
      </c>
      <c r="AL12" s="86"/>
      <c r="AM12" s="86">
        <f t="shared" si="11"/>
        <v>-830.00000000000011</v>
      </c>
      <c r="AN12" s="98"/>
    </row>
    <row r="13" spans="1:41" ht="17.149999999999999" customHeight="1" x14ac:dyDescent="0.35">
      <c r="A13" s="86" t="s">
        <v>5</v>
      </c>
      <c r="B13" s="86">
        <v>5</v>
      </c>
      <c r="C13" s="58">
        <v>12</v>
      </c>
      <c r="D13" s="96"/>
      <c r="E13" s="96"/>
      <c r="F13" s="53">
        <v>27.85</v>
      </c>
      <c r="G13" s="58">
        <f t="shared" si="0"/>
        <v>15.850000000000001</v>
      </c>
      <c r="H13" s="97">
        <v>7.3</v>
      </c>
      <c r="I13" s="58">
        <v>1</v>
      </c>
      <c r="J13" s="59">
        <f t="shared" si="1"/>
        <v>7.5500000000000007</v>
      </c>
      <c r="K13" s="86">
        <v>7</v>
      </c>
      <c r="L13" s="86">
        <f t="shared" si="2"/>
        <v>55.000000000000071</v>
      </c>
      <c r="M13" s="98"/>
      <c r="O13" s="86" t="s">
        <v>5</v>
      </c>
      <c r="P13" s="86">
        <v>5</v>
      </c>
      <c r="Q13" s="58">
        <v>12</v>
      </c>
      <c r="R13" s="96"/>
      <c r="S13" s="96"/>
      <c r="T13" s="53">
        <v>27.85</v>
      </c>
      <c r="U13" s="58">
        <f t="shared" si="3"/>
        <v>15.850000000000001</v>
      </c>
      <c r="V13" s="97">
        <v>7.3</v>
      </c>
      <c r="W13" s="58">
        <v>1</v>
      </c>
      <c r="X13" s="59">
        <f t="shared" si="4"/>
        <v>7.5500000000000007</v>
      </c>
      <c r="Y13" s="86">
        <v>7</v>
      </c>
      <c r="Z13" s="86">
        <f t="shared" si="5"/>
        <v>55.000000000000071</v>
      </c>
      <c r="AA13" s="98"/>
      <c r="AB13" s="86" t="s">
        <v>5</v>
      </c>
      <c r="AC13" s="86">
        <v>5</v>
      </c>
      <c r="AD13" s="58"/>
      <c r="AE13" s="96"/>
      <c r="AF13" s="96"/>
      <c r="AG13" s="53"/>
      <c r="AH13" s="58">
        <f t="shared" si="9"/>
        <v>0</v>
      </c>
      <c r="AI13" s="97">
        <v>7.3</v>
      </c>
      <c r="AJ13" s="58">
        <v>1</v>
      </c>
      <c r="AK13" s="59">
        <f t="shared" si="10"/>
        <v>-8.3000000000000007</v>
      </c>
      <c r="AL13" s="86"/>
      <c r="AM13" s="86">
        <f t="shared" si="11"/>
        <v>-830.00000000000011</v>
      </c>
      <c r="AN13" s="98"/>
    </row>
    <row r="14" spans="1:41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0"/>
        <v>0</v>
      </c>
      <c r="H14" s="56"/>
      <c r="I14" s="52"/>
      <c r="J14" s="57">
        <f t="shared" si="1"/>
        <v>0</v>
      </c>
      <c r="K14" s="55"/>
      <c r="L14" s="55">
        <f t="shared" si="2"/>
        <v>0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/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/>
      <c r="AI14" s="56"/>
      <c r="AJ14" s="52"/>
      <c r="AK14" s="57"/>
      <c r="AL14" s="55"/>
      <c r="AM14" s="55"/>
      <c r="AN14" s="95"/>
    </row>
    <row r="15" spans="1:41" ht="17.149999999999999" customHeight="1" x14ac:dyDescent="0.35">
      <c r="A15" s="86" t="s">
        <v>1</v>
      </c>
      <c r="B15" s="94">
        <v>7</v>
      </c>
      <c r="C15" s="58">
        <v>12</v>
      </c>
      <c r="D15" s="96"/>
      <c r="E15" s="96"/>
      <c r="F15" s="53">
        <v>26.64</v>
      </c>
      <c r="G15" s="58">
        <f t="shared" si="0"/>
        <v>14.64</v>
      </c>
      <c r="H15" s="97">
        <v>7.3</v>
      </c>
      <c r="I15" s="58">
        <v>1</v>
      </c>
      <c r="J15" s="59">
        <f t="shared" si="1"/>
        <v>6.3400000000000007</v>
      </c>
      <c r="K15" s="86">
        <v>6</v>
      </c>
      <c r="L15" s="86">
        <f t="shared" si="2"/>
        <v>34.000000000000071</v>
      </c>
      <c r="M15" s="98"/>
      <c r="O15" s="86" t="s">
        <v>1</v>
      </c>
      <c r="P15" s="94">
        <v>7</v>
      </c>
      <c r="Q15" s="58">
        <v>12</v>
      </c>
      <c r="R15" s="96"/>
      <c r="S15" s="96"/>
      <c r="T15" s="53">
        <v>26.64</v>
      </c>
      <c r="U15" s="58">
        <f t="shared" si="3"/>
        <v>14.64</v>
      </c>
      <c r="V15" s="97">
        <v>7.3</v>
      </c>
      <c r="W15" s="58">
        <v>1</v>
      </c>
      <c r="X15" s="59">
        <f t="shared" si="4"/>
        <v>6.3400000000000007</v>
      </c>
      <c r="Y15" s="86">
        <v>6</v>
      </c>
      <c r="Z15" s="86">
        <f t="shared" si="5"/>
        <v>34.000000000000071</v>
      </c>
      <c r="AA15" s="98"/>
      <c r="AB15" s="86" t="s">
        <v>1</v>
      </c>
      <c r="AC15" s="94">
        <v>7</v>
      </c>
      <c r="AD15" s="58"/>
      <c r="AE15" s="96"/>
      <c r="AF15" s="96"/>
      <c r="AG15" s="53"/>
      <c r="AH15" s="58">
        <f t="shared" ref="AH15:AH20" si="12">SUM(AE15-AD15)+(AG15-AF15)</f>
        <v>0</v>
      </c>
      <c r="AI15" s="97">
        <v>7.3</v>
      </c>
      <c r="AJ15" s="58">
        <v>1</v>
      </c>
      <c r="AK15" s="59">
        <f t="shared" ref="AK15:AK20" si="13">SUM((AH15-AI15)-AJ15)</f>
        <v>-8.3000000000000007</v>
      </c>
      <c r="AL15" s="86"/>
      <c r="AM15" s="86">
        <f t="shared" ref="AM15:AM20" si="14">SUM(AK15-AL15)*100</f>
        <v>-830.00000000000011</v>
      </c>
      <c r="AN15" s="98"/>
    </row>
    <row r="16" spans="1:41" ht="17.149999999999999" customHeight="1" x14ac:dyDescent="0.35">
      <c r="A16" s="86" t="s">
        <v>216</v>
      </c>
      <c r="B16" s="86">
        <v>8</v>
      </c>
      <c r="C16" s="58">
        <v>12</v>
      </c>
      <c r="D16" s="96"/>
      <c r="E16" s="96"/>
      <c r="F16" s="53">
        <v>24.65</v>
      </c>
      <c r="G16" s="58">
        <f t="shared" si="0"/>
        <v>12.649999999999999</v>
      </c>
      <c r="H16" s="97">
        <v>7.3</v>
      </c>
      <c r="I16" s="58">
        <v>1</v>
      </c>
      <c r="J16" s="59">
        <f t="shared" si="1"/>
        <v>4.3499999999999988</v>
      </c>
      <c r="K16" s="86">
        <v>4</v>
      </c>
      <c r="L16" s="86">
        <f t="shared" si="2"/>
        <v>34.999999999999872</v>
      </c>
      <c r="M16" s="87"/>
      <c r="O16" s="86" t="s">
        <v>216</v>
      </c>
      <c r="P16" s="86">
        <v>8</v>
      </c>
      <c r="Q16" s="58">
        <v>12</v>
      </c>
      <c r="R16" s="96"/>
      <c r="S16" s="96"/>
      <c r="T16" s="53">
        <v>24.65</v>
      </c>
      <c r="U16" s="58">
        <f t="shared" si="3"/>
        <v>12.649999999999999</v>
      </c>
      <c r="V16" s="97">
        <v>7.3</v>
      </c>
      <c r="W16" s="58">
        <v>1</v>
      </c>
      <c r="X16" s="59">
        <f t="shared" si="4"/>
        <v>4.3499999999999988</v>
      </c>
      <c r="Y16" s="86">
        <v>4</v>
      </c>
      <c r="Z16" s="86">
        <f t="shared" si="5"/>
        <v>34.999999999999872</v>
      </c>
      <c r="AA16" s="87"/>
      <c r="AB16" s="86" t="s">
        <v>216</v>
      </c>
      <c r="AC16" s="86">
        <v>8</v>
      </c>
      <c r="AD16" s="58"/>
      <c r="AE16" s="96"/>
      <c r="AF16" s="96"/>
      <c r="AG16" s="53"/>
      <c r="AH16" s="58">
        <f t="shared" si="12"/>
        <v>0</v>
      </c>
      <c r="AI16" s="97">
        <v>7.3</v>
      </c>
      <c r="AJ16" s="58">
        <v>1</v>
      </c>
      <c r="AK16" s="59">
        <f t="shared" si="13"/>
        <v>-8.3000000000000007</v>
      </c>
      <c r="AL16" s="86"/>
      <c r="AM16" s="86">
        <f t="shared" si="14"/>
        <v>-830.00000000000011</v>
      </c>
      <c r="AN16" s="87"/>
    </row>
    <row r="17" spans="1:41" ht="17.149999999999999" customHeight="1" x14ac:dyDescent="0.35">
      <c r="A17" s="86" t="s">
        <v>2</v>
      </c>
      <c r="B17" s="86">
        <v>9</v>
      </c>
      <c r="C17" s="58">
        <v>12</v>
      </c>
      <c r="D17" s="96"/>
      <c r="E17" s="96"/>
      <c r="F17" s="53">
        <v>24.78</v>
      </c>
      <c r="G17" s="58">
        <f t="shared" si="0"/>
        <v>12.780000000000001</v>
      </c>
      <c r="H17" s="97">
        <v>7.3</v>
      </c>
      <c r="I17" s="58">
        <v>1</v>
      </c>
      <c r="J17" s="59">
        <f t="shared" si="1"/>
        <v>4.4800000000000013</v>
      </c>
      <c r="K17" s="86">
        <v>4</v>
      </c>
      <c r="L17" s="86">
        <f t="shared" si="2"/>
        <v>48.000000000000128</v>
      </c>
      <c r="M17" s="98"/>
      <c r="O17" s="86" t="s">
        <v>2</v>
      </c>
      <c r="P17" s="86">
        <v>9</v>
      </c>
      <c r="Q17" s="58">
        <v>12</v>
      </c>
      <c r="R17" s="96"/>
      <c r="S17" s="96"/>
      <c r="T17" s="53">
        <v>24.78</v>
      </c>
      <c r="U17" s="58">
        <f t="shared" si="3"/>
        <v>12.780000000000001</v>
      </c>
      <c r="V17" s="97">
        <v>7.3</v>
      </c>
      <c r="W17" s="58">
        <v>1</v>
      </c>
      <c r="X17" s="59">
        <f t="shared" si="4"/>
        <v>4.4800000000000013</v>
      </c>
      <c r="Y17" s="86">
        <v>4</v>
      </c>
      <c r="Z17" s="86">
        <f t="shared" si="5"/>
        <v>48.000000000000128</v>
      </c>
      <c r="AA17" s="98"/>
      <c r="AB17" s="86" t="s">
        <v>2</v>
      </c>
      <c r="AC17" s="86">
        <v>9</v>
      </c>
      <c r="AD17" s="58"/>
      <c r="AE17" s="96"/>
      <c r="AF17" s="96"/>
      <c r="AG17" s="53"/>
      <c r="AH17" s="58">
        <f t="shared" si="12"/>
        <v>0</v>
      </c>
      <c r="AI17" s="97">
        <v>7.3</v>
      </c>
      <c r="AJ17" s="58">
        <v>1</v>
      </c>
      <c r="AK17" s="59">
        <f t="shared" si="13"/>
        <v>-8.3000000000000007</v>
      </c>
      <c r="AL17" s="86"/>
      <c r="AM17" s="86">
        <f t="shared" si="14"/>
        <v>-830.00000000000011</v>
      </c>
      <c r="AN17" s="98"/>
    </row>
    <row r="18" spans="1:41" s="54" customFormat="1" ht="17.149999999999999" customHeight="1" x14ac:dyDescent="0.35">
      <c r="A18" s="86" t="s">
        <v>225</v>
      </c>
      <c r="B18" s="86">
        <v>10</v>
      </c>
      <c r="C18" s="58">
        <v>12</v>
      </c>
      <c r="D18" s="96"/>
      <c r="E18" s="96"/>
      <c r="F18" s="53">
        <v>25.89</v>
      </c>
      <c r="G18" s="58">
        <f t="shared" si="0"/>
        <v>13.89</v>
      </c>
      <c r="H18" s="97">
        <v>7.3</v>
      </c>
      <c r="I18" s="58">
        <v>1</v>
      </c>
      <c r="J18" s="59">
        <f t="shared" si="1"/>
        <v>5.5900000000000007</v>
      </c>
      <c r="K18" s="86">
        <v>5</v>
      </c>
      <c r="L18" s="86">
        <f t="shared" si="2"/>
        <v>59.000000000000071</v>
      </c>
      <c r="M18" s="98"/>
      <c r="N18"/>
      <c r="O18" s="86" t="s">
        <v>225</v>
      </c>
      <c r="P18" s="86">
        <v>10</v>
      </c>
      <c r="Q18" s="58">
        <v>12</v>
      </c>
      <c r="R18" s="96"/>
      <c r="S18" s="96"/>
      <c r="T18" s="53">
        <v>25.89</v>
      </c>
      <c r="U18" s="58">
        <f t="shared" si="3"/>
        <v>13.89</v>
      </c>
      <c r="V18" s="97">
        <v>7.3</v>
      </c>
      <c r="W18" s="58">
        <v>1</v>
      </c>
      <c r="X18" s="59">
        <f t="shared" si="4"/>
        <v>5.5900000000000007</v>
      </c>
      <c r="Y18" s="86">
        <v>5</v>
      </c>
      <c r="Z18" s="86">
        <f t="shared" si="5"/>
        <v>59.000000000000071</v>
      </c>
      <c r="AA18" s="98"/>
      <c r="AB18" s="86" t="s">
        <v>225</v>
      </c>
      <c r="AC18" s="86">
        <v>10</v>
      </c>
      <c r="AD18" s="58"/>
      <c r="AE18" s="96"/>
      <c r="AF18" s="96"/>
      <c r="AG18" s="53"/>
      <c r="AH18" s="58">
        <f t="shared" si="12"/>
        <v>0</v>
      </c>
      <c r="AI18" s="97">
        <v>7.3</v>
      </c>
      <c r="AJ18" s="58">
        <v>1</v>
      </c>
      <c r="AK18" s="59">
        <f t="shared" si="13"/>
        <v>-8.3000000000000007</v>
      </c>
      <c r="AL18" s="86"/>
      <c r="AM18" s="86">
        <f t="shared" si="14"/>
        <v>-830.00000000000011</v>
      </c>
      <c r="AN18" s="98"/>
      <c r="AO18"/>
    </row>
    <row r="19" spans="1:41" ht="17.149999999999999" customHeight="1" x14ac:dyDescent="0.35">
      <c r="A19" s="86" t="s">
        <v>4</v>
      </c>
      <c r="B19" s="86">
        <v>11</v>
      </c>
      <c r="C19" s="58">
        <v>12</v>
      </c>
      <c r="D19" s="96"/>
      <c r="E19" s="96"/>
      <c r="F19" s="53">
        <v>26.67</v>
      </c>
      <c r="G19" s="58">
        <f t="shared" si="0"/>
        <v>14.670000000000002</v>
      </c>
      <c r="H19" s="97">
        <v>7.3</v>
      </c>
      <c r="I19" s="58">
        <v>1</v>
      </c>
      <c r="J19" s="59">
        <f t="shared" si="1"/>
        <v>6.3700000000000019</v>
      </c>
      <c r="K19" s="86">
        <v>6</v>
      </c>
      <c r="L19" s="86">
        <f t="shared" si="2"/>
        <v>37.000000000000185</v>
      </c>
      <c r="M19" s="98"/>
      <c r="O19" s="86" t="s">
        <v>4</v>
      </c>
      <c r="P19" s="86">
        <v>11</v>
      </c>
      <c r="Q19" s="58">
        <v>12</v>
      </c>
      <c r="R19" s="96"/>
      <c r="S19" s="96"/>
      <c r="T19" s="53">
        <v>26.67</v>
      </c>
      <c r="U19" s="58">
        <f t="shared" si="3"/>
        <v>14.670000000000002</v>
      </c>
      <c r="V19" s="97">
        <v>7.3</v>
      </c>
      <c r="W19" s="58">
        <v>1</v>
      </c>
      <c r="X19" s="59">
        <f t="shared" si="4"/>
        <v>6.3700000000000019</v>
      </c>
      <c r="Y19" s="86">
        <v>6</v>
      </c>
      <c r="Z19" s="86">
        <f t="shared" si="5"/>
        <v>37.000000000000185</v>
      </c>
      <c r="AA19" s="98"/>
      <c r="AB19" s="86" t="s">
        <v>4</v>
      </c>
      <c r="AC19" s="86">
        <v>11</v>
      </c>
      <c r="AD19" s="58"/>
      <c r="AE19" s="96"/>
      <c r="AF19" s="96"/>
      <c r="AG19" s="53"/>
      <c r="AH19" s="58">
        <f t="shared" si="12"/>
        <v>0</v>
      </c>
      <c r="AI19" s="97">
        <v>7.3</v>
      </c>
      <c r="AJ19" s="58">
        <v>1</v>
      </c>
      <c r="AK19" s="59">
        <f t="shared" si="13"/>
        <v>-8.3000000000000007</v>
      </c>
      <c r="AL19" s="86"/>
      <c r="AM19" s="86">
        <f t="shared" si="14"/>
        <v>-830.00000000000011</v>
      </c>
      <c r="AN19" s="98"/>
    </row>
    <row r="20" spans="1:41" ht="17.149999999999999" customHeight="1" x14ac:dyDescent="0.35">
      <c r="A20" s="86" t="s">
        <v>5</v>
      </c>
      <c r="B20" s="86">
        <v>12</v>
      </c>
      <c r="C20" s="58">
        <v>12</v>
      </c>
      <c r="D20" s="96"/>
      <c r="E20" s="96"/>
      <c r="F20" s="53">
        <v>27.5</v>
      </c>
      <c r="G20" s="58">
        <f t="shared" si="0"/>
        <v>15.5</v>
      </c>
      <c r="H20" s="97">
        <v>7.3</v>
      </c>
      <c r="I20" s="58">
        <v>1</v>
      </c>
      <c r="J20" s="59">
        <f t="shared" si="1"/>
        <v>7.1999999999999993</v>
      </c>
      <c r="K20" s="86">
        <v>7</v>
      </c>
      <c r="L20" s="86">
        <f t="shared" si="2"/>
        <v>19.999999999999929</v>
      </c>
      <c r="M20" s="98"/>
      <c r="N20" s="93"/>
      <c r="O20" s="86" t="s">
        <v>5</v>
      </c>
      <c r="P20" s="86">
        <v>12</v>
      </c>
      <c r="Q20" s="58">
        <v>12</v>
      </c>
      <c r="R20" s="96"/>
      <c r="S20" s="96"/>
      <c r="T20" s="53">
        <v>27.5</v>
      </c>
      <c r="U20" s="58">
        <f t="shared" si="3"/>
        <v>15.5</v>
      </c>
      <c r="V20" s="97">
        <v>7.3</v>
      </c>
      <c r="W20" s="58">
        <v>1</v>
      </c>
      <c r="X20" s="59">
        <f t="shared" si="4"/>
        <v>7.1999999999999993</v>
      </c>
      <c r="Y20" s="86">
        <v>7</v>
      </c>
      <c r="Z20" s="86">
        <f t="shared" si="5"/>
        <v>19.999999999999929</v>
      </c>
      <c r="AA20" s="98"/>
      <c r="AB20" s="86" t="s">
        <v>5</v>
      </c>
      <c r="AC20" s="86">
        <v>12</v>
      </c>
      <c r="AD20" s="58"/>
      <c r="AE20" s="96"/>
      <c r="AF20" s="96"/>
      <c r="AG20" s="53"/>
      <c r="AH20" s="58">
        <f t="shared" si="12"/>
        <v>0</v>
      </c>
      <c r="AI20" s="97">
        <v>7.3</v>
      </c>
      <c r="AJ20" s="58">
        <v>1</v>
      </c>
      <c r="AK20" s="59">
        <f t="shared" si="13"/>
        <v>-8.3000000000000007</v>
      </c>
      <c r="AL20" s="86"/>
      <c r="AM20" s="86">
        <f t="shared" si="14"/>
        <v>-830.00000000000011</v>
      </c>
      <c r="AN20" s="98"/>
    </row>
    <row r="21" spans="1:41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0"/>
        <v>0</v>
      </c>
      <c r="H21" s="56"/>
      <c r="I21" s="52"/>
      <c r="J21" s="57">
        <f t="shared" si="1"/>
        <v>0</v>
      </c>
      <c r="K21" s="55"/>
      <c r="L21" s="55">
        <f t="shared" si="2"/>
        <v>0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/>
      <c r="Z21" s="55">
        <f t="shared" si="5"/>
        <v>0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/>
      <c r="AI21" s="56"/>
      <c r="AJ21" s="52"/>
      <c r="AK21" s="57"/>
      <c r="AL21" s="55"/>
      <c r="AM21" s="55"/>
      <c r="AN21" s="137"/>
    </row>
    <row r="22" spans="1:41" ht="17.149999999999999" customHeight="1" x14ac:dyDescent="0.35">
      <c r="A22" s="86" t="s">
        <v>1</v>
      </c>
      <c r="B22" s="94">
        <v>14</v>
      </c>
      <c r="C22" s="58">
        <v>12</v>
      </c>
      <c r="D22" s="96"/>
      <c r="E22" s="96"/>
      <c r="F22" s="53">
        <v>25.61</v>
      </c>
      <c r="G22" s="58">
        <f t="shared" si="0"/>
        <v>13.61</v>
      </c>
      <c r="H22" s="97">
        <v>7.3</v>
      </c>
      <c r="I22" s="58">
        <v>1</v>
      </c>
      <c r="J22" s="59">
        <f t="shared" si="1"/>
        <v>5.31</v>
      </c>
      <c r="K22" s="86">
        <v>5</v>
      </c>
      <c r="L22" s="86">
        <f t="shared" si="2"/>
        <v>30.999999999999961</v>
      </c>
      <c r="M22" s="98"/>
      <c r="O22" s="86" t="s">
        <v>1</v>
      </c>
      <c r="P22" s="94">
        <v>14</v>
      </c>
      <c r="Q22" s="58">
        <v>12.2</v>
      </c>
      <c r="R22" s="96"/>
      <c r="S22" s="96"/>
      <c r="T22" s="53">
        <v>25.61</v>
      </c>
      <c r="U22" s="58">
        <f t="shared" si="3"/>
        <v>13.41</v>
      </c>
      <c r="V22" s="97">
        <v>7.3</v>
      </c>
      <c r="W22" s="58">
        <v>1</v>
      </c>
      <c r="X22" s="59">
        <f t="shared" si="4"/>
        <v>5.1100000000000003</v>
      </c>
      <c r="Y22" s="86">
        <v>5</v>
      </c>
      <c r="Z22" s="86">
        <f t="shared" si="5"/>
        <v>11.000000000000032</v>
      </c>
      <c r="AA22" s="98"/>
      <c r="AB22" s="86" t="s">
        <v>1</v>
      </c>
      <c r="AC22" s="94">
        <v>14</v>
      </c>
      <c r="AD22" s="58"/>
      <c r="AE22" s="96"/>
      <c r="AF22" s="96"/>
      <c r="AG22" s="53"/>
      <c r="AH22" s="58">
        <f t="shared" ref="AH22:AH27" si="15">SUM(AE22-AD22)+(AG22-AF22)</f>
        <v>0</v>
      </c>
      <c r="AI22" s="97">
        <v>7.3</v>
      </c>
      <c r="AJ22" s="58">
        <v>1</v>
      </c>
      <c r="AK22" s="59">
        <f t="shared" ref="AK22:AK27" si="16">SUM((AH22-AI22)-AJ22)</f>
        <v>-8.3000000000000007</v>
      </c>
      <c r="AL22" s="86"/>
      <c r="AM22" s="86">
        <f t="shared" ref="AM22:AM27" si="17">SUM(AK22-AL22)*100</f>
        <v>-830.00000000000011</v>
      </c>
      <c r="AN22" s="98"/>
    </row>
    <row r="23" spans="1:41" ht="17.149999999999999" customHeight="1" x14ac:dyDescent="0.35">
      <c r="A23" s="86" t="s">
        <v>216</v>
      </c>
      <c r="B23" s="94">
        <v>15</v>
      </c>
      <c r="C23" s="58">
        <v>12</v>
      </c>
      <c r="D23" s="96"/>
      <c r="E23" s="96"/>
      <c r="F23" s="53">
        <v>22.79</v>
      </c>
      <c r="G23" s="58">
        <f t="shared" si="0"/>
        <v>10.79</v>
      </c>
      <c r="H23" s="97">
        <v>7.3</v>
      </c>
      <c r="I23" s="58">
        <v>1</v>
      </c>
      <c r="J23" s="59">
        <f t="shared" si="1"/>
        <v>2.4899999999999993</v>
      </c>
      <c r="K23" s="86">
        <v>2</v>
      </c>
      <c r="L23" s="86">
        <f t="shared" si="2"/>
        <v>48.999999999999929</v>
      </c>
      <c r="M23" s="103"/>
      <c r="O23" s="86" t="s">
        <v>216</v>
      </c>
      <c r="P23" s="94">
        <v>15</v>
      </c>
      <c r="Q23" s="58">
        <v>12.2</v>
      </c>
      <c r="R23" s="96"/>
      <c r="S23" s="96"/>
      <c r="T23" s="53">
        <v>22.79</v>
      </c>
      <c r="U23" s="58">
        <f t="shared" si="3"/>
        <v>10.59</v>
      </c>
      <c r="V23" s="97">
        <v>7.3</v>
      </c>
      <c r="W23" s="58">
        <v>1</v>
      </c>
      <c r="X23" s="59">
        <f t="shared" si="4"/>
        <v>2.29</v>
      </c>
      <c r="Y23" s="86">
        <v>2</v>
      </c>
      <c r="Z23" s="86">
        <f t="shared" si="5"/>
        <v>29.000000000000004</v>
      </c>
      <c r="AA23" s="103"/>
      <c r="AB23" s="86" t="s">
        <v>216</v>
      </c>
      <c r="AC23" s="94">
        <v>15</v>
      </c>
      <c r="AD23" s="58"/>
      <c r="AE23" s="96"/>
      <c r="AF23" s="96"/>
      <c r="AG23" s="53"/>
      <c r="AH23" s="58">
        <f t="shared" si="15"/>
        <v>0</v>
      </c>
      <c r="AI23" s="97">
        <v>7.3</v>
      </c>
      <c r="AJ23" s="58">
        <v>1</v>
      </c>
      <c r="AK23" s="59">
        <f t="shared" si="16"/>
        <v>-8.3000000000000007</v>
      </c>
      <c r="AL23" s="86"/>
      <c r="AM23" s="86">
        <f t="shared" si="17"/>
        <v>-830.00000000000011</v>
      </c>
      <c r="AN23" s="103"/>
    </row>
    <row r="24" spans="1:41" ht="17.149999999999999" customHeight="1" x14ac:dyDescent="0.35">
      <c r="A24" s="86" t="s">
        <v>2</v>
      </c>
      <c r="B24" s="94">
        <v>16</v>
      </c>
      <c r="C24" s="58">
        <v>12</v>
      </c>
      <c r="D24" s="96"/>
      <c r="E24" s="96"/>
      <c r="F24" s="53">
        <v>25.61</v>
      </c>
      <c r="G24" s="58">
        <f t="shared" si="0"/>
        <v>13.61</v>
      </c>
      <c r="H24" s="97">
        <v>7.3</v>
      </c>
      <c r="I24" s="58">
        <v>1</v>
      </c>
      <c r="J24" s="59">
        <f t="shared" si="1"/>
        <v>5.31</v>
      </c>
      <c r="K24" s="86">
        <v>5</v>
      </c>
      <c r="L24" s="86">
        <f t="shared" si="2"/>
        <v>30.999999999999961</v>
      </c>
      <c r="M24" s="98"/>
      <c r="O24" s="86" t="s">
        <v>2</v>
      </c>
      <c r="P24" s="94">
        <v>16</v>
      </c>
      <c r="Q24" s="58">
        <v>12.2</v>
      </c>
      <c r="R24" s="96"/>
      <c r="S24" s="96"/>
      <c r="T24" s="53">
        <v>25.61</v>
      </c>
      <c r="U24" s="58">
        <f t="shared" si="3"/>
        <v>13.41</v>
      </c>
      <c r="V24" s="97">
        <v>7.3</v>
      </c>
      <c r="W24" s="58">
        <v>1</v>
      </c>
      <c r="X24" s="59">
        <f t="shared" si="4"/>
        <v>5.1100000000000003</v>
      </c>
      <c r="Y24" s="86">
        <v>5</v>
      </c>
      <c r="Z24" s="86">
        <f t="shared" si="5"/>
        <v>11.000000000000032</v>
      </c>
      <c r="AA24" s="98"/>
      <c r="AB24" s="86" t="s">
        <v>2</v>
      </c>
      <c r="AC24" s="94">
        <v>16</v>
      </c>
      <c r="AD24" s="58"/>
      <c r="AE24" s="96"/>
      <c r="AF24" s="96"/>
      <c r="AG24" s="53"/>
      <c r="AH24" s="58">
        <f t="shared" si="15"/>
        <v>0</v>
      </c>
      <c r="AI24" s="97">
        <v>7.3</v>
      </c>
      <c r="AJ24" s="58">
        <v>1</v>
      </c>
      <c r="AK24" s="59">
        <f t="shared" si="16"/>
        <v>-8.3000000000000007</v>
      </c>
      <c r="AL24" s="86"/>
      <c r="AM24" s="86">
        <f t="shared" si="17"/>
        <v>-830.00000000000011</v>
      </c>
      <c r="AN24" s="98"/>
    </row>
    <row r="25" spans="1:41" s="54" customFormat="1" ht="17.149999999999999" customHeight="1" x14ac:dyDescent="0.35">
      <c r="A25" s="86" t="s">
        <v>225</v>
      </c>
      <c r="B25" s="94">
        <v>17</v>
      </c>
      <c r="C25" s="58">
        <v>12</v>
      </c>
      <c r="D25" s="96"/>
      <c r="E25" s="96"/>
      <c r="F25" s="53">
        <v>24.95</v>
      </c>
      <c r="G25" s="58">
        <f t="shared" si="0"/>
        <v>12.95</v>
      </c>
      <c r="H25" s="97">
        <v>7.3</v>
      </c>
      <c r="I25" s="58">
        <v>1.4</v>
      </c>
      <c r="J25" s="59">
        <f t="shared" si="1"/>
        <v>4.25</v>
      </c>
      <c r="K25" s="86">
        <v>4</v>
      </c>
      <c r="L25" s="86">
        <f t="shared" si="2"/>
        <v>25</v>
      </c>
      <c r="M25" s="86"/>
      <c r="N25"/>
      <c r="O25" s="86" t="s">
        <v>225</v>
      </c>
      <c r="P25" s="94">
        <v>17</v>
      </c>
      <c r="Q25" s="58">
        <v>12.2</v>
      </c>
      <c r="R25" s="96"/>
      <c r="S25" s="96"/>
      <c r="T25" s="53">
        <v>24.95</v>
      </c>
      <c r="U25" s="58">
        <f t="shared" si="3"/>
        <v>12.75</v>
      </c>
      <c r="V25" s="97">
        <v>7.3</v>
      </c>
      <c r="W25" s="58">
        <v>1.4</v>
      </c>
      <c r="X25" s="59">
        <f t="shared" si="4"/>
        <v>4.0500000000000007</v>
      </c>
      <c r="Y25" s="86">
        <v>4</v>
      </c>
      <c r="Z25" s="86">
        <f t="shared" si="5"/>
        <v>5.0000000000000711</v>
      </c>
      <c r="AA25" s="86"/>
      <c r="AB25" s="86" t="s">
        <v>225</v>
      </c>
      <c r="AC25" s="94">
        <v>17</v>
      </c>
      <c r="AD25" s="58"/>
      <c r="AE25" s="96"/>
      <c r="AF25" s="96"/>
      <c r="AG25" s="53"/>
      <c r="AH25" s="58">
        <f t="shared" si="15"/>
        <v>0</v>
      </c>
      <c r="AI25" s="97">
        <v>7.3</v>
      </c>
      <c r="AJ25" s="58">
        <v>1</v>
      </c>
      <c r="AK25" s="59">
        <f t="shared" si="16"/>
        <v>-8.3000000000000007</v>
      </c>
      <c r="AL25" s="86"/>
      <c r="AM25" s="86">
        <f t="shared" si="17"/>
        <v>-830.00000000000011</v>
      </c>
      <c r="AN25" s="86"/>
      <c r="AO25"/>
    </row>
    <row r="26" spans="1:41" ht="17.149999999999999" customHeight="1" x14ac:dyDescent="0.35">
      <c r="A26" s="86" t="s">
        <v>4</v>
      </c>
      <c r="B26" s="94">
        <v>18</v>
      </c>
      <c r="C26" s="58">
        <v>12</v>
      </c>
      <c r="D26" s="96"/>
      <c r="E26" s="96"/>
      <c r="F26" s="53">
        <v>24.98</v>
      </c>
      <c r="G26" s="58">
        <f t="shared" si="0"/>
        <v>12.98</v>
      </c>
      <c r="H26" s="97">
        <v>7.3</v>
      </c>
      <c r="I26" s="58">
        <v>1.4</v>
      </c>
      <c r="J26" s="59">
        <f t="shared" si="1"/>
        <v>4.2800000000000011</v>
      </c>
      <c r="K26" s="86">
        <v>4</v>
      </c>
      <c r="L26" s="86">
        <f t="shared" si="2"/>
        <v>28.000000000000114</v>
      </c>
      <c r="M26" s="98"/>
      <c r="O26" s="86" t="s">
        <v>4</v>
      </c>
      <c r="P26" s="94">
        <v>18</v>
      </c>
      <c r="Q26" s="58">
        <v>12</v>
      </c>
      <c r="R26" s="96"/>
      <c r="S26" s="96"/>
      <c r="T26" s="53">
        <v>24.98</v>
      </c>
      <c r="U26" s="58">
        <f t="shared" si="3"/>
        <v>12.98</v>
      </c>
      <c r="V26" s="97">
        <v>7.3</v>
      </c>
      <c r="W26" s="58">
        <v>1.4</v>
      </c>
      <c r="X26" s="59">
        <f t="shared" si="4"/>
        <v>4.2800000000000011</v>
      </c>
      <c r="Y26" s="86">
        <v>4</v>
      </c>
      <c r="Z26" s="86">
        <f t="shared" si="5"/>
        <v>28.000000000000114</v>
      </c>
      <c r="AA26" s="98"/>
      <c r="AB26" s="86" t="s">
        <v>4</v>
      </c>
      <c r="AC26" s="94">
        <v>18</v>
      </c>
      <c r="AD26" s="58"/>
      <c r="AE26" s="96"/>
      <c r="AF26" s="96"/>
      <c r="AG26" s="53"/>
      <c r="AH26" s="58">
        <f t="shared" si="15"/>
        <v>0</v>
      </c>
      <c r="AI26" s="97">
        <v>7.3</v>
      </c>
      <c r="AJ26" s="58">
        <v>1</v>
      </c>
      <c r="AK26" s="59">
        <f t="shared" si="16"/>
        <v>-8.3000000000000007</v>
      </c>
      <c r="AL26" s="86"/>
      <c r="AM26" s="86">
        <f t="shared" si="17"/>
        <v>-830.00000000000011</v>
      </c>
      <c r="AN26" s="98"/>
    </row>
    <row r="27" spans="1:41" ht="17.149999999999999" customHeight="1" x14ac:dyDescent="0.35">
      <c r="A27" s="86" t="s">
        <v>5</v>
      </c>
      <c r="B27" s="86">
        <v>19</v>
      </c>
      <c r="C27" s="58">
        <v>12</v>
      </c>
      <c r="D27" s="96"/>
      <c r="E27" s="96"/>
      <c r="F27" s="53">
        <v>25.62</v>
      </c>
      <c r="G27" s="58">
        <f t="shared" si="0"/>
        <v>13.620000000000001</v>
      </c>
      <c r="H27" s="97">
        <v>7.3</v>
      </c>
      <c r="I27" s="58">
        <v>1</v>
      </c>
      <c r="J27" s="59">
        <f t="shared" si="1"/>
        <v>5.3200000000000012</v>
      </c>
      <c r="K27" s="86">
        <v>5</v>
      </c>
      <c r="L27" s="86">
        <f t="shared" si="2"/>
        <v>32.000000000000114</v>
      </c>
      <c r="M27" s="98"/>
      <c r="O27" s="86" t="s">
        <v>5</v>
      </c>
      <c r="P27" s="86">
        <v>19</v>
      </c>
      <c r="Q27" s="58">
        <v>12</v>
      </c>
      <c r="R27" s="96"/>
      <c r="S27" s="96"/>
      <c r="T27" s="53">
        <v>25.62</v>
      </c>
      <c r="U27" s="58">
        <f t="shared" si="3"/>
        <v>13.620000000000001</v>
      </c>
      <c r="V27" s="97">
        <v>7.3</v>
      </c>
      <c r="W27" s="58">
        <v>1</v>
      </c>
      <c r="X27" s="59">
        <f t="shared" si="4"/>
        <v>5.3200000000000012</v>
      </c>
      <c r="Y27" s="86">
        <v>5</v>
      </c>
      <c r="Z27" s="86">
        <f t="shared" si="5"/>
        <v>32.000000000000114</v>
      </c>
      <c r="AA27" s="98"/>
      <c r="AB27" s="86" t="s">
        <v>5</v>
      </c>
      <c r="AC27" s="86">
        <v>19</v>
      </c>
      <c r="AD27" s="58"/>
      <c r="AE27" s="96"/>
      <c r="AF27" s="96"/>
      <c r="AG27" s="53"/>
      <c r="AH27" s="58">
        <f t="shared" si="15"/>
        <v>0</v>
      </c>
      <c r="AI27" s="97">
        <v>7.3</v>
      </c>
      <c r="AJ27" s="58">
        <v>1</v>
      </c>
      <c r="AK27" s="59">
        <f t="shared" si="16"/>
        <v>-8.3000000000000007</v>
      </c>
      <c r="AL27" s="86"/>
      <c r="AM27" s="86">
        <f t="shared" si="17"/>
        <v>-830.00000000000011</v>
      </c>
      <c r="AN27" s="98"/>
    </row>
    <row r="28" spans="1:41" ht="17.149999999999999" customHeight="1" x14ac:dyDescent="0.35">
      <c r="A28" s="55" t="s">
        <v>6</v>
      </c>
      <c r="B28" s="55">
        <v>20</v>
      </c>
      <c r="C28" s="52"/>
      <c r="D28" s="52"/>
      <c r="E28" s="52"/>
      <c r="F28" s="52"/>
      <c r="G28" s="52">
        <f t="shared" si="0"/>
        <v>0</v>
      </c>
      <c r="H28" s="56"/>
      <c r="I28" s="52"/>
      <c r="J28" s="57">
        <f t="shared" si="1"/>
        <v>0</v>
      </c>
      <c r="K28" s="55"/>
      <c r="L28" s="55">
        <f t="shared" si="2"/>
        <v>0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/>
      <c r="Z28" s="55">
        <f t="shared" si="5"/>
        <v>0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/>
      <c r="AI28" s="56"/>
      <c r="AJ28" s="52"/>
      <c r="AK28" s="57"/>
      <c r="AL28" s="55"/>
      <c r="AM28" s="55"/>
      <c r="AN28" s="95"/>
    </row>
    <row r="29" spans="1:41" ht="17.149999999999999" customHeight="1" x14ac:dyDescent="0.35">
      <c r="A29" s="86" t="s">
        <v>1</v>
      </c>
      <c r="B29" s="86">
        <v>21</v>
      </c>
      <c r="C29" s="58">
        <v>12</v>
      </c>
      <c r="D29" s="96"/>
      <c r="E29" s="96"/>
      <c r="F29" s="53">
        <v>26.61</v>
      </c>
      <c r="G29" s="58">
        <f t="shared" si="0"/>
        <v>14.61</v>
      </c>
      <c r="H29" s="97">
        <v>7.3</v>
      </c>
      <c r="I29" s="58">
        <v>1</v>
      </c>
      <c r="J29" s="59">
        <f t="shared" si="1"/>
        <v>6.31</v>
      </c>
      <c r="K29" s="86">
        <v>6</v>
      </c>
      <c r="L29" s="86">
        <f t="shared" si="2"/>
        <v>30.999999999999961</v>
      </c>
      <c r="M29" s="98"/>
      <c r="O29" s="86" t="s">
        <v>1</v>
      </c>
      <c r="P29" s="86">
        <v>21</v>
      </c>
      <c r="Q29" s="58">
        <v>12</v>
      </c>
      <c r="R29" s="96"/>
      <c r="S29" s="96"/>
      <c r="T29" s="53">
        <v>26.61</v>
      </c>
      <c r="U29" s="58">
        <f t="shared" si="3"/>
        <v>14.61</v>
      </c>
      <c r="V29" s="97">
        <v>7.3</v>
      </c>
      <c r="W29" s="58">
        <v>1</v>
      </c>
      <c r="X29" s="59">
        <f t="shared" si="4"/>
        <v>6.31</v>
      </c>
      <c r="Y29" s="86">
        <v>6</v>
      </c>
      <c r="Z29" s="86">
        <f t="shared" si="5"/>
        <v>30.999999999999961</v>
      </c>
      <c r="AA29" s="98"/>
      <c r="AB29" s="86" t="s">
        <v>1</v>
      </c>
      <c r="AC29" s="86">
        <v>21</v>
      </c>
      <c r="AD29" s="58"/>
      <c r="AE29" s="96"/>
      <c r="AF29" s="96"/>
      <c r="AG29" s="53"/>
      <c r="AH29" s="58">
        <f t="shared" ref="AH29:AH34" si="18">SUM(AE29-AD29)+(AG29-AF29)</f>
        <v>0</v>
      </c>
      <c r="AI29" s="97">
        <v>7.3</v>
      </c>
      <c r="AJ29" s="58">
        <v>1</v>
      </c>
      <c r="AK29" s="59">
        <f t="shared" ref="AK29:AK34" si="19">SUM((AH29-AI29)-AJ29)</f>
        <v>-8.3000000000000007</v>
      </c>
      <c r="AL29" s="86"/>
      <c r="AM29" s="86">
        <f t="shared" ref="AM29:AM34" si="20">SUM(AK29-AL29)*100</f>
        <v>-830.00000000000011</v>
      </c>
      <c r="AN29" s="98"/>
    </row>
    <row r="30" spans="1:41" ht="17.149999999999999" customHeight="1" x14ac:dyDescent="0.35">
      <c r="A30" s="86" t="s">
        <v>216</v>
      </c>
      <c r="B30" s="86">
        <v>22</v>
      </c>
      <c r="C30" s="58">
        <v>12</v>
      </c>
      <c r="D30" s="96"/>
      <c r="E30" s="96"/>
      <c r="F30" s="53">
        <v>24.71</v>
      </c>
      <c r="G30" s="58">
        <f t="shared" si="0"/>
        <v>12.71</v>
      </c>
      <c r="H30" s="97">
        <v>7.3</v>
      </c>
      <c r="I30" s="58">
        <v>1</v>
      </c>
      <c r="J30" s="59">
        <f t="shared" si="1"/>
        <v>4.410000000000001</v>
      </c>
      <c r="K30" s="86">
        <v>4</v>
      </c>
      <c r="L30" s="86">
        <f t="shared" si="2"/>
        <v>41.000000000000099</v>
      </c>
      <c r="M30" s="98"/>
      <c r="O30" s="86" t="s">
        <v>216</v>
      </c>
      <c r="P30" s="86">
        <v>22</v>
      </c>
      <c r="Q30" s="58">
        <v>12</v>
      </c>
      <c r="R30" s="96"/>
      <c r="S30" s="96"/>
      <c r="T30" s="53">
        <v>24.71</v>
      </c>
      <c r="U30" s="58">
        <f t="shared" si="3"/>
        <v>12.71</v>
      </c>
      <c r="V30" s="97">
        <v>7.3</v>
      </c>
      <c r="W30" s="58">
        <v>1</v>
      </c>
      <c r="X30" s="59">
        <f t="shared" si="4"/>
        <v>4.410000000000001</v>
      </c>
      <c r="Y30" s="86">
        <v>4</v>
      </c>
      <c r="Z30" s="86">
        <f t="shared" si="5"/>
        <v>41.000000000000099</v>
      </c>
      <c r="AA30" s="98"/>
      <c r="AB30" s="86" t="s">
        <v>216</v>
      </c>
      <c r="AC30" s="86">
        <v>22</v>
      </c>
      <c r="AD30" s="58"/>
      <c r="AE30" s="96"/>
      <c r="AF30" s="96"/>
      <c r="AG30" s="53"/>
      <c r="AH30" s="58">
        <f t="shared" si="18"/>
        <v>0</v>
      </c>
      <c r="AI30" s="97">
        <v>7.3</v>
      </c>
      <c r="AJ30" s="58">
        <v>1</v>
      </c>
      <c r="AK30" s="59">
        <f t="shared" si="19"/>
        <v>-8.3000000000000007</v>
      </c>
      <c r="AL30" s="86"/>
      <c r="AM30" s="86">
        <f t="shared" si="20"/>
        <v>-830.00000000000011</v>
      </c>
      <c r="AN30" s="98"/>
    </row>
    <row r="31" spans="1:41" ht="17.149999999999999" customHeight="1" x14ac:dyDescent="0.35">
      <c r="A31" s="86" t="s">
        <v>2</v>
      </c>
      <c r="B31" s="86">
        <v>23</v>
      </c>
      <c r="C31" s="58">
        <v>12</v>
      </c>
      <c r="D31" s="96"/>
      <c r="E31" s="96"/>
      <c r="F31" s="53">
        <v>25.91</v>
      </c>
      <c r="G31" s="58">
        <f t="shared" si="0"/>
        <v>13.91</v>
      </c>
      <c r="H31" s="97">
        <v>7.3</v>
      </c>
      <c r="I31" s="58">
        <v>1.4</v>
      </c>
      <c r="J31" s="59">
        <f t="shared" si="1"/>
        <v>5.2100000000000009</v>
      </c>
      <c r="K31" s="86">
        <v>5</v>
      </c>
      <c r="L31" s="86">
        <f t="shared" si="2"/>
        <v>21.000000000000085</v>
      </c>
      <c r="M31" s="98"/>
      <c r="O31" s="86" t="s">
        <v>2</v>
      </c>
      <c r="P31" s="86">
        <v>23</v>
      </c>
      <c r="Q31" s="58">
        <v>12</v>
      </c>
      <c r="R31" s="96"/>
      <c r="S31" s="96"/>
      <c r="T31" s="53">
        <v>25.91</v>
      </c>
      <c r="U31" s="58">
        <f t="shared" si="3"/>
        <v>13.91</v>
      </c>
      <c r="V31" s="97">
        <v>7.3</v>
      </c>
      <c r="W31" s="58">
        <v>1.4</v>
      </c>
      <c r="X31" s="59">
        <f t="shared" si="4"/>
        <v>5.2100000000000009</v>
      </c>
      <c r="Y31" s="86">
        <v>5</v>
      </c>
      <c r="Z31" s="86">
        <f t="shared" si="5"/>
        <v>21.000000000000085</v>
      </c>
      <c r="AA31" s="98"/>
      <c r="AB31" s="86" t="s">
        <v>2</v>
      </c>
      <c r="AC31" s="86">
        <v>23</v>
      </c>
      <c r="AD31" s="58"/>
      <c r="AE31" s="96"/>
      <c r="AF31" s="96"/>
      <c r="AG31" s="53"/>
      <c r="AH31" s="58">
        <f t="shared" si="18"/>
        <v>0</v>
      </c>
      <c r="AI31" s="97">
        <v>7.3</v>
      </c>
      <c r="AJ31" s="58">
        <v>1</v>
      </c>
      <c r="AK31" s="59">
        <f t="shared" si="19"/>
        <v>-8.3000000000000007</v>
      </c>
      <c r="AL31" s="86"/>
      <c r="AM31" s="86">
        <f t="shared" si="20"/>
        <v>-830.00000000000011</v>
      </c>
      <c r="AN31" s="98"/>
    </row>
    <row r="32" spans="1:41" s="54" customFormat="1" ht="17.149999999999999" customHeight="1" x14ac:dyDescent="0.35">
      <c r="A32" s="86" t="s">
        <v>225</v>
      </c>
      <c r="B32" s="86">
        <v>24</v>
      </c>
      <c r="C32" s="58">
        <v>12</v>
      </c>
      <c r="D32" s="96"/>
      <c r="E32" s="96"/>
      <c r="F32" s="53">
        <v>25.43</v>
      </c>
      <c r="G32" s="58">
        <f t="shared" si="0"/>
        <v>13.43</v>
      </c>
      <c r="H32" s="97">
        <v>7.3</v>
      </c>
      <c r="I32" s="58">
        <v>1</v>
      </c>
      <c r="J32" s="59">
        <f t="shared" si="1"/>
        <v>5.13</v>
      </c>
      <c r="K32" s="86">
        <v>5</v>
      </c>
      <c r="L32" s="86">
        <f t="shared" si="2"/>
        <v>12.999999999999989</v>
      </c>
      <c r="M32" s="98"/>
      <c r="N32"/>
      <c r="O32" s="86" t="s">
        <v>225</v>
      </c>
      <c r="P32" s="86">
        <v>24</v>
      </c>
      <c r="Q32" s="58">
        <v>12</v>
      </c>
      <c r="R32" s="96"/>
      <c r="S32" s="96"/>
      <c r="T32" s="53">
        <v>25.43</v>
      </c>
      <c r="U32" s="58">
        <f t="shared" si="3"/>
        <v>13.43</v>
      </c>
      <c r="V32" s="97">
        <v>7.3</v>
      </c>
      <c r="W32" s="58">
        <v>1</v>
      </c>
      <c r="X32" s="59">
        <f t="shared" si="4"/>
        <v>5.13</v>
      </c>
      <c r="Y32" s="86">
        <v>5</v>
      </c>
      <c r="Z32" s="86">
        <f t="shared" si="5"/>
        <v>12.999999999999989</v>
      </c>
      <c r="AA32" s="98"/>
      <c r="AB32" s="86" t="s">
        <v>225</v>
      </c>
      <c r="AC32" s="86">
        <v>24</v>
      </c>
      <c r="AD32" s="58"/>
      <c r="AE32" s="96"/>
      <c r="AF32" s="96"/>
      <c r="AG32" s="53"/>
      <c r="AH32" s="58">
        <f t="shared" si="18"/>
        <v>0</v>
      </c>
      <c r="AI32" s="97">
        <v>7.3</v>
      </c>
      <c r="AJ32" s="58">
        <v>1</v>
      </c>
      <c r="AK32" s="59">
        <f t="shared" si="19"/>
        <v>-8.3000000000000007</v>
      </c>
      <c r="AL32" s="86"/>
      <c r="AM32" s="86">
        <f t="shared" si="20"/>
        <v>-830.00000000000011</v>
      </c>
      <c r="AN32" s="98"/>
      <c r="AO32"/>
    </row>
    <row r="33" spans="1:41" ht="17.149999999999999" customHeight="1" x14ac:dyDescent="0.35">
      <c r="A33" s="86" t="s">
        <v>4</v>
      </c>
      <c r="B33" s="86">
        <v>25</v>
      </c>
      <c r="C33" s="58">
        <v>12</v>
      </c>
      <c r="D33" s="96"/>
      <c r="E33" s="96"/>
      <c r="F33" s="53">
        <v>25.62</v>
      </c>
      <c r="G33" s="58">
        <f t="shared" si="0"/>
        <v>13.620000000000001</v>
      </c>
      <c r="H33" s="97">
        <v>7.3</v>
      </c>
      <c r="I33" s="58">
        <v>1</v>
      </c>
      <c r="J33" s="59">
        <f t="shared" si="1"/>
        <v>5.3200000000000012</v>
      </c>
      <c r="K33" s="86">
        <v>5</v>
      </c>
      <c r="L33" s="86">
        <f t="shared" si="2"/>
        <v>32.000000000000114</v>
      </c>
      <c r="M33" s="98"/>
      <c r="O33" s="86" t="s">
        <v>4</v>
      </c>
      <c r="P33" s="86">
        <v>25</v>
      </c>
      <c r="Q33" s="58">
        <v>12</v>
      </c>
      <c r="R33" s="96"/>
      <c r="S33" s="96"/>
      <c r="T33" s="53">
        <v>25.62</v>
      </c>
      <c r="U33" s="58">
        <f t="shared" si="3"/>
        <v>13.620000000000001</v>
      </c>
      <c r="V33" s="97">
        <v>7.3</v>
      </c>
      <c r="W33" s="58">
        <v>1</v>
      </c>
      <c r="X33" s="59">
        <f t="shared" si="4"/>
        <v>5.3200000000000012</v>
      </c>
      <c r="Y33" s="86">
        <v>5</v>
      </c>
      <c r="Z33" s="86">
        <f t="shared" si="5"/>
        <v>32.000000000000114</v>
      </c>
      <c r="AA33" s="98"/>
      <c r="AB33" s="86" t="s">
        <v>4</v>
      </c>
      <c r="AC33" s="86">
        <v>25</v>
      </c>
      <c r="AD33" s="58"/>
      <c r="AE33" s="96"/>
      <c r="AF33" s="96"/>
      <c r="AG33" s="53"/>
      <c r="AH33" s="58">
        <f t="shared" si="18"/>
        <v>0</v>
      </c>
      <c r="AI33" s="97">
        <v>7.3</v>
      </c>
      <c r="AJ33" s="58">
        <v>1</v>
      </c>
      <c r="AK33" s="59">
        <f t="shared" si="19"/>
        <v>-8.3000000000000007</v>
      </c>
      <c r="AL33" s="86"/>
      <c r="AM33" s="86">
        <f t="shared" si="20"/>
        <v>-830.00000000000011</v>
      </c>
      <c r="AN33" s="98"/>
    </row>
    <row r="34" spans="1:41" ht="17.149999999999999" customHeight="1" x14ac:dyDescent="0.35">
      <c r="A34" s="86" t="s">
        <v>5</v>
      </c>
      <c r="B34" s="86">
        <v>26</v>
      </c>
      <c r="C34" s="58">
        <v>12</v>
      </c>
      <c r="D34" s="96"/>
      <c r="E34" s="96"/>
      <c r="F34" s="53">
        <v>26.89</v>
      </c>
      <c r="G34" s="58">
        <f t="shared" si="0"/>
        <v>14.89</v>
      </c>
      <c r="H34" s="97">
        <v>7.3</v>
      </c>
      <c r="I34" s="58">
        <v>1.4</v>
      </c>
      <c r="J34" s="59">
        <f t="shared" si="1"/>
        <v>6.1900000000000013</v>
      </c>
      <c r="K34" s="86">
        <v>6</v>
      </c>
      <c r="L34" s="86">
        <f t="shared" si="2"/>
        <v>19.000000000000128</v>
      </c>
      <c r="M34" s="98"/>
      <c r="O34" s="86" t="s">
        <v>5</v>
      </c>
      <c r="P34" s="86">
        <v>26</v>
      </c>
      <c r="Q34" s="58">
        <v>12</v>
      </c>
      <c r="R34" s="96"/>
      <c r="S34" s="96"/>
      <c r="T34" s="53">
        <v>26.89</v>
      </c>
      <c r="U34" s="58">
        <f t="shared" si="3"/>
        <v>14.89</v>
      </c>
      <c r="V34" s="97">
        <v>7.3</v>
      </c>
      <c r="W34" s="58">
        <v>1.4</v>
      </c>
      <c r="X34" s="59">
        <f t="shared" si="4"/>
        <v>6.1900000000000013</v>
      </c>
      <c r="Y34" s="86">
        <v>6</v>
      </c>
      <c r="Z34" s="86">
        <f t="shared" si="5"/>
        <v>19.000000000000128</v>
      </c>
      <c r="AA34" s="98"/>
      <c r="AB34" s="86" t="s">
        <v>5</v>
      </c>
      <c r="AC34" s="86">
        <v>26</v>
      </c>
      <c r="AD34" s="58"/>
      <c r="AE34" s="96"/>
      <c r="AF34" s="96"/>
      <c r="AG34" s="53"/>
      <c r="AH34" s="58">
        <f t="shared" si="18"/>
        <v>0</v>
      </c>
      <c r="AI34" s="97">
        <v>7.3</v>
      </c>
      <c r="AJ34" s="58">
        <v>1</v>
      </c>
      <c r="AK34" s="59">
        <f t="shared" si="19"/>
        <v>-8.3000000000000007</v>
      </c>
      <c r="AL34" s="86"/>
      <c r="AM34" s="86">
        <f t="shared" si="20"/>
        <v>-830.00000000000011</v>
      </c>
      <c r="AN34" s="98"/>
    </row>
    <row r="35" spans="1:41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/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/>
      <c r="Z35" s="55">
        <f t="shared" si="5"/>
        <v>0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/>
      <c r="AI35" s="56"/>
      <c r="AJ35" s="52"/>
      <c r="AK35" s="57"/>
      <c r="AL35" s="55"/>
      <c r="AM35" s="55"/>
      <c r="AN35" s="95"/>
    </row>
    <row r="36" spans="1:41" ht="17.149999999999999" customHeight="1" x14ac:dyDescent="0.35">
      <c r="A36" s="86" t="s">
        <v>1</v>
      </c>
      <c r="B36" s="86">
        <v>28</v>
      </c>
      <c r="C36" s="58">
        <v>12</v>
      </c>
      <c r="D36" s="96"/>
      <c r="E36" s="96"/>
      <c r="F36" s="53">
        <v>24.58</v>
      </c>
      <c r="G36" s="58">
        <f t="shared" si="0"/>
        <v>12.579999999999998</v>
      </c>
      <c r="H36" s="97">
        <v>7.3</v>
      </c>
      <c r="I36" s="58">
        <v>1</v>
      </c>
      <c r="J36" s="59">
        <f t="shared" si="1"/>
        <v>4.2799999999999985</v>
      </c>
      <c r="K36" s="86">
        <v>4</v>
      </c>
      <c r="L36" s="86">
        <f t="shared" si="2"/>
        <v>27.999999999999847</v>
      </c>
      <c r="M36" s="98"/>
      <c r="O36" s="86" t="s">
        <v>1</v>
      </c>
      <c r="P36" s="86">
        <v>28</v>
      </c>
      <c r="Q36" s="58">
        <v>12</v>
      </c>
      <c r="R36" s="96"/>
      <c r="S36" s="96"/>
      <c r="T36" s="53">
        <v>24.58</v>
      </c>
      <c r="U36" s="58">
        <f t="shared" si="3"/>
        <v>12.579999999999998</v>
      </c>
      <c r="V36" s="97">
        <v>7.3</v>
      </c>
      <c r="W36" s="58">
        <v>1</v>
      </c>
      <c r="X36" s="59">
        <f t="shared" si="4"/>
        <v>4.2799999999999985</v>
      </c>
      <c r="Y36" s="86">
        <v>4</v>
      </c>
      <c r="Z36" s="86">
        <f t="shared" si="5"/>
        <v>27.999999999999847</v>
      </c>
      <c r="AA36" s="98"/>
      <c r="AB36" s="86" t="s">
        <v>1</v>
      </c>
      <c r="AC36" s="86">
        <v>28</v>
      </c>
      <c r="AD36" s="58"/>
      <c r="AE36" s="96"/>
      <c r="AF36" s="96"/>
      <c r="AG36" s="53"/>
      <c r="AH36" s="58">
        <f t="shared" ref="AH36:AH38" si="21">SUM(AE36-AD36)+(AG36-AF36)</f>
        <v>0</v>
      </c>
      <c r="AI36" s="97">
        <v>7.3</v>
      </c>
      <c r="AJ36" s="58">
        <v>1</v>
      </c>
      <c r="AK36" s="59">
        <f t="shared" ref="AK36:AK38" si="22">SUM((AH36-AI36)-AJ36)</f>
        <v>-8.3000000000000007</v>
      </c>
      <c r="AL36" s="86"/>
      <c r="AM36" s="86">
        <f t="shared" ref="AM36:AM38" si="23">SUM(AK36-AL36)*100</f>
        <v>-830.00000000000011</v>
      </c>
      <c r="AN36" s="98"/>
    </row>
    <row r="37" spans="1:41" ht="17.149999999999999" customHeight="1" x14ac:dyDescent="0.35">
      <c r="A37" s="86" t="s">
        <v>216</v>
      </c>
      <c r="B37" s="86">
        <v>29</v>
      </c>
      <c r="C37" s="58">
        <v>12</v>
      </c>
      <c r="D37" s="96"/>
      <c r="E37" s="96"/>
      <c r="F37" s="53">
        <v>24.58</v>
      </c>
      <c r="G37" s="58">
        <f t="shared" si="0"/>
        <v>12.579999999999998</v>
      </c>
      <c r="H37" s="97">
        <v>7.3</v>
      </c>
      <c r="I37" s="58">
        <v>1</v>
      </c>
      <c r="J37" s="59">
        <f t="shared" si="1"/>
        <v>4.2799999999999985</v>
      </c>
      <c r="K37" s="86">
        <v>4</v>
      </c>
      <c r="L37" s="86">
        <f t="shared" si="2"/>
        <v>27.999999999999847</v>
      </c>
      <c r="M37" s="98"/>
      <c r="O37" s="86" t="s">
        <v>216</v>
      </c>
      <c r="P37" s="86">
        <v>29</v>
      </c>
      <c r="Q37" s="58">
        <v>12</v>
      </c>
      <c r="R37" s="96"/>
      <c r="S37" s="96"/>
      <c r="T37" s="53">
        <v>24.58</v>
      </c>
      <c r="U37" s="58">
        <f t="shared" si="3"/>
        <v>12.579999999999998</v>
      </c>
      <c r="V37" s="97">
        <v>7.3</v>
      </c>
      <c r="W37" s="58">
        <v>1</v>
      </c>
      <c r="X37" s="59">
        <f t="shared" si="4"/>
        <v>4.2799999999999985</v>
      </c>
      <c r="Y37" s="86">
        <v>4</v>
      </c>
      <c r="Z37" s="86">
        <f t="shared" si="5"/>
        <v>27.999999999999847</v>
      </c>
      <c r="AA37" s="98"/>
      <c r="AB37" s="86" t="s">
        <v>216</v>
      </c>
      <c r="AC37" s="86">
        <v>29</v>
      </c>
      <c r="AD37" s="58"/>
      <c r="AE37" s="96"/>
      <c r="AF37" s="96"/>
      <c r="AG37" s="53"/>
      <c r="AH37" s="58">
        <f t="shared" si="21"/>
        <v>0</v>
      </c>
      <c r="AI37" s="97">
        <v>7.3</v>
      </c>
      <c r="AJ37" s="58">
        <v>1</v>
      </c>
      <c r="AK37" s="59">
        <f t="shared" si="22"/>
        <v>-8.3000000000000007</v>
      </c>
      <c r="AL37" s="86"/>
      <c r="AM37" s="86">
        <f t="shared" si="23"/>
        <v>-830.00000000000011</v>
      </c>
      <c r="AN37" s="98"/>
    </row>
    <row r="38" spans="1:41" ht="17.149999999999999" customHeight="1" x14ac:dyDescent="0.35">
      <c r="A38" s="86" t="s">
        <v>2</v>
      </c>
      <c r="B38" s="86">
        <v>30</v>
      </c>
      <c r="C38" s="58">
        <v>12</v>
      </c>
      <c r="D38" s="96"/>
      <c r="E38" s="96"/>
      <c r="F38" s="53">
        <v>26.57</v>
      </c>
      <c r="G38" s="58">
        <f t="shared" si="0"/>
        <v>14.57</v>
      </c>
      <c r="H38" s="97">
        <v>7.3</v>
      </c>
      <c r="I38" s="58">
        <v>1</v>
      </c>
      <c r="J38" s="59">
        <f t="shared" si="1"/>
        <v>6.2700000000000005</v>
      </c>
      <c r="K38" s="86">
        <v>6</v>
      </c>
      <c r="L38" s="86">
        <f t="shared" si="2"/>
        <v>27.000000000000046</v>
      </c>
      <c r="M38" s="98"/>
      <c r="O38" s="86" t="s">
        <v>2</v>
      </c>
      <c r="P38" s="86">
        <v>30</v>
      </c>
      <c r="Q38" s="58">
        <v>12</v>
      </c>
      <c r="R38" s="96"/>
      <c r="S38" s="96"/>
      <c r="T38" s="53">
        <v>26.57</v>
      </c>
      <c r="U38" s="58">
        <f t="shared" si="3"/>
        <v>14.57</v>
      </c>
      <c r="V38" s="97">
        <v>7.3</v>
      </c>
      <c r="W38" s="58">
        <v>1</v>
      </c>
      <c r="X38" s="59">
        <f t="shared" si="4"/>
        <v>6.2700000000000005</v>
      </c>
      <c r="Y38" s="86">
        <v>6</v>
      </c>
      <c r="Z38" s="86">
        <f t="shared" si="5"/>
        <v>27.000000000000046</v>
      </c>
      <c r="AA38" s="98"/>
      <c r="AB38" s="86" t="s">
        <v>2</v>
      </c>
      <c r="AC38" s="86">
        <v>30</v>
      </c>
      <c r="AD38" s="58"/>
      <c r="AE38" s="96"/>
      <c r="AF38" s="96"/>
      <c r="AG38" s="53"/>
      <c r="AH38" s="58">
        <f t="shared" si="21"/>
        <v>0</v>
      </c>
      <c r="AI38" s="97">
        <v>7.3</v>
      </c>
      <c r="AJ38" s="58">
        <v>1</v>
      </c>
      <c r="AK38" s="59">
        <f t="shared" si="22"/>
        <v>-8.3000000000000007</v>
      </c>
      <c r="AL38" s="86"/>
      <c r="AM38" s="86">
        <f t="shared" si="23"/>
        <v>-830.00000000000011</v>
      </c>
      <c r="AN38" s="98"/>
    </row>
    <row r="39" spans="1:41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</row>
    <row r="40" spans="1:41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24">SUM(D40-C40)+(F40-E40)</f>
        <v>-4.3499999999999996</v>
      </c>
      <c r="H40" s="63"/>
      <c r="I40" s="53"/>
      <c r="J40" s="59"/>
      <c r="K40" s="62"/>
      <c r="L40" s="60">
        <f t="shared" ref="L40" si="25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26">SUM(R40-Q40)+(T40-S40)</f>
        <v>-4.3499999999999996</v>
      </c>
      <c r="V40" s="63"/>
      <c r="W40" s="53"/>
      <c r="X40" s="59"/>
      <c r="Y40" s="62"/>
      <c r="Z40" s="60">
        <f t="shared" ref="Z40" si="27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28">SUM(AE40-AD40)+(AG40-AF40)</f>
        <v>-4.3499999999999996</v>
      </c>
      <c r="AI40" s="63"/>
      <c r="AJ40" s="53"/>
      <c r="AK40" s="59"/>
      <c r="AL40" s="62"/>
      <c r="AM40" s="60">
        <f t="shared" ref="AM40" si="29">SUM(AK40-AL40)*100</f>
        <v>0</v>
      </c>
      <c r="AN40" s="61"/>
    </row>
    <row r="41" spans="1:41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</row>
    <row r="42" spans="1:41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</row>
    <row r="43" spans="1:41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</row>
    <row r="44" spans="1:41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</row>
    <row r="45" spans="1:41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</row>
    <row r="46" spans="1:41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</row>
    <row r="47" spans="1:41" s="4" customFormat="1" ht="18.5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137.06666666666669</v>
      </c>
      <c r="F47" s="157"/>
      <c r="G47" s="150">
        <f>SUM(F51)</f>
        <v>0</v>
      </c>
      <c r="H47" s="151"/>
      <c r="I47" s="85"/>
      <c r="J47" s="152">
        <f>COUNT(E9)</f>
        <v>1</v>
      </c>
      <c r="K47" s="153"/>
      <c r="L47" s="152">
        <f>J51</f>
        <v>0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135.73333333333335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0</v>
      </c>
      <c r="AA47" s="153"/>
      <c r="AB47" s="162"/>
      <c r="AC47" s="163"/>
      <c r="AD47" s="154">
        <f>COUNT(AI11:AI16,AI18:AI23,AI25:AI30,AI32:AI37,AI39)</f>
        <v>20</v>
      </c>
      <c r="AE47" s="155"/>
      <c r="AF47" s="156">
        <f>SUM(AB51-AF51)</f>
        <v>-364.66666666666674</v>
      </c>
      <c r="AG47" s="157"/>
      <c r="AH47" s="150">
        <f>SUM(AG51)</f>
        <v>0</v>
      </c>
      <c r="AI47" s="151"/>
      <c r="AJ47" s="85"/>
      <c r="AK47" s="152">
        <f>COUNT(AF44)</f>
        <v>0</v>
      </c>
      <c r="AL47" s="153"/>
      <c r="AM47" s="152">
        <f>AK51</f>
        <v>0</v>
      </c>
      <c r="AN47" s="153"/>
    </row>
    <row r="48" spans="1:41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</row>
    <row r="49" spans="1:40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</row>
    <row r="50" spans="1:40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</row>
    <row r="51" spans="1:40" s="2" customFormat="1" ht="29" thickBot="1" x14ac:dyDescent="0.4">
      <c r="A51" s="144">
        <f>SUM(C51+D51/60)</f>
        <v>140.81666666666669</v>
      </c>
      <c r="B51" s="145"/>
      <c r="C51" s="30">
        <f>SUM(K10:K13,K15:K20,K22:K27,K29:K34,K36:K38)</f>
        <v>127</v>
      </c>
      <c r="D51" s="30">
        <f>SUM(L10:L13,L15:L20,L22:L27,L29:L34,L36:L38)</f>
        <v>829.00000000000091</v>
      </c>
      <c r="E51" s="104">
        <f>C47*0.15</f>
        <v>3.75</v>
      </c>
      <c r="F51" s="31">
        <f>SUM(G51+H51/60)</f>
        <v>0</v>
      </c>
      <c r="G51" s="32">
        <f>SUM(K14,K21,K28,K35)</f>
        <v>0</v>
      </c>
      <c r="H51" s="32">
        <f>SUM(L14,L21,L28,L35)</f>
        <v>0</v>
      </c>
      <c r="I51" s="143"/>
      <c r="J51" s="48">
        <f>(K51+L51/60)</f>
        <v>0</v>
      </c>
      <c r="K51" s="49">
        <f>SUM(K9)</f>
        <v>0</v>
      </c>
      <c r="L51" s="68">
        <f>SUM(L9)</f>
        <v>0</v>
      </c>
      <c r="M51" s="67"/>
      <c r="O51" s="144">
        <f>SUM(Q51+R51/60)</f>
        <v>139.48333333333335</v>
      </c>
      <c r="P51" s="145"/>
      <c r="Q51" s="30">
        <f>SUM(Y10:Y13,Y15:Y20,Y22:Y27,Y29:Y34,Y36:Y38)</f>
        <v>127</v>
      </c>
      <c r="R51" s="30">
        <f>SUM(Z10:Z13,Z15:Z20,Z22:Z27,Z29:Z34,Z36:Z38)</f>
        <v>749.00000000000114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0</v>
      </c>
      <c r="Y51" s="49">
        <f>SUM(Y9)</f>
        <v>0</v>
      </c>
      <c r="Z51" s="68">
        <f>SUM(Z9)</f>
        <v>0</v>
      </c>
      <c r="AA51" s="67"/>
      <c r="AB51" s="144">
        <f>SUM(AD51+AE51/60)</f>
        <v>-359.66666666666674</v>
      </c>
      <c r="AC51" s="145"/>
      <c r="AD51" s="30">
        <f>SUM(AL9:AL13,AL15:AL20,AL22:AL27,AL29:AL34,AL36:AL38)</f>
        <v>0</v>
      </c>
      <c r="AE51" s="30">
        <f>SUM(AM9:AM13,AM15:AM20,AM22:AM27,AM29:AM34,AM36:AM38)</f>
        <v>-21580.000000000004</v>
      </c>
      <c r="AF51" s="104">
        <f>AD47*0.25</f>
        <v>5</v>
      </c>
      <c r="AG51" s="31">
        <f>SUM(AH51+AI51/60)</f>
        <v>0</v>
      </c>
      <c r="AH51" s="32">
        <f>SUM(AL14,AL21,AL28,AL35)</f>
        <v>0</v>
      </c>
      <c r="AI51" s="32">
        <f>SUM(AM14,AM21,AM28,AM35)</f>
        <v>0</v>
      </c>
      <c r="AJ51" s="143"/>
      <c r="AK51" s="48">
        <f>(AL51+AM51/60)</f>
        <v>0</v>
      </c>
      <c r="AL51" s="49">
        <f>SUM(0)</f>
        <v>0</v>
      </c>
      <c r="AM51" s="68">
        <f>SUM(0)</f>
        <v>0</v>
      </c>
      <c r="AN51" s="67"/>
    </row>
    <row r="53" spans="1:40" x14ac:dyDescent="0.35">
      <c r="A53" t="s">
        <v>24</v>
      </c>
      <c r="C53" s="20" t="str">
        <f>+C2</f>
        <v>CHHOTELAL</v>
      </c>
      <c r="E53" s="101"/>
      <c r="F53" s="101"/>
      <c r="O53" t="s">
        <v>24</v>
      </c>
      <c r="Q53" s="20" t="str">
        <f>+Q2</f>
        <v>ISLAM MD NORUL</v>
      </c>
      <c r="S53" s="101"/>
      <c r="T53" s="101"/>
      <c r="AB53" t="s">
        <v>24</v>
      </c>
      <c r="AD53" s="20" t="str">
        <f>+AD2</f>
        <v>DIPESH</v>
      </c>
      <c r="AF53" s="101"/>
      <c r="AG53" s="101"/>
    </row>
    <row r="54" spans="1:40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20</v>
      </c>
      <c r="AE54" s="13" t="s">
        <v>30</v>
      </c>
      <c r="AF54">
        <v>65.38</v>
      </c>
      <c r="AG54" t="s">
        <v>30</v>
      </c>
      <c r="AH54">
        <f>SUM(AD54*AF54)</f>
        <v>1307.5999999999999</v>
      </c>
    </row>
    <row r="55" spans="1:40" x14ac:dyDescent="0.35">
      <c r="A55" t="s">
        <v>26</v>
      </c>
      <c r="C55" s="11">
        <f>+C6</f>
        <v>137.06666666666669</v>
      </c>
      <c r="D55" s="13" t="s">
        <v>30</v>
      </c>
      <c r="E55">
        <v>13.08</v>
      </c>
      <c r="F55" t="s">
        <v>30</v>
      </c>
      <c r="G55">
        <f>SUM(C55*E55)</f>
        <v>1792.8320000000003</v>
      </c>
      <c r="O55" t="s">
        <v>26</v>
      </c>
      <c r="Q55" s="11">
        <f>+Q6</f>
        <v>135.73333333333335</v>
      </c>
      <c r="R55" s="13" t="s">
        <v>30</v>
      </c>
      <c r="S55">
        <v>13.08</v>
      </c>
      <c r="T55" t="s">
        <v>30</v>
      </c>
      <c r="U55">
        <f>SUM(Q55*S55)</f>
        <v>1775.3920000000003</v>
      </c>
      <c r="AB55" t="s">
        <v>26</v>
      </c>
      <c r="AD55" s="11">
        <f>+AD6</f>
        <v>-364.66666666666674</v>
      </c>
      <c r="AE55" s="13" t="s">
        <v>30</v>
      </c>
      <c r="AF55">
        <v>13.08</v>
      </c>
      <c r="AG55" t="s">
        <v>30</v>
      </c>
      <c r="AH55">
        <f>SUM(AD55*AF55)</f>
        <v>-4769.8400000000011</v>
      </c>
    </row>
    <row r="56" spans="1:40" x14ac:dyDescent="0.35">
      <c r="A56" t="s">
        <v>27</v>
      </c>
      <c r="C56" s="10">
        <f>+G5</f>
        <v>0</v>
      </c>
      <c r="D56" s="13" t="s">
        <v>30</v>
      </c>
      <c r="E56">
        <v>17.43</v>
      </c>
      <c r="F56" t="s">
        <v>30</v>
      </c>
      <c r="G56">
        <f>SUM(C56*E56)</f>
        <v>0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B56" t="s">
        <v>27</v>
      </c>
      <c r="AD56" s="10">
        <f>+AH5</f>
        <v>0</v>
      </c>
      <c r="AE56" s="13" t="s">
        <v>30</v>
      </c>
      <c r="AF56">
        <v>17.43</v>
      </c>
      <c r="AG56" t="s">
        <v>30</v>
      </c>
      <c r="AH56">
        <f>SUM(AD56*AF56)</f>
        <v>0</v>
      </c>
    </row>
    <row r="57" spans="1:40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0</v>
      </c>
      <c r="AE57" s="13" t="s">
        <v>30</v>
      </c>
      <c r="AF57">
        <v>65.38</v>
      </c>
      <c r="AG57" t="s">
        <v>30</v>
      </c>
      <c r="AH57">
        <f>SUM(AD57*AF57)</f>
        <v>0</v>
      </c>
    </row>
    <row r="58" spans="1:40" x14ac:dyDescent="0.35">
      <c r="A58" t="s">
        <v>29</v>
      </c>
      <c r="C58" s="10">
        <f>+L6</f>
        <v>0</v>
      </c>
      <c r="D58" s="13" t="s">
        <v>30</v>
      </c>
      <c r="E58">
        <v>17.43</v>
      </c>
      <c r="F58" t="s">
        <v>30</v>
      </c>
      <c r="G58">
        <f>SUM(C58*E58)</f>
        <v>0</v>
      </c>
      <c r="O58" t="s">
        <v>29</v>
      </c>
      <c r="Q58" s="10">
        <f>+Z6</f>
        <v>0</v>
      </c>
      <c r="R58" s="13" t="s">
        <v>30</v>
      </c>
      <c r="S58">
        <v>17.43</v>
      </c>
      <c r="T58" t="s">
        <v>30</v>
      </c>
      <c r="U58">
        <f>SUM(Q58*S58)</f>
        <v>0</v>
      </c>
      <c r="AB58" t="s">
        <v>29</v>
      </c>
      <c r="AD58" s="10">
        <f>+AM6</f>
        <v>0</v>
      </c>
      <c r="AE58" s="13" t="s">
        <v>30</v>
      </c>
      <c r="AF58">
        <v>17.43</v>
      </c>
      <c r="AG58" t="s">
        <v>30</v>
      </c>
      <c r="AH58">
        <f>SUM(AD58*AF58)</f>
        <v>0</v>
      </c>
    </row>
    <row r="59" spans="1:40" x14ac:dyDescent="0.35">
      <c r="D59" s="13"/>
      <c r="E59" s="14"/>
      <c r="F59" s="14" t="s">
        <v>30</v>
      </c>
      <c r="G59" s="14">
        <f>SUM(G54:G58)</f>
        <v>3492.7120000000004</v>
      </c>
      <c r="R59" s="13"/>
      <c r="S59" s="14"/>
      <c r="T59" s="14" t="s">
        <v>30</v>
      </c>
      <c r="U59" s="14">
        <f>SUM(U54:U58)</f>
        <v>3475.2720000000004</v>
      </c>
      <c r="AE59" s="13"/>
      <c r="AF59" s="14"/>
      <c r="AG59" s="14" t="s">
        <v>30</v>
      </c>
      <c r="AH59" s="14">
        <f>SUM(AH54:AH58)</f>
        <v>-3462.2400000000011</v>
      </c>
    </row>
    <row r="60" spans="1:40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</row>
    <row r="62" spans="1:40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I62" s="16"/>
      <c r="AJ62" s="16"/>
      <c r="AK62" s="17"/>
      <c r="AN62" s="18"/>
    </row>
    <row r="63" spans="1:40" ht="15" thickBot="1" x14ac:dyDescent="0.4">
      <c r="E63" t="s">
        <v>33</v>
      </c>
      <c r="F63" s="19" t="s">
        <v>30</v>
      </c>
      <c r="G63" s="19">
        <f>SUM(G59+G60+G61-G62)</f>
        <v>3142.7120000000004</v>
      </c>
      <c r="S63" t="s">
        <v>33</v>
      </c>
      <c r="T63" s="19" t="s">
        <v>30</v>
      </c>
      <c r="U63" s="19">
        <f>SUM(U59+U60+U61-U62)</f>
        <v>3125.2720000000004</v>
      </c>
      <c r="AF63" t="s">
        <v>33</v>
      </c>
      <c r="AG63" s="19" t="s">
        <v>30</v>
      </c>
      <c r="AH63" s="19">
        <f>SUM(AH59+AH60+AH61-AH62)</f>
        <v>-3262.2400000000011</v>
      </c>
    </row>
    <row r="64" spans="1:40" ht="15" thickTop="1" x14ac:dyDescent="0.35"/>
  </sheetData>
  <mergeCells count="49">
    <mergeCell ref="A1:M1"/>
    <mergeCell ref="O1:AA1"/>
    <mergeCell ref="A8:B8"/>
    <mergeCell ref="O8:P8"/>
    <mergeCell ref="A46:B47"/>
    <mergeCell ref="C46:D46"/>
    <mergeCell ref="E46:F46"/>
    <mergeCell ref="G46:H46"/>
    <mergeCell ref="J46:K46"/>
    <mergeCell ref="L46:M46"/>
    <mergeCell ref="C47:D47"/>
    <mergeCell ref="E47:F47"/>
    <mergeCell ref="G47:H47"/>
    <mergeCell ref="J47:K47"/>
    <mergeCell ref="O46:P47"/>
    <mergeCell ref="Q46:R46"/>
    <mergeCell ref="S46:T46"/>
    <mergeCell ref="U46:V46"/>
    <mergeCell ref="X46:Y46"/>
    <mergeCell ref="Z46:AA46"/>
    <mergeCell ref="L47:M47"/>
    <mergeCell ref="Q47:R47"/>
    <mergeCell ref="S47:T47"/>
    <mergeCell ref="U47:V47"/>
    <mergeCell ref="X47:Y47"/>
    <mergeCell ref="Z47:AA47"/>
    <mergeCell ref="AK47:AL47"/>
    <mergeCell ref="W50:W51"/>
    <mergeCell ref="A51:B51"/>
    <mergeCell ref="O51:P51"/>
    <mergeCell ref="A50:B50"/>
    <mergeCell ref="I50:I51"/>
    <mergeCell ref="O50:P50"/>
    <mergeCell ref="AM47:AN47"/>
    <mergeCell ref="AB50:AC50"/>
    <mergeCell ref="AJ50:AJ51"/>
    <mergeCell ref="AB51:AC51"/>
    <mergeCell ref="AB1:AN1"/>
    <mergeCell ref="AL2:AN2"/>
    <mergeCell ref="AB8:AC8"/>
    <mergeCell ref="AB46:AC47"/>
    <mergeCell ref="AD46:AE46"/>
    <mergeCell ref="AF46:AG46"/>
    <mergeCell ref="AH46:AI46"/>
    <mergeCell ref="AK46:AL46"/>
    <mergeCell ref="AM46:AN46"/>
    <mergeCell ref="AD47:AE47"/>
    <mergeCell ref="AF47:AG47"/>
    <mergeCell ref="AH47:AI47"/>
  </mergeCells>
  <printOptions verticalCentered="1"/>
  <pageMargins left="0.23622047244094491" right="0" top="0" bottom="0" header="0" footer="0"/>
  <pageSetup paperSize="9" scale="54" orientation="landscape" r:id="rId1"/>
  <colBreaks count="1" manualBreakCount="1">
    <brk id="27" max="6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4083-A24A-45F0-89E4-0A7FFC9334D8}">
  <sheetPr>
    <tabColor rgb="FF00B0F0"/>
  </sheetPr>
  <dimension ref="A1:JJ97"/>
  <sheetViews>
    <sheetView view="pageBreakPreview" topLeftCell="HR1" zoomScale="85" zoomScaleNormal="85" zoomScaleSheetLayoutView="85" workbookViewId="0">
      <selection activeCell="IE12" sqref="IE12"/>
    </sheetView>
  </sheetViews>
  <sheetFormatPr defaultColWidth="8.81640625" defaultRowHeight="14.5" x14ac:dyDescent="0.35"/>
  <cols>
    <col min="1" max="2" width="5.7265625" customWidth="1"/>
    <col min="3" max="3" width="10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10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9.453125" bestFit="1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453125" style="3" customWidth="1"/>
    <col min="24" max="24" width="8.81640625" style="2"/>
    <col min="25" max="25" width="9.26953125" customWidth="1"/>
    <col min="26" max="26" width="9" bestFit="1" customWidth="1"/>
    <col min="27" max="27" width="13.81640625" style="1" customWidth="1"/>
    <col min="28" max="28" width="7.7265625" customWidth="1"/>
    <col min="29" max="30" width="5.7265625" customWidth="1"/>
    <col min="31" max="31" width="9.453125" bestFit="1" customWidth="1"/>
    <col min="32" max="32" width="8.7265625" customWidth="1"/>
    <col min="34" max="34" width="7.7265625" customWidth="1"/>
    <col min="35" max="35" width="9" bestFit="1" customWidth="1"/>
    <col min="36" max="36" width="8.453125" style="3" customWidth="1"/>
    <col min="37" max="37" width="7.453125" style="3" customWidth="1"/>
    <col min="38" max="38" width="8.81640625" style="2"/>
    <col min="39" max="39" width="7" customWidth="1"/>
    <col min="40" max="40" width="9" bestFit="1" customWidth="1"/>
    <col min="41" max="41" width="13.81640625" style="1" customWidth="1"/>
    <col min="42" max="43" width="5.7265625" customWidth="1"/>
    <col min="44" max="44" width="9.453125" bestFit="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453125" style="3" customWidth="1"/>
    <col min="51" max="51" width="8.81640625" style="2"/>
    <col min="52" max="52" width="7" customWidth="1"/>
    <col min="53" max="53" width="9" bestFit="1" customWidth="1"/>
    <col min="54" max="54" width="13.81640625" style="1" customWidth="1"/>
    <col min="55" max="55" width="7.7265625" customWidth="1"/>
    <col min="56" max="57" width="5.7265625" customWidth="1"/>
    <col min="58" max="58" width="9.453125" bestFit="1" customWidth="1"/>
    <col min="59" max="59" width="8.7265625" customWidth="1"/>
    <col min="61" max="61" width="7.7265625" customWidth="1"/>
    <col min="62" max="62" width="9" bestFit="1" customWidth="1"/>
    <col min="63" max="63" width="8.453125" style="3" customWidth="1"/>
    <col min="64" max="64" width="7.453125" style="3" customWidth="1"/>
    <col min="65" max="65" width="8.81640625" style="2"/>
    <col min="66" max="66" width="7" customWidth="1"/>
    <col min="67" max="67" width="9" bestFit="1" customWidth="1"/>
    <col min="68" max="68" width="13.81640625" style="1" customWidth="1"/>
    <col min="69" max="70" width="5.7265625" customWidth="1"/>
    <col min="71" max="71" width="9.453125" bestFit="1" customWidth="1"/>
    <col min="72" max="72" width="8.7265625" customWidth="1"/>
    <col min="74" max="74" width="7.7265625" customWidth="1"/>
    <col min="75" max="75" width="9" bestFit="1" customWidth="1"/>
    <col min="76" max="76" width="8.453125" style="3" customWidth="1"/>
    <col min="77" max="77" width="7.453125" style="3" customWidth="1"/>
    <col min="78" max="78" width="8.81640625" style="2"/>
    <col min="79" max="79" width="9.453125" customWidth="1"/>
    <col min="80" max="80" width="9" bestFit="1" customWidth="1"/>
    <col min="81" max="81" width="13.81640625" style="1" customWidth="1"/>
    <col min="82" max="82" width="7.7265625" customWidth="1"/>
    <col min="83" max="84" width="5.7265625" customWidth="1"/>
    <col min="85" max="85" width="9.453125" bestFit="1" customWidth="1"/>
    <col min="86" max="86" width="8.7265625" customWidth="1"/>
    <col min="88" max="88" width="7.7265625" customWidth="1"/>
    <col min="89" max="89" width="9" bestFit="1" customWidth="1"/>
    <col min="90" max="90" width="8.453125" style="3" customWidth="1"/>
    <col min="91" max="91" width="7.453125" style="3" customWidth="1"/>
    <col min="92" max="92" width="8.81640625" style="2"/>
    <col min="93" max="93" width="7" customWidth="1"/>
    <col min="94" max="94" width="9" bestFit="1" customWidth="1"/>
    <col min="95" max="95" width="13.81640625" style="1" customWidth="1"/>
    <col min="96" max="97" width="5.7265625" customWidth="1"/>
    <col min="98" max="98" width="9.453125" bestFit="1" customWidth="1"/>
    <col min="99" max="99" width="8.7265625" customWidth="1"/>
    <col min="101" max="101" width="7.7265625" customWidth="1"/>
    <col min="102" max="102" width="9" bestFit="1" customWidth="1"/>
    <col min="103" max="103" width="8.453125" style="3" customWidth="1"/>
    <col min="104" max="104" width="7.453125" style="3" customWidth="1"/>
    <col min="105" max="105" width="8.81640625" style="2"/>
    <col min="106" max="106" width="7" customWidth="1"/>
    <col min="107" max="107" width="9" bestFit="1" customWidth="1"/>
    <col min="108" max="108" width="13.81640625" style="1" customWidth="1"/>
    <col min="109" max="109" width="7.7265625" customWidth="1"/>
    <col min="110" max="111" width="5.7265625" customWidth="1"/>
    <col min="112" max="112" width="9.7265625" customWidth="1"/>
    <col min="113" max="113" width="8.7265625" customWidth="1"/>
    <col min="115" max="115" width="7.7265625" customWidth="1"/>
    <col min="116" max="116" width="9" bestFit="1" customWidth="1"/>
    <col min="117" max="117" width="8.453125" style="3" customWidth="1"/>
    <col min="118" max="118" width="7.453125" style="3" customWidth="1"/>
    <col min="119" max="119" width="8.81640625" style="2"/>
    <col min="120" max="120" width="7" customWidth="1"/>
    <col min="121" max="121" width="9" bestFit="1" customWidth="1"/>
    <col min="122" max="122" width="13.81640625" style="1" customWidth="1"/>
    <col min="123" max="124" width="5.7265625" customWidth="1"/>
    <col min="125" max="125" width="9" bestFit="1" customWidth="1"/>
    <col min="126" max="126" width="8.7265625" customWidth="1"/>
    <col min="128" max="128" width="7.7265625" customWidth="1"/>
    <col min="129" max="129" width="9" bestFit="1" customWidth="1"/>
    <col min="130" max="130" width="8.453125" style="3" customWidth="1"/>
    <col min="131" max="131" width="7.453125" style="3" customWidth="1"/>
    <col min="132" max="132" width="8.81640625" style="2"/>
    <col min="133" max="133" width="9.54296875" customWidth="1"/>
    <col min="134" max="134" width="9" bestFit="1" customWidth="1"/>
    <col min="135" max="135" width="13.81640625" style="1" customWidth="1"/>
    <col min="136" max="136" width="7.7265625" customWidth="1"/>
    <col min="137" max="138" width="5.7265625" customWidth="1"/>
    <col min="139" max="139" width="9.453125" bestFit="1" customWidth="1"/>
    <col min="140" max="140" width="8.7265625" customWidth="1"/>
    <col min="142" max="142" width="7.7265625" customWidth="1"/>
    <col min="143" max="143" width="9" bestFit="1" customWidth="1"/>
    <col min="144" max="144" width="8.453125" style="3" customWidth="1"/>
    <col min="145" max="145" width="7.453125" style="3" customWidth="1"/>
    <col min="146" max="146" width="8.81640625" style="2"/>
    <col min="147" max="147" width="7" customWidth="1"/>
    <col min="148" max="148" width="9" bestFit="1" customWidth="1"/>
    <col min="149" max="149" width="13.81640625" style="1" customWidth="1"/>
    <col min="150" max="151" width="5.7265625" customWidth="1"/>
    <col min="152" max="152" width="9.453125" bestFit="1" customWidth="1"/>
    <col min="153" max="153" width="8.7265625" customWidth="1"/>
    <col min="155" max="155" width="7.7265625" customWidth="1"/>
    <col min="156" max="156" width="9" bestFit="1" customWidth="1"/>
    <col min="157" max="157" width="8.453125" style="3" customWidth="1"/>
    <col min="158" max="158" width="7.453125" style="3" customWidth="1"/>
    <col min="159" max="159" width="8.81640625" style="2"/>
    <col min="160" max="160" width="7" customWidth="1"/>
    <col min="161" max="161" width="9" bestFit="1" customWidth="1"/>
    <col min="162" max="162" width="13.81640625" style="1" customWidth="1"/>
    <col min="163" max="163" width="7.7265625" customWidth="1"/>
    <col min="164" max="165" width="5.7265625" customWidth="1"/>
    <col min="166" max="166" width="9.453125" bestFit="1" customWidth="1"/>
    <col min="167" max="167" width="8.7265625" customWidth="1"/>
    <col min="169" max="169" width="7.7265625" customWidth="1"/>
    <col min="170" max="170" width="9" bestFit="1" customWidth="1"/>
    <col min="171" max="171" width="8.453125" style="3" customWidth="1"/>
    <col min="172" max="172" width="7.453125" style="3" customWidth="1"/>
    <col min="173" max="173" width="8.81640625" style="2"/>
    <col min="174" max="174" width="9.54296875" customWidth="1"/>
    <col min="175" max="175" width="9" bestFit="1" customWidth="1"/>
    <col min="176" max="176" width="13.81640625" style="1" customWidth="1"/>
    <col min="177" max="178" width="5.7265625" customWidth="1"/>
    <col min="179" max="179" width="9.81640625" customWidth="1"/>
    <col min="180" max="180" width="8.7265625" customWidth="1"/>
    <col min="182" max="182" width="7.7265625" customWidth="1"/>
    <col min="183" max="183" width="8.81640625" customWidth="1"/>
    <col min="184" max="184" width="8.453125" style="3" customWidth="1"/>
    <col min="185" max="185" width="7.453125" style="3" customWidth="1"/>
    <col min="186" max="186" width="8.81640625" style="2"/>
    <col min="187" max="187" width="7" customWidth="1"/>
    <col min="188" max="188" width="8.81640625" customWidth="1"/>
    <col min="189" max="189" width="13.81640625" style="1" customWidth="1"/>
    <col min="190" max="190" width="7.7265625" customWidth="1"/>
    <col min="191" max="192" width="5.7265625" customWidth="1"/>
    <col min="193" max="193" width="9.7265625" customWidth="1"/>
    <col min="194" max="194" width="8.7265625" customWidth="1"/>
    <col min="196" max="196" width="7.7265625" customWidth="1"/>
    <col min="198" max="198" width="8.453125" style="3" customWidth="1"/>
    <col min="199" max="199" width="7.453125" style="3" customWidth="1"/>
    <col min="200" max="200" width="8.81640625" style="2"/>
    <col min="201" max="201" width="7" customWidth="1"/>
    <col min="203" max="203" width="13.81640625" style="1" customWidth="1"/>
    <col min="204" max="205" width="5.7265625" customWidth="1"/>
    <col min="206" max="206" width="9.453125" bestFit="1" customWidth="1"/>
    <col min="207" max="207" width="8.7265625" customWidth="1"/>
    <col min="209" max="209" width="7.7265625" customWidth="1"/>
    <col min="210" max="210" width="9" bestFit="1" customWidth="1"/>
    <col min="211" max="211" width="8.453125" style="3" customWidth="1"/>
    <col min="212" max="212" width="7" style="3" customWidth="1"/>
    <col min="213" max="213" width="8.81640625" style="2"/>
    <col min="214" max="214" width="7" customWidth="1"/>
    <col min="215" max="215" width="9" bestFit="1" customWidth="1"/>
    <col min="216" max="216" width="13.81640625" style="1" customWidth="1"/>
    <col min="217" max="217" width="7.7265625" customWidth="1"/>
    <col min="218" max="219" width="5.7265625" customWidth="1"/>
    <col min="220" max="220" width="9.453125" bestFit="1" customWidth="1"/>
    <col min="221" max="221" width="8.7265625" customWidth="1"/>
    <col min="223" max="223" width="7.7265625" customWidth="1"/>
    <col min="224" max="224" width="9" bestFit="1" customWidth="1"/>
    <col min="225" max="225" width="8.453125" style="3" customWidth="1"/>
    <col min="226" max="226" width="7.453125" style="3" customWidth="1"/>
    <col min="227" max="227" width="8.81640625" style="2"/>
    <col min="228" max="228" width="7" customWidth="1"/>
    <col min="229" max="229" width="9" bestFit="1" customWidth="1"/>
    <col min="230" max="230" width="13.81640625" style="1" customWidth="1"/>
    <col min="231" max="232" width="5.7265625" customWidth="1"/>
    <col min="233" max="233" width="9.453125" bestFit="1" customWidth="1"/>
    <col min="234" max="234" width="8.7265625" customWidth="1"/>
    <col min="236" max="236" width="7.7265625" customWidth="1"/>
    <col min="237" max="237" width="9" bestFit="1" customWidth="1"/>
    <col min="238" max="238" width="8.453125" style="3" customWidth="1"/>
    <col min="239" max="239" width="7.453125" style="3" customWidth="1"/>
    <col min="240" max="240" width="8.81640625" style="2"/>
    <col min="241" max="241" width="7" customWidth="1"/>
    <col min="242" max="242" width="9" bestFit="1" customWidth="1"/>
    <col min="243" max="243" width="13.81640625" style="1" customWidth="1"/>
    <col min="244" max="244" width="4.453125" customWidth="1"/>
    <col min="245" max="246" width="5.7265625" customWidth="1"/>
    <col min="247" max="247" width="10.453125" customWidth="1"/>
    <col min="248" max="248" width="8.7265625" customWidth="1"/>
    <col min="250" max="250" width="7.7265625" customWidth="1"/>
    <col min="251" max="251" width="9" bestFit="1" customWidth="1"/>
    <col min="252" max="252" width="8.453125" style="3" customWidth="1"/>
    <col min="253" max="253" width="7.453125" style="3" customWidth="1"/>
    <col min="254" max="254" width="8.81640625" style="2"/>
    <col min="255" max="255" width="7" customWidth="1"/>
    <col min="256" max="256" width="9" bestFit="1" customWidth="1"/>
    <col min="257" max="257" width="13.81640625" style="1" customWidth="1"/>
    <col min="258" max="259" width="5.7265625" customWidth="1"/>
    <col min="260" max="260" width="11.26953125" customWidth="1"/>
    <col min="261" max="261" width="8.7265625" customWidth="1"/>
    <col min="263" max="263" width="7.7265625" customWidth="1"/>
    <col min="264" max="264" width="9" bestFit="1" customWidth="1"/>
    <col min="265" max="265" width="8.453125" style="3" customWidth="1"/>
    <col min="266" max="266" width="7.453125" style="3" customWidth="1"/>
    <col min="267" max="267" width="8.81640625" style="2"/>
    <col min="268" max="268" width="7" customWidth="1"/>
    <col min="269" max="269" width="9" bestFit="1" customWidth="1"/>
    <col min="270" max="270" width="13.81640625" style="1" customWidth="1"/>
  </cols>
  <sheetData>
    <row r="1" spans="1:270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$A$1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50"/>
      <c r="AC1" s="164" t="str">
        <f>$A$1</f>
        <v>WORKER WAGES - JUNE 26</v>
      </c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 t="str">
        <f>$A$1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50"/>
      <c r="BD1" s="164" t="str">
        <f>$A$1</f>
        <v>WORKER WAGES - JUNE 26</v>
      </c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 t="str">
        <f>$A$1</f>
        <v>WORKER WAGES - 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50"/>
      <c r="CE1" s="164" t="str">
        <f>$A$1</f>
        <v>WORKER WAGES - JUNE 26</v>
      </c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 t="str">
        <f>$A$1</f>
        <v>WORKER WAGES - JUNE 26</v>
      </c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50"/>
      <c r="DF1" s="164" t="str">
        <f>$A$1</f>
        <v>WORKER WAGES - JUNE 26</v>
      </c>
      <c r="DG1" s="164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  <c r="DS1" s="164" t="str">
        <f>$A$1</f>
        <v>WORKER WAGES - JUNE 26</v>
      </c>
      <c r="DT1" s="164"/>
      <c r="DU1" s="164"/>
      <c r="DV1" s="164"/>
      <c r="DW1" s="164"/>
      <c r="DX1" s="164"/>
      <c r="DY1" s="164"/>
      <c r="DZ1" s="164"/>
      <c r="EA1" s="164"/>
      <c r="EB1" s="164"/>
      <c r="EC1" s="164"/>
      <c r="ED1" s="164"/>
      <c r="EE1" s="164"/>
      <c r="EF1" s="50"/>
      <c r="EG1" s="164" t="str">
        <f>$A$1</f>
        <v>WORKER WAGES - JUNE 26</v>
      </c>
      <c r="EH1" s="164"/>
      <c r="EI1" s="164"/>
      <c r="EJ1" s="164"/>
      <c r="EK1" s="164"/>
      <c r="EL1" s="164"/>
      <c r="EM1" s="164"/>
      <c r="EN1" s="164"/>
      <c r="EO1" s="164"/>
      <c r="EP1" s="164"/>
      <c r="EQ1" s="164"/>
      <c r="ER1" s="164"/>
      <c r="ES1" s="164"/>
      <c r="ET1" s="164" t="str">
        <f>$A$1</f>
        <v>WORKER WAGES - JUNE 26</v>
      </c>
      <c r="EU1" s="164"/>
      <c r="EV1" s="164"/>
      <c r="EW1" s="164"/>
      <c r="EX1" s="164"/>
      <c r="EY1" s="164"/>
      <c r="EZ1" s="164"/>
      <c r="FA1" s="164"/>
      <c r="FB1" s="164"/>
      <c r="FC1" s="164"/>
      <c r="FD1" s="164"/>
      <c r="FE1" s="164"/>
      <c r="FF1" s="164"/>
      <c r="FG1" s="50"/>
      <c r="FH1" s="164" t="str">
        <f>$A$1</f>
        <v>WORKER WAGES - JUNE 26</v>
      </c>
      <c r="FI1" s="164"/>
      <c r="FJ1" s="164"/>
      <c r="FK1" s="164"/>
      <c r="FL1" s="164"/>
      <c r="FM1" s="164"/>
      <c r="FN1" s="164"/>
      <c r="FO1" s="164"/>
      <c r="FP1" s="164"/>
      <c r="FQ1" s="164"/>
      <c r="FR1" s="164"/>
      <c r="FS1" s="164"/>
      <c r="FT1" s="164"/>
      <c r="FU1" s="164" t="str">
        <f>$A$1</f>
        <v>WORKER WAGES - JUNE 26</v>
      </c>
      <c r="FV1" s="164"/>
      <c r="FW1" s="164"/>
      <c r="FX1" s="164"/>
      <c r="FY1" s="164"/>
      <c r="FZ1" s="164"/>
      <c r="GA1" s="164"/>
      <c r="GB1" s="164"/>
      <c r="GC1" s="164"/>
      <c r="GD1" s="164"/>
      <c r="GE1" s="164"/>
      <c r="GF1" s="164"/>
      <c r="GG1" s="164"/>
      <c r="GH1" s="50"/>
      <c r="GI1" s="164" t="str">
        <f>$A$1</f>
        <v>WORKER WAGES - JUNE 26</v>
      </c>
      <c r="GJ1" s="164"/>
      <c r="GK1" s="164"/>
      <c r="GL1" s="164"/>
      <c r="GM1" s="164"/>
      <c r="GN1" s="164"/>
      <c r="GO1" s="164"/>
      <c r="GP1" s="164"/>
      <c r="GQ1" s="164"/>
      <c r="GR1" s="164"/>
      <c r="GS1" s="164"/>
      <c r="GT1" s="164"/>
      <c r="GU1" s="164"/>
      <c r="GV1" s="164" t="str">
        <f>$A$1</f>
        <v>WORKER WAGES - JUNE 26</v>
      </c>
      <c r="GW1" s="164"/>
      <c r="GX1" s="164"/>
      <c r="GY1" s="164"/>
      <c r="GZ1" s="164"/>
      <c r="HA1" s="164"/>
      <c r="HB1" s="164"/>
      <c r="HC1" s="164"/>
      <c r="HD1" s="164"/>
      <c r="HE1" s="164"/>
      <c r="HF1" s="164"/>
      <c r="HG1" s="164"/>
      <c r="HH1" s="164"/>
      <c r="HI1" s="50"/>
      <c r="HJ1" s="164" t="str">
        <f>$A$1</f>
        <v>WORKER WAGES - JUNE 26</v>
      </c>
      <c r="HK1" s="164"/>
      <c r="HL1" s="164"/>
      <c r="HM1" s="164"/>
      <c r="HN1" s="164"/>
      <c r="HO1" s="164"/>
      <c r="HP1" s="164"/>
      <c r="HQ1" s="164"/>
      <c r="HR1" s="164"/>
      <c r="HS1" s="164"/>
      <c r="HT1" s="164"/>
      <c r="HU1" s="164"/>
      <c r="HV1" s="164"/>
      <c r="HW1" s="164" t="str">
        <f>$A$1</f>
        <v>WORKER WAGES - JUNE 26</v>
      </c>
      <c r="HX1" s="164"/>
      <c r="HY1" s="164"/>
      <c r="HZ1" s="164"/>
      <c r="IA1" s="164"/>
      <c r="IB1" s="164"/>
      <c r="IC1" s="164"/>
      <c r="ID1" s="164"/>
      <c r="IE1" s="164"/>
      <c r="IF1" s="164"/>
      <c r="IG1" s="164"/>
      <c r="IH1" s="164"/>
      <c r="II1" s="164"/>
      <c r="IJ1" s="1"/>
      <c r="IK1" s="164" t="str">
        <f>$A$1</f>
        <v>WORKER WAGES - JUNE 26</v>
      </c>
      <c r="IL1" s="164"/>
      <c r="IM1" s="164"/>
      <c r="IN1" s="164"/>
      <c r="IO1" s="164"/>
      <c r="IP1" s="164"/>
      <c r="IQ1" s="164"/>
      <c r="IR1" s="164"/>
      <c r="IS1" s="164"/>
      <c r="IT1" s="164"/>
      <c r="IU1" s="164"/>
      <c r="IV1" s="164"/>
      <c r="IW1" s="164"/>
      <c r="IX1" s="164" t="str">
        <f>GV1</f>
        <v>WORKER WAGES - JUNE 26</v>
      </c>
      <c r="IY1" s="164"/>
      <c r="IZ1" s="164"/>
      <c r="JA1" s="164"/>
      <c r="JB1" s="164"/>
      <c r="JC1" s="164"/>
      <c r="JD1" s="164"/>
      <c r="JE1" s="164"/>
      <c r="JF1" s="164"/>
      <c r="JG1" s="164"/>
      <c r="JH1" s="164"/>
      <c r="JI1" s="164"/>
      <c r="JJ1" s="164"/>
    </row>
    <row r="2" spans="1:270" s="78" customFormat="1" ht="25.5" x14ac:dyDescent="0.35">
      <c r="A2" s="78" t="s">
        <v>20</v>
      </c>
      <c r="C2" s="79" t="s">
        <v>175</v>
      </c>
      <c r="D2" s="79"/>
      <c r="E2" s="79"/>
      <c r="F2" s="79" t="s">
        <v>176</v>
      </c>
      <c r="G2" s="79"/>
      <c r="H2" s="80"/>
      <c r="I2" s="80"/>
      <c r="J2" s="80"/>
      <c r="K2" s="176" t="s">
        <v>221</v>
      </c>
      <c r="L2" s="176"/>
      <c r="M2" s="176"/>
      <c r="O2" s="78" t="s">
        <v>20</v>
      </c>
      <c r="Q2" s="79" t="s">
        <v>179</v>
      </c>
      <c r="R2" s="79"/>
      <c r="S2" s="79"/>
      <c r="T2" s="79"/>
      <c r="U2" s="79" t="s">
        <v>180</v>
      </c>
      <c r="V2" s="80"/>
      <c r="W2" s="80"/>
      <c r="X2" s="80"/>
      <c r="Y2" s="80"/>
      <c r="Z2" s="80"/>
      <c r="AA2" s="80"/>
      <c r="AC2" s="78" t="s">
        <v>20</v>
      </c>
      <c r="AE2" s="79" t="s">
        <v>181</v>
      </c>
      <c r="AF2" s="79"/>
      <c r="AG2" s="79"/>
      <c r="AH2" s="79"/>
      <c r="AI2" s="79" t="s">
        <v>182</v>
      </c>
      <c r="AJ2" s="80"/>
      <c r="AK2" s="80"/>
      <c r="AL2" s="80"/>
      <c r="AM2" s="80"/>
      <c r="AN2" s="80"/>
      <c r="AO2" s="80"/>
      <c r="AP2" s="78" t="s">
        <v>20</v>
      </c>
      <c r="AR2" s="79" t="s">
        <v>183</v>
      </c>
      <c r="AS2" s="79"/>
      <c r="AT2" s="79"/>
      <c r="AU2" s="79"/>
      <c r="AV2" s="79" t="s">
        <v>184</v>
      </c>
      <c r="AW2" s="80"/>
      <c r="AX2" s="80"/>
      <c r="AY2" s="80"/>
      <c r="AZ2" s="176" t="s">
        <v>221</v>
      </c>
      <c r="BA2" s="176"/>
      <c r="BB2" s="176"/>
      <c r="BD2" s="78" t="s">
        <v>20</v>
      </c>
      <c r="BF2" s="79" t="s">
        <v>185</v>
      </c>
      <c r="BG2" s="79"/>
      <c r="BH2" s="79"/>
      <c r="BI2" s="79" t="s">
        <v>186</v>
      </c>
      <c r="BJ2" s="79"/>
      <c r="BK2" s="80"/>
      <c r="BL2" s="80"/>
      <c r="BM2" s="80"/>
      <c r="BN2" s="176" t="s">
        <v>221</v>
      </c>
      <c r="BO2" s="176"/>
      <c r="BP2" s="176"/>
      <c r="BQ2" s="78" t="s">
        <v>20</v>
      </c>
      <c r="BS2" s="79" t="s">
        <v>187</v>
      </c>
      <c r="BT2" s="79"/>
      <c r="BU2" s="79"/>
      <c r="BV2" s="79"/>
      <c r="BW2" s="79" t="s">
        <v>188</v>
      </c>
      <c r="BX2" s="80"/>
      <c r="BY2" s="80"/>
      <c r="BZ2" s="80"/>
      <c r="CA2" s="80"/>
      <c r="CB2" s="80"/>
      <c r="CC2" s="80"/>
      <c r="CE2" s="78" t="s">
        <v>20</v>
      </c>
      <c r="CG2" s="79" t="s">
        <v>189</v>
      </c>
      <c r="CH2" s="79"/>
      <c r="CI2" s="79"/>
      <c r="CJ2" s="79"/>
      <c r="CK2" s="79" t="s">
        <v>190</v>
      </c>
      <c r="CL2" s="80"/>
      <c r="CM2" s="80"/>
      <c r="CN2" s="80"/>
      <c r="CO2" s="80"/>
      <c r="CP2" s="80"/>
      <c r="CQ2" s="80"/>
      <c r="CR2" s="78" t="s">
        <v>20</v>
      </c>
      <c r="CT2" s="79" t="s">
        <v>191</v>
      </c>
      <c r="CU2" s="79"/>
      <c r="CV2" s="79"/>
      <c r="CW2" s="79"/>
      <c r="CX2" s="79" t="s">
        <v>192</v>
      </c>
      <c r="CY2" s="80"/>
      <c r="CZ2" s="80"/>
      <c r="DA2" s="80"/>
      <c r="DB2" s="80"/>
      <c r="DC2" s="80"/>
      <c r="DD2" s="80"/>
      <c r="DF2" s="78" t="s">
        <v>20</v>
      </c>
      <c r="DH2" s="79" t="s">
        <v>193</v>
      </c>
      <c r="DI2" s="79"/>
      <c r="DJ2" s="79"/>
      <c r="DK2" s="79"/>
      <c r="DL2" s="79" t="s">
        <v>194</v>
      </c>
      <c r="DM2" s="80"/>
      <c r="DN2" s="80"/>
      <c r="DO2" s="79"/>
      <c r="DP2" s="79"/>
      <c r="DQ2" s="79"/>
      <c r="DR2" s="79"/>
      <c r="DS2" s="78" t="s">
        <v>20</v>
      </c>
      <c r="DU2" s="79" t="s">
        <v>195</v>
      </c>
      <c r="DV2" s="79"/>
      <c r="DW2" s="79"/>
      <c r="DX2" s="79"/>
      <c r="DY2" s="79" t="s">
        <v>196</v>
      </c>
      <c r="DZ2" s="80"/>
      <c r="EA2" s="80"/>
      <c r="EB2" s="79"/>
      <c r="EC2" s="79"/>
      <c r="ED2" s="79"/>
      <c r="EE2" s="79"/>
      <c r="EG2" s="78" t="s">
        <v>20</v>
      </c>
      <c r="EI2" s="79" t="s">
        <v>197</v>
      </c>
      <c r="EJ2" s="79"/>
      <c r="EK2" s="79"/>
      <c r="EL2" s="79"/>
      <c r="EM2" s="79" t="s">
        <v>198</v>
      </c>
      <c r="EN2" s="80"/>
      <c r="EO2" s="80"/>
      <c r="EP2" s="79"/>
      <c r="EQ2" s="79"/>
      <c r="ER2" s="79"/>
      <c r="ES2" s="79"/>
      <c r="ET2" s="78" t="s">
        <v>20</v>
      </c>
      <c r="EV2" s="129" t="s">
        <v>199</v>
      </c>
      <c r="EW2" s="79"/>
      <c r="EX2" s="79"/>
      <c r="EY2" s="79"/>
      <c r="EZ2" s="79" t="s">
        <v>200</v>
      </c>
      <c r="FA2" s="80"/>
      <c r="FB2" s="80"/>
      <c r="FC2" s="79"/>
      <c r="FD2" s="79"/>
      <c r="FE2" s="79"/>
      <c r="FF2" s="79"/>
      <c r="FH2" s="78" t="s">
        <v>20</v>
      </c>
      <c r="FJ2" s="79" t="s">
        <v>201</v>
      </c>
      <c r="FK2" s="79"/>
      <c r="FL2" s="79"/>
      <c r="FM2" s="79"/>
      <c r="FN2" s="79" t="s">
        <v>202</v>
      </c>
      <c r="FO2" s="80"/>
      <c r="FP2" s="80"/>
      <c r="FQ2" s="79"/>
      <c r="FR2" s="79"/>
      <c r="FS2" s="79"/>
      <c r="FT2" s="79"/>
      <c r="FU2" s="78" t="s">
        <v>20</v>
      </c>
      <c r="FW2" s="79" t="s">
        <v>203</v>
      </c>
      <c r="FX2" s="79"/>
      <c r="FY2" s="79"/>
      <c r="FZ2" s="79"/>
      <c r="GA2" s="79" t="s">
        <v>204</v>
      </c>
      <c r="GB2" s="80"/>
      <c r="GC2" s="80"/>
      <c r="GD2" s="79"/>
      <c r="GE2" s="79"/>
      <c r="GF2" s="79"/>
      <c r="GG2" s="79"/>
      <c r="GI2" s="78" t="s">
        <v>20</v>
      </c>
      <c r="GK2" s="79" t="s">
        <v>205</v>
      </c>
      <c r="GL2" s="79"/>
      <c r="GM2" s="79"/>
      <c r="GN2" s="79"/>
      <c r="GO2" s="79" t="s">
        <v>206</v>
      </c>
      <c r="GP2" s="80"/>
      <c r="GQ2" s="80"/>
      <c r="GR2" s="79"/>
      <c r="GS2" s="79"/>
      <c r="GT2" s="79"/>
      <c r="GU2" s="79"/>
      <c r="GV2" s="78" t="s">
        <v>20</v>
      </c>
      <c r="GX2" s="79" t="s">
        <v>207</v>
      </c>
      <c r="GY2" s="79"/>
      <c r="GZ2" s="79"/>
      <c r="HA2" s="79"/>
      <c r="HB2" s="79" t="s">
        <v>208</v>
      </c>
      <c r="HC2" s="80"/>
      <c r="HD2" s="80"/>
      <c r="HE2" s="79"/>
      <c r="HF2" s="79"/>
      <c r="HG2" s="79"/>
      <c r="HH2" s="79"/>
      <c r="HJ2" s="78" t="s">
        <v>20</v>
      </c>
      <c r="HL2" s="130" t="s">
        <v>209</v>
      </c>
      <c r="HM2" s="79"/>
      <c r="HN2" s="79"/>
      <c r="HO2" s="79"/>
      <c r="HP2" s="79" t="s">
        <v>210</v>
      </c>
      <c r="HQ2" s="80"/>
      <c r="HR2" s="80"/>
      <c r="HS2" s="79"/>
      <c r="HT2" s="79"/>
      <c r="HU2" s="79"/>
      <c r="HV2" s="79"/>
      <c r="HW2" s="78" t="s">
        <v>20</v>
      </c>
      <c r="HY2" s="79" t="s">
        <v>211</v>
      </c>
      <c r="HZ2" s="79"/>
      <c r="IA2" s="79"/>
      <c r="IB2" s="79"/>
      <c r="IC2" s="79" t="s">
        <v>212</v>
      </c>
      <c r="ID2" s="80"/>
      <c r="IE2" s="80"/>
      <c r="IF2" s="79"/>
      <c r="IG2" s="79"/>
      <c r="IH2" s="79"/>
      <c r="II2" s="79"/>
      <c r="IJ2"/>
      <c r="IK2" s="78" t="s">
        <v>20</v>
      </c>
      <c r="IM2" s="79" t="s">
        <v>149</v>
      </c>
      <c r="IN2" s="79"/>
      <c r="IO2" s="79"/>
      <c r="IP2" s="79"/>
      <c r="IQ2" s="79" t="s">
        <v>150</v>
      </c>
      <c r="IR2" s="80"/>
      <c r="IS2" s="80"/>
      <c r="IT2" s="80"/>
      <c r="IU2" s="175"/>
      <c r="IV2" s="175"/>
      <c r="IW2" s="175"/>
      <c r="IX2" s="78" t="s">
        <v>20</v>
      </c>
      <c r="IZ2" s="79" t="s">
        <v>56</v>
      </c>
      <c r="JA2" s="79"/>
      <c r="JB2" s="79"/>
      <c r="JC2" s="79"/>
      <c r="JD2" s="79" t="s">
        <v>53</v>
      </c>
      <c r="JE2" s="80"/>
      <c r="JF2" s="80"/>
      <c r="JG2" s="79"/>
      <c r="JH2" s="177" t="s">
        <v>218</v>
      </c>
      <c r="JI2" s="177"/>
      <c r="JJ2" s="177"/>
    </row>
    <row r="3" spans="1:270" ht="3" customHeight="1" x14ac:dyDescent="0.35">
      <c r="IJ3" s="1"/>
    </row>
    <row r="4" spans="1:270" x14ac:dyDescent="0.35">
      <c r="H4" s="6"/>
      <c r="I4" s="6"/>
      <c r="V4" s="6"/>
      <c r="W4" s="6"/>
      <c r="AJ4" s="6"/>
      <c r="AK4" s="6"/>
      <c r="AW4" s="6"/>
      <c r="AX4" s="6"/>
      <c r="BK4" s="6"/>
      <c r="BL4" s="6"/>
      <c r="BX4" s="6"/>
      <c r="BY4" s="6"/>
      <c r="CL4" s="6"/>
      <c r="CM4" s="6"/>
      <c r="CY4" s="6"/>
      <c r="CZ4" s="6"/>
      <c r="DM4" s="6"/>
      <c r="DN4" s="6"/>
      <c r="DZ4" s="6"/>
      <c r="EA4" s="6"/>
      <c r="EN4" s="6"/>
      <c r="EO4" s="6"/>
      <c r="FA4" s="6"/>
      <c r="FB4" s="6"/>
      <c r="FO4" s="6"/>
      <c r="FP4" s="6"/>
      <c r="GB4" s="6"/>
      <c r="GC4" s="6"/>
      <c r="GP4" s="6"/>
      <c r="GQ4" s="6"/>
      <c r="HC4" s="6"/>
      <c r="HD4" s="6"/>
      <c r="HQ4" s="6"/>
      <c r="HR4" s="6"/>
      <c r="ID4" s="6"/>
      <c r="IE4" s="6"/>
      <c r="IR4" s="6"/>
      <c r="IS4" s="6"/>
      <c r="JE4" s="6"/>
      <c r="JF4" s="6"/>
    </row>
    <row r="5" spans="1:270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12.183333333333335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C5" s="69" t="s">
        <v>49</v>
      </c>
      <c r="AD5" s="69"/>
      <c r="AE5" s="70">
        <f>SUM(AE47)</f>
        <v>25</v>
      </c>
      <c r="AF5" s="69" t="s">
        <v>22</v>
      </c>
      <c r="AG5" s="69"/>
      <c r="AH5" s="69" t="s">
        <v>23</v>
      </c>
      <c r="AI5" s="70">
        <f>SUM(AI47)</f>
        <v>0</v>
      </c>
      <c r="AJ5" s="71" t="s">
        <v>12</v>
      </c>
      <c r="AK5" s="71"/>
      <c r="AL5" s="72"/>
      <c r="AM5" s="69" t="s">
        <v>37</v>
      </c>
      <c r="AN5" s="70">
        <f>SUM(AL47)</f>
        <v>1</v>
      </c>
      <c r="AO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D5" s="69" t="s">
        <v>49</v>
      </c>
      <c r="BE5" s="69"/>
      <c r="BF5" s="70">
        <f>SUM(BF47)</f>
        <v>25</v>
      </c>
      <c r="BG5" s="69" t="s">
        <v>22</v>
      </c>
      <c r="BH5" s="69"/>
      <c r="BI5" s="69" t="s">
        <v>23</v>
      </c>
      <c r="BJ5" s="70">
        <f>SUM(BJ47)</f>
        <v>11.566666666666666</v>
      </c>
      <c r="BK5" s="71" t="s">
        <v>12</v>
      </c>
      <c r="BL5" s="71"/>
      <c r="BM5" s="72"/>
      <c r="BN5" s="69" t="s">
        <v>37</v>
      </c>
      <c r="BO5" s="70">
        <f>SUM(BM47)</f>
        <v>1</v>
      </c>
      <c r="BP5" s="73" t="s">
        <v>22</v>
      </c>
      <c r="BQ5" s="69" t="s">
        <v>49</v>
      </c>
      <c r="BR5" s="69"/>
      <c r="BS5" s="70">
        <f>SUM(BS47)</f>
        <v>24</v>
      </c>
      <c r="BT5" s="69" t="s">
        <v>22</v>
      </c>
      <c r="BU5" s="69"/>
      <c r="BV5" s="69" t="s">
        <v>23</v>
      </c>
      <c r="BW5" s="70">
        <f>SUM(BW47)</f>
        <v>0</v>
      </c>
      <c r="BX5" s="71" t="s">
        <v>12</v>
      </c>
      <c r="BY5" s="71"/>
      <c r="BZ5" s="72"/>
      <c r="CA5" s="69" t="s">
        <v>37</v>
      </c>
      <c r="CB5" s="70">
        <f>SUM(BZ47)</f>
        <v>1</v>
      </c>
      <c r="CC5" s="73" t="s">
        <v>22</v>
      </c>
      <c r="CE5" s="69" t="s">
        <v>49</v>
      </c>
      <c r="CF5" s="69"/>
      <c r="CG5" s="70">
        <f>SUM(CG47)</f>
        <v>24</v>
      </c>
      <c r="CH5" s="69" t="s">
        <v>22</v>
      </c>
      <c r="CI5" s="69"/>
      <c r="CJ5" s="69" t="s">
        <v>23</v>
      </c>
      <c r="CK5" s="70">
        <f>SUM(CK47)</f>
        <v>0</v>
      </c>
      <c r="CL5" s="71" t="s">
        <v>12</v>
      </c>
      <c r="CM5" s="71"/>
      <c r="CN5" s="72"/>
      <c r="CO5" s="69" t="s">
        <v>37</v>
      </c>
      <c r="CP5" s="70">
        <f>SUM(CN47)</f>
        <v>1</v>
      </c>
      <c r="CQ5" s="73" t="s">
        <v>22</v>
      </c>
      <c r="CR5" s="69" t="s">
        <v>49</v>
      </c>
      <c r="CS5" s="69"/>
      <c r="CT5" s="70">
        <f>SUM(CT47)</f>
        <v>24</v>
      </c>
      <c r="CU5" s="69" t="s">
        <v>22</v>
      </c>
      <c r="CV5" s="69"/>
      <c r="CW5" s="69" t="s">
        <v>23</v>
      </c>
      <c r="CX5" s="70">
        <f>SUM(CX47)</f>
        <v>0</v>
      </c>
      <c r="CY5" s="71" t="s">
        <v>12</v>
      </c>
      <c r="CZ5" s="71"/>
      <c r="DA5" s="72"/>
      <c r="DB5" s="69" t="s">
        <v>37</v>
      </c>
      <c r="DC5" s="70">
        <f>SUM(DA47)</f>
        <v>1</v>
      </c>
      <c r="DD5" s="73" t="s">
        <v>22</v>
      </c>
      <c r="DF5" s="69" t="s">
        <v>49</v>
      </c>
      <c r="DG5" s="69"/>
      <c r="DH5" s="70">
        <f>SUM(DH47)</f>
        <v>25</v>
      </c>
      <c r="DI5" s="69" t="s">
        <v>22</v>
      </c>
      <c r="DJ5" s="69"/>
      <c r="DK5" s="69" t="s">
        <v>23</v>
      </c>
      <c r="DL5" s="70">
        <f>SUM(DL47)</f>
        <v>0</v>
      </c>
      <c r="DM5" s="71" t="s">
        <v>12</v>
      </c>
      <c r="DN5" s="71"/>
      <c r="DO5" s="72"/>
      <c r="DP5" s="69" t="s">
        <v>37</v>
      </c>
      <c r="DQ5" s="70">
        <f>SUM(DO47)</f>
        <v>1</v>
      </c>
      <c r="DR5" s="73" t="s">
        <v>22</v>
      </c>
      <c r="DS5" s="69" t="s">
        <v>49</v>
      </c>
      <c r="DT5" s="69"/>
      <c r="DU5" s="70">
        <f>SUM(DU47)</f>
        <v>25</v>
      </c>
      <c r="DV5" s="69" t="s">
        <v>22</v>
      </c>
      <c r="DW5" s="69"/>
      <c r="DX5" s="69" t="s">
        <v>23</v>
      </c>
      <c r="DY5" s="70">
        <f>SUM(DY47)</f>
        <v>0</v>
      </c>
      <c r="DZ5" s="71" t="s">
        <v>12</v>
      </c>
      <c r="EA5" s="71"/>
      <c r="EB5" s="72"/>
      <c r="EC5" s="69" t="s">
        <v>37</v>
      </c>
      <c r="ED5" s="70">
        <f>SUM(EB47)</f>
        <v>1</v>
      </c>
      <c r="EE5" s="73" t="s">
        <v>22</v>
      </c>
      <c r="EG5" s="69" t="s">
        <v>49</v>
      </c>
      <c r="EH5" s="69"/>
      <c r="EI5" s="70">
        <f>SUM(EI47)</f>
        <v>24</v>
      </c>
      <c r="EJ5" s="69" t="s">
        <v>22</v>
      </c>
      <c r="EK5" s="69"/>
      <c r="EL5" s="69" t="s">
        <v>23</v>
      </c>
      <c r="EM5" s="70">
        <f>SUM(EM47)</f>
        <v>0</v>
      </c>
      <c r="EN5" s="71" t="s">
        <v>12</v>
      </c>
      <c r="EO5" s="71"/>
      <c r="EP5" s="72"/>
      <c r="EQ5" s="69" t="s">
        <v>37</v>
      </c>
      <c r="ER5" s="70">
        <f>SUM(EP47)</f>
        <v>1</v>
      </c>
      <c r="ES5" s="73" t="s">
        <v>22</v>
      </c>
      <c r="ET5" s="69" t="s">
        <v>49</v>
      </c>
      <c r="EU5" s="69"/>
      <c r="EV5" s="70">
        <f>SUM(EV47)</f>
        <v>25</v>
      </c>
      <c r="EW5" s="69" t="s">
        <v>22</v>
      </c>
      <c r="EX5" s="69"/>
      <c r="EY5" s="69" t="s">
        <v>23</v>
      </c>
      <c r="EZ5" s="70">
        <f>SUM(EZ47)</f>
        <v>0</v>
      </c>
      <c r="FA5" s="71" t="s">
        <v>12</v>
      </c>
      <c r="FB5" s="71"/>
      <c r="FC5" s="72"/>
      <c r="FD5" s="69" t="s">
        <v>37</v>
      </c>
      <c r="FE5" s="70">
        <f>SUM(FC47)</f>
        <v>1</v>
      </c>
      <c r="FF5" s="73" t="s">
        <v>22</v>
      </c>
      <c r="FH5" s="69" t="s">
        <v>49</v>
      </c>
      <c r="FI5" s="69"/>
      <c r="FJ5" s="70">
        <f>SUM(FJ47)</f>
        <v>25</v>
      </c>
      <c r="FK5" s="69" t="s">
        <v>22</v>
      </c>
      <c r="FL5" s="69"/>
      <c r="FM5" s="69" t="s">
        <v>23</v>
      </c>
      <c r="FN5" s="70">
        <f>SUM(FN47)</f>
        <v>0</v>
      </c>
      <c r="FO5" s="71" t="s">
        <v>12</v>
      </c>
      <c r="FP5" s="71"/>
      <c r="FQ5" s="72"/>
      <c r="FR5" s="69" t="s">
        <v>37</v>
      </c>
      <c r="FS5" s="70">
        <f>SUM(FQ47)</f>
        <v>1</v>
      </c>
      <c r="FT5" s="73" t="s">
        <v>22</v>
      </c>
      <c r="FU5" s="69" t="s">
        <v>49</v>
      </c>
      <c r="FV5" s="69"/>
      <c r="FW5" s="70">
        <f>SUM(FW47)</f>
        <v>24</v>
      </c>
      <c r="FX5" s="69" t="s">
        <v>22</v>
      </c>
      <c r="FY5" s="69"/>
      <c r="FZ5" s="69" t="s">
        <v>23</v>
      </c>
      <c r="GA5" s="70">
        <f>SUM(GA47)</f>
        <v>0</v>
      </c>
      <c r="GB5" s="71" t="s">
        <v>12</v>
      </c>
      <c r="GC5" s="71"/>
      <c r="GD5" s="72"/>
      <c r="GE5" s="69" t="s">
        <v>37</v>
      </c>
      <c r="GF5" s="70">
        <f>SUM(GD47)</f>
        <v>1</v>
      </c>
      <c r="GG5" s="73" t="s">
        <v>22</v>
      </c>
      <c r="GI5" s="69" t="s">
        <v>49</v>
      </c>
      <c r="GJ5" s="69"/>
      <c r="GK5" s="70">
        <f>SUM(GK47)</f>
        <v>24</v>
      </c>
      <c r="GL5" s="69" t="s">
        <v>22</v>
      </c>
      <c r="GM5" s="69"/>
      <c r="GN5" s="69" t="s">
        <v>23</v>
      </c>
      <c r="GO5" s="70">
        <f>SUM(GO47)</f>
        <v>12.016666666666662</v>
      </c>
      <c r="GP5" s="71" t="s">
        <v>12</v>
      </c>
      <c r="GQ5" s="71"/>
      <c r="GR5" s="72"/>
      <c r="GS5" s="69" t="s">
        <v>37</v>
      </c>
      <c r="GT5" s="70">
        <f>SUM(GR47)</f>
        <v>1</v>
      </c>
      <c r="GU5" s="73" t="s">
        <v>22</v>
      </c>
      <c r="GV5" s="69" t="s">
        <v>49</v>
      </c>
      <c r="GW5" s="69"/>
      <c r="GX5" s="70">
        <f>SUM(GX47)</f>
        <v>25</v>
      </c>
      <c r="GY5" s="69" t="s">
        <v>22</v>
      </c>
      <c r="GZ5" s="69"/>
      <c r="HA5" s="69" t="s">
        <v>23</v>
      </c>
      <c r="HB5" s="70">
        <f>SUM(HB47)</f>
        <v>0</v>
      </c>
      <c r="HC5" s="71" t="s">
        <v>12</v>
      </c>
      <c r="HD5" s="71"/>
      <c r="HE5" s="72"/>
      <c r="HF5" s="69" t="s">
        <v>37</v>
      </c>
      <c r="HG5" s="70">
        <f>SUM(HE47)</f>
        <v>1</v>
      </c>
      <c r="HH5" s="73" t="s">
        <v>22</v>
      </c>
      <c r="HJ5" s="69" t="s">
        <v>49</v>
      </c>
      <c r="HK5" s="69"/>
      <c r="HL5" s="70">
        <f>SUM(HL47)</f>
        <v>25</v>
      </c>
      <c r="HM5" s="69" t="s">
        <v>22</v>
      </c>
      <c r="HN5" s="69"/>
      <c r="HO5" s="69" t="s">
        <v>23</v>
      </c>
      <c r="HP5" s="70">
        <f>SUM(HP47)</f>
        <v>0</v>
      </c>
      <c r="HQ5" s="71" t="s">
        <v>12</v>
      </c>
      <c r="HR5" s="71"/>
      <c r="HS5" s="72"/>
      <c r="HT5" s="69" t="s">
        <v>37</v>
      </c>
      <c r="HU5" s="70">
        <f>SUM(HS47)</f>
        <v>1</v>
      </c>
      <c r="HV5" s="73" t="s">
        <v>22</v>
      </c>
      <c r="HW5" s="69" t="s">
        <v>49</v>
      </c>
      <c r="HX5" s="69"/>
      <c r="HY5" s="70">
        <f>SUM(HY47)</f>
        <v>25</v>
      </c>
      <c r="HZ5" s="69" t="s">
        <v>22</v>
      </c>
      <c r="IA5" s="69"/>
      <c r="IB5" s="69" t="s">
        <v>23</v>
      </c>
      <c r="IC5" s="70">
        <f>SUM(IC47)</f>
        <v>4.0499999999999989</v>
      </c>
      <c r="ID5" s="71" t="s">
        <v>12</v>
      </c>
      <c r="IE5" s="71"/>
      <c r="IF5" s="72"/>
      <c r="IG5" s="69" t="s">
        <v>37</v>
      </c>
      <c r="IH5" s="70">
        <f>SUM(IF47)</f>
        <v>1</v>
      </c>
      <c r="II5" s="73" t="s">
        <v>22</v>
      </c>
      <c r="IJ5" s="1"/>
      <c r="IK5" s="69" t="s">
        <v>49</v>
      </c>
      <c r="IL5" s="69"/>
      <c r="IM5" s="70">
        <f>SUM(IM47)</f>
        <v>23</v>
      </c>
      <c r="IN5" s="69" t="s">
        <v>22</v>
      </c>
      <c r="IO5" s="69"/>
      <c r="IP5" s="69" t="s">
        <v>23</v>
      </c>
      <c r="IQ5" s="70">
        <f>SUM(IQ47)</f>
        <v>0</v>
      </c>
      <c r="IR5" s="71" t="s">
        <v>12</v>
      </c>
      <c r="IS5" s="71"/>
      <c r="IT5" s="72"/>
      <c r="IU5" s="69" t="s">
        <v>37</v>
      </c>
      <c r="IV5" s="70">
        <f>SUM(IT47)</f>
        <v>1</v>
      </c>
      <c r="IW5" s="73" t="s">
        <v>22</v>
      </c>
      <c r="IX5" s="69" t="s">
        <v>49</v>
      </c>
      <c r="IY5" s="69"/>
      <c r="IZ5" s="70">
        <f>SUM(IZ47)</f>
        <v>25</v>
      </c>
      <c r="JA5" s="69" t="s">
        <v>22</v>
      </c>
      <c r="JB5" s="69"/>
      <c r="JC5" s="69" t="s">
        <v>23</v>
      </c>
      <c r="JD5" s="70">
        <f>SUM(JD47)</f>
        <v>0</v>
      </c>
      <c r="JE5" s="71" t="s">
        <v>12</v>
      </c>
      <c r="JF5" s="71"/>
      <c r="JG5" s="72"/>
      <c r="JH5" s="69" t="s">
        <v>37</v>
      </c>
      <c r="JI5" s="70">
        <f>SUM(JG47)</f>
        <v>1</v>
      </c>
      <c r="JJ5" s="73" t="s">
        <v>22</v>
      </c>
    </row>
    <row r="6" spans="1:270" s="74" customFormat="1" ht="20.149999999999999" customHeight="1" x14ac:dyDescent="0.35">
      <c r="A6" s="69" t="s">
        <v>21</v>
      </c>
      <c r="B6" s="69"/>
      <c r="C6" s="75">
        <f>SUM(E47)</f>
        <v>143.65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0</v>
      </c>
      <c r="M6" s="73" t="s">
        <v>12</v>
      </c>
      <c r="O6" s="69" t="s">
        <v>21</v>
      </c>
      <c r="P6" s="69"/>
      <c r="Q6" s="75">
        <f>SUM(S47)</f>
        <v>126.75000000000003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0</v>
      </c>
      <c r="AA6" s="73" t="s">
        <v>12</v>
      </c>
      <c r="AC6" s="69" t="s">
        <v>21</v>
      </c>
      <c r="AD6" s="69"/>
      <c r="AE6" s="75">
        <f>SUM(AG47)</f>
        <v>126.75000000000003</v>
      </c>
      <c r="AF6" s="69" t="s">
        <v>12</v>
      </c>
      <c r="AG6" s="69"/>
      <c r="AH6" s="69"/>
      <c r="AI6" s="69"/>
      <c r="AJ6" s="76"/>
      <c r="AK6" s="76"/>
      <c r="AL6" s="72"/>
      <c r="AM6" s="69" t="s">
        <v>36</v>
      </c>
      <c r="AN6" s="77">
        <f>SUM(AN47)</f>
        <v>0</v>
      </c>
      <c r="AO6" s="73" t="s">
        <v>12</v>
      </c>
      <c r="AP6" s="69" t="s">
        <v>21</v>
      </c>
      <c r="AQ6" s="69"/>
      <c r="AR6" s="75">
        <f>SUM(AT47)</f>
        <v>142.73333333333335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0</v>
      </c>
      <c r="BB6" s="73" t="s">
        <v>12</v>
      </c>
      <c r="BD6" s="69" t="s">
        <v>21</v>
      </c>
      <c r="BE6" s="69"/>
      <c r="BF6" s="75">
        <f>SUM(BH47)</f>
        <v>142.06666666666669</v>
      </c>
      <c r="BG6" s="69" t="s">
        <v>12</v>
      </c>
      <c r="BH6" s="69"/>
      <c r="BI6" s="69"/>
      <c r="BJ6" s="69"/>
      <c r="BK6" s="76"/>
      <c r="BL6" s="76"/>
      <c r="BM6" s="72"/>
      <c r="BN6" s="69" t="s">
        <v>36</v>
      </c>
      <c r="BO6" s="77">
        <f>SUM(BO47)</f>
        <v>0</v>
      </c>
      <c r="BP6" s="73" t="s">
        <v>12</v>
      </c>
      <c r="BQ6" s="69" t="s">
        <v>21</v>
      </c>
      <c r="BR6" s="69"/>
      <c r="BS6" s="75">
        <f>SUM(BU47)</f>
        <v>119.18333333333334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0</v>
      </c>
      <c r="CC6" s="73" t="s">
        <v>12</v>
      </c>
      <c r="CE6" s="69" t="s">
        <v>21</v>
      </c>
      <c r="CF6" s="69"/>
      <c r="CG6" s="75">
        <f>SUM(CI47)</f>
        <v>121.06666666666669</v>
      </c>
      <c r="CH6" s="69" t="s">
        <v>12</v>
      </c>
      <c r="CI6" s="69"/>
      <c r="CJ6" s="69"/>
      <c r="CK6" s="69"/>
      <c r="CL6" s="76"/>
      <c r="CM6" s="76"/>
      <c r="CN6" s="72"/>
      <c r="CO6" s="69" t="s">
        <v>36</v>
      </c>
      <c r="CP6" s="77">
        <f>SUM(CP47)</f>
        <v>0</v>
      </c>
      <c r="CQ6" s="73" t="s">
        <v>12</v>
      </c>
      <c r="CR6" s="69" t="s">
        <v>21</v>
      </c>
      <c r="CS6" s="69"/>
      <c r="CT6" s="75">
        <f>SUM(CV47)</f>
        <v>120.43333333333335</v>
      </c>
      <c r="CU6" s="69" t="s">
        <v>12</v>
      </c>
      <c r="CV6" s="69"/>
      <c r="CW6" s="69"/>
      <c r="CX6" s="69"/>
      <c r="CY6" s="76"/>
      <c r="CZ6" s="76"/>
      <c r="DA6" s="72"/>
      <c r="DB6" s="69" t="s">
        <v>36</v>
      </c>
      <c r="DC6" s="77">
        <f>SUM(DC47)</f>
        <v>0</v>
      </c>
      <c r="DD6" s="73" t="s">
        <v>12</v>
      </c>
      <c r="DF6" s="69" t="s">
        <v>21</v>
      </c>
      <c r="DG6" s="69"/>
      <c r="DH6" s="75">
        <f>SUM(DJ47)</f>
        <v>126.75000000000003</v>
      </c>
      <c r="DI6" s="69" t="s">
        <v>12</v>
      </c>
      <c r="DJ6" s="69"/>
      <c r="DK6" s="69"/>
      <c r="DL6" s="69"/>
      <c r="DM6" s="76"/>
      <c r="DN6" s="76"/>
      <c r="DO6" s="72"/>
      <c r="DP6" s="69" t="s">
        <v>36</v>
      </c>
      <c r="DQ6" s="77">
        <f>SUM(DQ47)</f>
        <v>0</v>
      </c>
      <c r="DR6" s="73" t="s">
        <v>12</v>
      </c>
      <c r="DS6" s="69" t="s">
        <v>21</v>
      </c>
      <c r="DT6" s="69"/>
      <c r="DU6" s="75">
        <f>SUM(DW47)</f>
        <v>124.16666666666666</v>
      </c>
      <c r="DV6" s="69" t="s">
        <v>12</v>
      </c>
      <c r="DW6" s="69"/>
      <c r="DX6" s="69"/>
      <c r="DY6" s="69"/>
      <c r="DZ6" s="76"/>
      <c r="EA6" s="76"/>
      <c r="EB6" s="72"/>
      <c r="EC6" s="69" t="s">
        <v>36</v>
      </c>
      <c r="ED6" s="77">
        <f>SUM(ED47)</f>
        <v>0</v>
      </c>
      <c r="EE6" s="73" t="s">
        <v>12</v>
      </c>
      <c r="EG6" s="69" t="s">
        <v>21</v>
      </c>
      <c r="EH6" s="69"/>
      <c r="EI6" s="75">
        <f>SUM(EK47)</f>
        <v>120.43333333333335</v>
      </c>
      <c r="EJ6" s="69" t="s">
        <v>12</v>
      </c>
      <c r="EK6" s="69"/>
      <c r="EL6" s="69"/>
      <c r="EM6" s="69"/>
      <c r="EN6" s="76"/>
      <c r="EO6" s="76"/>
      <c r="EP6" s="72"/>
      <c r="EQ6" s="69" t="s">
        <v>36</v>
      </c>
      <c r="ER6" s="77">
        <f>SUM(ER47)</f>
        <v>0</v>
      </c>
      <c r="ES6" s="73" t="s">
        <v>12</v>
      </c>
      <c r="ET6" s="69" t="s">
        <v>21</v>
      </c>
      <c r="EU6" s="69"/>
      <c r="EV6" s="75">
        <f>SUM(EX47)</f>
        <v>126.75000000000003</v>
      </c>
      <c r="EW6" s="69" t="s">
        <v>12</v>
      </c>
      <c r="EX6" s="69"/>
      <c r="EY6" s="69"/>
      <c r="EZ6" s="69"/>
      <c r="FA6" s="76"/>
      <c r="FB6" s="76"/>
      <c r="FC6" s="72"/>
      <c r="FD6" s="69" t="s">
        <v>36</v>
      </c>
      <c r="FE6" s="77">
        <f>SUM(FE47)</f>
        <v>0</v>
      </c>
      <c r="FF6" s="73" t="s">
        <v>12</v>
      </c>
      <c r="FH6" s="69" t="s">
        <v>21</v>
      </c>
      <c r="FI6" s="69"/>
      <c r="FJ6" s="75">
        <f>SUM(FL47)</f>
        <v>126.75000000000003</v>
      </c>
      <c r="FK6" s="69" t="s">
        <v>12</v>
      </c>
      <c r="FL6" s="69"/>
      <c r="FM6" s="69"/>
      <c r="FN6" s="69"/>
      <c r="FO6" s="76"/>
      <c r="FP6" s="76"/>
      <c r="FQ6" s="72"/>
      <c r="FR6" s="69" t="s">
        <v>36</v>
      </c>
      <c r="FS6" s="77">
        <f>SUM(FS47)</f>
        <v>0</v>
      </c>
      <c r="FT6" s="73" t="s">
        <v>12</v>
      </c>
      <c r="FU6" s="69" t="s">
        <v>21</v>
      </c>
      <c r="FV6" s="69"/>
      <c r="FW6" s="75">
        <f>SUM(FY47)</f>
        <v>121.68333333333335</v>
      </c>
      <c r="FX6" s="69" t="s">
        <v>12</v>
      </c>
      <c r="FY6" s="69"/>
      <c r="FZ6" s="69"/>
      <c r="GA6" s="69"/>
      <c r="GB6" s="76"/>
      <c r="GC6" s="76"/>
      <c r="GD6" s="72"/>
      <c r="GE6" s="69" t="s">
        <v>36</v>
      </c>
      <c r="GF6" s="77">
        <f>SUM(GF47)</f>
        <v>0</v>
      </c>
      <c r="GG6" s="73" t="s">
        <v>12</v>
      </c>
      <c r="GI6" s="69" t="s">
        <v>21</v>
      </c>
      <c r="GJ6" s="69"/>
      <c r="GK6" s="75">
        <f>SUM(GM47)</f>
        <v>120.58333333333336</v>
      </c>
      <c r="GL6" s="69" t="s">
        <v>12</v>
      </c>
      <c r="GM6" s="69"/>
      <c r="GN6" s="69"/>
      <c r="GO6" s="69"/>
      <c r="GP6" s="76"/>
      <c r="GQ6" s="76"/>
      <c r="GR6" s="72"/>
      <c r="GS6" s="69" t="s">
        <v>36</v>
      </c>
      <c r="GT6" s="77">
        <f>SUM(GT47)</f>
        <v>0</v>
      </c>
      <c r="GU6" s="73" t="s">
        <v>12</v>
      </c>
      <c r="GV6" s="69" t="s">
        <v>21</v>
      </c>
      <c r="GW6" s="69"/>
      <c r="GX6" s="75">
        <f>SUM(GZ47)</f>
        <v>126.75000000000003</v>
      </c>
      <c r="GY6" s="69" t="s">
        <v>12</v>
      </c>
      <c r="GZ6" s="69"/>
      <c r="HA6" s="69"/>
      <c r="HB6" s="69"/>
      <c r="HC6" s="76"/>
      <c r="HD6" s="76"/>
      <c r="HE6" s="72"/>
      <c r="HF6" s="69" t="s">
        <v>36</v>
      </c>
      <c r="HG6" s="77">
        <f>SUM(HG47)</f>
        <v>0</v>
      </c>
      <c r="HH6" s="73" t="s">
        <v>12</v>
      </c>
      <c r="HJ6" s="69" t="s">
        <v>21</v>
      </c>
      <c r="HK6" s="69"/>
      <c r="HL6" s="75">
        <f>SUM(HN47)</f>
        <v>126.75000000000003</v>
      </c>
      <c r="HM6" s="69" t="s">
        <v>12</v>
      </c>
      <c r="HN6" s="69"/>
      <c r="HO6" s="69"/>
      <c r="HP6" s="69"/>
      <c r="HQ6" s="76"/>
      <c r="HR6" s="76"/>
      <c r="HS6" s="72"/>
      <c r="HT6" s="69" t="s">
        <v>36</v>
      </c>
      <c r="HU6" s="77">
        <f>SUM(HU47)</f>
        <v>0</v>
      </c>
      <c r="HV6" s="73" t="s">
        <v>12</v>
      </c>
      <c r="HW6" s="69" t="s">
        <v>21</v>
      </c>
      <c r="HX6" s="69"/>
      <c r="HY6" s="75">
        <f>SUM(IA47)</f>
        <v>126.75000000000003</v>
      </c>
      <c r="HZ6" s="69" t="s">
        <v>12</v>
      </c>
      <c r="IA6" s="69"/>
      <c r="IB6" s="69"/>
      <c r="IC6" s="69"/>
      <c r="ID6" s="76"/>
      <c r="IE6" s="76"/>
      <c r="IF6" s="72"/>
      <c r="IG6" s="69" t="s">
        <v>36</v>
      </c>
      <c r="IH6" s="77">
        <f>SUM(IH47)</f>
        <v>0</v>
      </c>
      <c r="II6" s="73" t="s">
        <v>12</v>
      </c>
      <c r="IJ6"/>
      <c r="IK6" s="69" t="s">
        <v>21</v>
      </c>
      <c r="IL6" s="69"/>
      <c r="IM6" s="75">
        <f>SUM(IO47)</f>
        <v>90.11666666666666</v>
      </c>
      <c r="IN6" s="69" t="s">
        <v>12</v>
      </c>
      <c r="IO6" s="69"/>
      <c r="IP6" s="69"/>
      <c r="IQ6" s="69"/>
      <c r="IR6" s="76"/>
      <c r="IS6" s="76"/>
      <c r="IT6" s="72"/>
      <c r="IU6" s="69" t="s">
        <v>36</v>
      </c>
      <c r="IV6" s="77">
        <f>SUM(IV47)</f>
        <v>0</v>
      </c>
      <c r="IW6" s="73" t="s">
        <v>12</v>
      </c>
      <c r="IX6" s="69" t="s">
        <v>21</v>
      </c>
      <c r="IY6" s="69"/>
      <c r="IZ6" s="75">
        <f>SUM(JB47)</f>
        <v>126.75000000000003</v>
      </c>
      <c r="JA6" s="69" t="s">
        <v>12</v>
      </c>
      <c r="JB6" s="69"/>
      <c r="JC6" s="69"/>
      <c r="JD6" s="69"/>
      <c r="JE6" s="76"/>
      <c r="JF6" s="76"/>
      <c r="JG6" s="72"/>
      <c r="JH6" s="69" t="s">
        <v>36</v>
      </c>
      <c r="JI6" s="77">
        <f>SUM(JI47)</f>
        <v>4</v>
      </c>
      <c r="JJ6" s="73" t="s">
        <v>12</v>
      </c>
    </row>
    <row r="7" spans="1:270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C7" s="21"/>
      <c r="AD7" s="21"/>
      <c r="AE7" s="21"/>
      <c r="AF7" s="21"/>
      <c r="AG7" s="21"/>
      <c r="AH7" s="39" t="s">
        <v>59</v>
      </c>
      <c r="AI7" s="21"/>
      <c r="AJ7" s="22"/>
      <c r="AK7" s="33" t="s">
        <v>35</v>
      </c>
      <c r="AL7" s="38"/>
      <c r="AM7" s="21"/>
      <c r="AN7" s="39" t="s">
        <v>60</v>
      </c>
      <c r="AO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D7" s="21"/>
      <c r="BE7" s="21"/>
      <c r="BF7" s="21"/>
      <c r="BG7" s="21"/>
      <c r="BH7" s="21"/>
      <c r="BI7" s="39" t="s">
        <v>59</v>
      </c>
      <c r="BJ7" s="21"/>
      <c r="BK7" s="22"/>
      <c r="BL7" s="33" t="s">
        <v>35</v>
      </c>
      <c r="BM7" s="38"/>
      <c r="BN7" s="21"/>
      <c r="BO7" s="39" t="s">
        <v>60</v>
      </c>
      <c r="BP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E7" s="21"/>
      <c r="CF7" s="21"/>
      <c r="CG7" s="21"/>
      <c r="CH7" s="21"/>
      <c r="CI7" s="21"/>
      <c r="CJ7" s="39" t="s">
        <v>59</v>
      </c>
      <c r="CK7" s="21"/>
      <c r="CL7" s="22"/>
      <c r="CM7" s="33" t="s">
        <v>35</v>
      </c>
      <c r="CN7" s="38"/>
      <c r="CO7" s="21"/>
      <c r="CP7" s="39" t="s">
        <v>60</v>
      </c>
      <c r="CQ7" s="38"/>
      <c r="CR7" s="21"/>
      <c r="CS7" s="21"/>
      <c r="CT7" s="21"/>
      <c r="CU7" s="21"/>
      <c r="CV7" s="21"/>
      <c r="CW7" s="39" t="s">
        <v>59</v>
      </c>
      <c r="CX7" s="21"/>
      <c r="CY7" s="22"/>
      <c r="CZ7" s="33" t="s">
        <v>35</v>
      </c>
      <c r="DA7" s="38"/>
      <c r="DB7" s="21"/>
      <c r="DC7" s="39" t="s">
        <v>60</v>
      </c>
      <c r="DD7" s="38"/>
      <c r="DF7" s="21"/>
      <c r="DG7" s="21"/>
      <c r="DH7" s="21"/>
      <c r="DI7" s="21"/>
      <c r="DJ7" s="21"/>
      <c r="DK7" s="39" t="s">
        <v>59</v>
      </c>
      <c r="DL7" s="21"/>
      <c r="DM7" s="22"/>
      <c r="DN7" s="33" t="s">
        <v>35</v>
      </c>
      <c r="DO7" s="38"/>
      <c r="DP7" s="21"/>
      <c r="DQ7" s="39" t="s">
        <v>60</v>
      </c>
      <c r="DR7" s="38"/>
      <c r="DS7" s="21"/>
      <c r="DT7" s="21"/>
      <c r="DU7" s="21"/>
      <c r="DV7" s="21"/>
      <c r="DW7" s="21"/>
      <c r="DX7" s="39" t="s">
        <v>59</v>
      </c>
      <c r="DY7" s="21"/>
      <c r="DZ7" s="22"/>
      <c r="EA7" s="33" t="s">
        <v>35</v>
      </c>
      <c r="EB7" s="38"/>
      <c r="EC7" s="21"/>
      <c r="ED7" s="39" t="s">
        <v>60</v>
      </c>
      <c r="EE7" s="38"/>
      <c r="EG7" s="21"/>
      <c r="EH7" s="21"/>
      <c r="EI7" s="21"/>
      <c r="EJ7" s="21"/>
      <c r="EK7" s="21"/>
      <c r="EL7" s="39" t="s">
        <v>59</v>
      </c>
      <c r="EM7" s="21"/>
      <c r="EN7" s="22"/>
      <c r="EO7" s="33" t="s">
        <v>35</v>
      </c>
      <c r="EP7" s="38"/>
      <c r="EQ7" s="21"/>
      <c r="ER7" s="39" t="s">
        <v>60</v>
      </c>
      <c r="ES7" s="38"/>
      <c r="ET7" s="21"/>
      <c r="EU7" s="21"/>
      <c r="EV7" s="21"/>
      <c r="EW7" s="21"/>
      <c r="EX7" s="21"/>
      <c r="EY7" s="39" t="s">
        <v>59</v>
      </c>
      <c r="EZ7" s="21"/>
      <c r="FA7" s="22"/>
      <c r="FB7" s="33" t="s">
        <v>35</v>
      </c>
      <c r="FC7" s="38"/>
      <c r="FD7" s="21"/>
      <c r="FE7" s="39" t="s">
        <v>60</v>
      </c>
      <c r="FF7" s="38"/>
      <c r="FH7" s="21"/>
      <c r="FI7" s="21"/>
      <c r="FJ7" s="21"/>
      <c r="FK7" s="21"/>
      <c r="FL7" s="21"/>
      <c r="FM7" s="39" t="s">
        <v>59</v>
      </c>
      <c r="FN7" s="21"/>
      <c r="FO7" s="22"/>
      <c r="FP7" s="33" t="s">
        <v>35</v>
      </c>
      <c r="FQ7" s="38"/>
      <c r="FR7" s="21"/>
      <c r="FS7" s="39" t="s">
        <v>60</v>
      </c>
      <c r="FT7" s="38"/>
      <c r="FU7" s="21"/>
      <c r="FV7" s="21"/>
      <c r="FW7" s="21"/>
      <c r="FX7" s="21"/>
      <c r="FY7" s="21"/>
      <c r="FZ7" s="39" t="s">
        <v>59</v>
      </c>
      <c r="GA7" s="21"/>
      <c r="GB7" s="22"/>
      <c r="GC7" s="33" t="s">
        <v>35</v>
      </c>
      <c r="GD7" s="38"/>
      <c r="GE7" s="21"/>
      <c r="GF7" s="39" t="s">
        <v>60</v>
      </c>
      <c r="GG7" s="38"/>
      <c r="GI7" s="21"/>
      <c r="GJ7" s="21"/>
      <c r="GK7" s="21"/>
      <c r="GL7" s="21"/>
      <c r="GM7" s="21"/>
      <c r="GN7" s="39" t="s">
        <v>59</v>
      </c>
      <c r="GO7" s="21"/>
      <c r="GP7" s="22"/>
      <c r="GQ7" s="33" t="s">
        <v>35</v>
      </c>
      <c r="GR7" s="38"/>
      <c r="GS7" s="21"/>
      <c r="GT7" s="39" t="s">
        <v>60</v>
      </c>
      <c r="GU7" s="38"/>
      <c r="GV7" s="21"/>
      <c r="GW7" s="21"/>
      <c r="GX7" s="21"/>
      <c r="GY7" s="21"/>
      <c r="GZ7" s="21"/>
      <c r="HA7" s="39" t="s">
        <v>59</v>
      </c>
      <c r="HB7" s="21"/>
      <c r="HC7" s="22"/>
      <c r="HD7" s="33" t="s">
        <v>35</v>
      </c>
      <c r="HE7" s="38"/>
      <c r="HF7" s="21"/>
      <c r="HG7" s="39" t="s">
        <v>60</v>
      </c>
      <c r="HH7" s="38"/>
      <c r="HJ7" s="21"/>
      <c r="HK7" s="21"/>
      <c r="HL7" s="21"/>
      <c r="HM7" s="21"/>
      <c r="HN7" s="21"/>
      <c r="HO7" s="39" t="s">
        <v>59</v>
      </c>
      <c r="HP7" s="21"/>
      <c r="HQ7" s="22"/>
      <c r="HR7" s="33" t="s">
        <v>35</v>
      </c>
      <c r="HS7" s="38"/>
      <c r="HT7" s="21"/>
      <c r="HU7" s="39" t="s">
        <v>60</v>
      </c>
      <c r="HV7" s="38"/>
      <c r="HW7" s="21"/>
      <c r="HX7" s="21"/>
      <c r="HY7" s="21"/>
      <c r="HZ7" s="21"/>
      <c r="IA7" s="21"/>
      <c r="IB7" s="39" t="s">
        <v>59</v>
      </c>
      <c r="IC7" s="21"/>
      <c r="ID7" s="22"/>
      <c r="IE7" s="33" t="s">
        <v>35</v>
      </c>
      <c r="IF7" s="38"/>
      <c r="IG7" s="21"/>
      <c r="IH7" s="39" t="s">
        <v>60</v>
      </c>
      <c r="II7" s="38"/>
      <c r="IJ7" s="1"/>
      <c r="IK7" s="21"/>
      <c r="IL7" s="21"/>
      <c r="IM7" s="21"/>
      <c r="IN7" s="21"/>
      <c r="IO7" s="21"/>
      <c r="IP7" s="39" t="s">
        <v>59</v>
      </c>
      <c r="IQ7" s="21"/>
      <c r="IR7" s="22"/>
      <c r="IS7" s="33" t="s">
        <v>35</v>
      </c>
      <c r="IT7" s="38"/>
      <c r="IU7" s="21"/>
      <c r="IV7" s="39" t="s">
        <v>60</v>
      </c>
      <c r="IW7" s="38"/>
      <c r="IX7" s="21"/>
      <c r="IY7" s="21"/>
      <c r="IZ7" s="21"/>
      <c r="JA7" s="21"/>
      <c r="JB7" s="21"/>
      <c r="JC7" s="39" t="s">
        <v>59</v>
      </c>
      <c r="JD7" s="21"/>
      <c r="JE7" s="22"/>
      <c r="JF7" s="33" t="s">
        <v>35</v>
      </c>
      <c r="JG7" s="38"/>
      <c r="JH7" s="21"/>
      <c r="JI7" s="39" t="s">
        <v>60</v>
      </c>
      <c r="JJ7" s="38"/>
    </row>
    <row r="8" spans="1:270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C8" s="165" t="s">
        <v>0</v>
      </c>
      <c r="AD8" s="166"/>
      <c r="AE8" s="42" t="s">
        <v>7</v>
      </c>
      <c r="AF8" s="42" t="s">
        <v>8</v>
      </c>
      <c r="AG8" s="42" t="s">
        <v>7</v>
      </c>
      <c r="AH8" s="42" t="s">
        <v>8</v>
      </c>
      <c r="AI8" s="83" t="s">
        <v>9</v>
      </c>
      <c r="AJ8" s="23" t="s">
        <v>10</v>
      </c>
      <c r="AK8" s="34" t="s">
        <v>34</v>
      </c>
      <c r="AL8" s="83" t="s">
        <v>11</v>
      </c>
      <c r="AM8" s="42" t="s">
        <v>13</v>
      </c>
      <c r="AN8" s="83" t="s">
        <v>14</v>
      </c>
      <c r="AO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D8" s="165" t="s">
        <v>0</v>
      </c>
      <c r="BE8" s="166"/>
      <c r="BF8" s="42" t="s">
        <v>7</v>
      </c>
      <c r="BG8" s="42" t="s">
        <v>8</v>
      </c>
      <c r="BH8" s="42" t="s">
        <v>7</v>
      </c>
      <c r="BI8" s="42" t="s">
        <v>8</v>
      </c>
      <c r="BJ8" s="83" t="s">
        <v>9</v>
      </c>
      <c r="BK8" s="23" t="s">
        <v>10</v>
      </c>
      <c r="BL8" s="34" t="s">
        <v>34</v>
      </c>
      <c r="BM8" s="83" t="s">
        <v>11</v>
      </c>
      <c r="BN8" s="42" t="s">
        <v>13</v>
      </c>
      <c r="BO8" s="83" t="s">
        <v>14</v>
      </c>
      <c r="BP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E8" s="165" t="s">
        <v>0</v>
      </c>
      <c r="CF8" s="166"/>
      <c r="CG8" s="42" t="s">
        <v>7</v>
      </c>
      <c r="CH8" s="42" t="s">
        <v>8</v>
      </c>
      <c r="CI8" s="42" t="s">
        <v>7</v>
      </c>
      <c r="CJ8" s="42" t="s">
        <v>8</v>
      </c>
      <c r="CK8" s="83" t="s">
        <v>9</v>
      </c>
      <c r="CL8" s="23" t="s">
        <v>10</v>
      </c>
      <c r="CM8" s="34" t="s">
        <v>34</v>
      </c>
      <c r="CN8" s="83" t="s">
        <v>11</v>
      </c>
      <c r="CO8" s="42" t="s">
        <v>13</v>
      </c>
      <c r="CP8" s="83" t="s">
        <v>14</v>
      </c>
      <c r="CQ8" s="42" t="s">
        <v>15</v>
      </c>
      <c r="CR8" s="165" t="s">
        <v>0</v>
      </c>
      <c r="CS8" s="166"/>
      <c r="CT8" s="42" t="s">
        <v>7</v>
      </c>
      <c r="CU8" s="42" t="s">
        <v>8</v>
      </c>
      <c r="CV8" s="42" t="s">
        <v>7</v>
      </c>
      <c r="CW8" s="42" t="s">
        <v>8</v>
      </c>
      <c r="CX8" s="83" t="s">
        <v>9</v>
      </c>
      <c r="CY8" s="23" t="s">
        <v>10</v>
      </c>
      <c r="CZ8" s="34" t="s">
        <v>34</v>
      </c>
      <c r="DA8" s="83" t="s">
        <v>11</v>
      </c>
      <c r="DB8" s="42" t="s">
        <v>13</v>
      </c>
      <c r="DC8" s="83" t="s">
        <v>14</v>
      </c>
      <c r="DD8" s="42" t="s">
        <v>15</v>
      </c>
      <c r="DF8" s="165" t="s">
        <v>0</v>
      </c>
      <c r="DG8" s="166"/>
      <c r="DH8" s="42" t="s">
        <v>7</v>
      </c>
      <c r="DI8" s="42" t="s">
        <v>8</v>
      </c>
      <c r="DJ8" s="42" t="s">
        <v>7</v>
      </c>
      <c r="DK8" s="42" t="s">
        <v>8</v>
      </c>
      <c r="DL8" s="83" t="s">
        <v>9</v>
      </c>
      <c r="DM8" s="23" t="s">
        <v>10</v>
      </c>
      <c r="DN8" s="34" t="s">
        <v>34</v>
      </c>
      <c r="DO8" s="83" t="s">
        <v>11</v>
      </c>
      <c r="DP8" s="42" t="s">
        <v>13</v>
      </c>
      <c r="DQ8" s="83" t="s">
        <v>14</v>
      </c>
      <c r="DR8" s="42" t="s">
        <v>15</v>
      </c>
      <c r="DS8" s="165" t="s">
        <v>0</v>
      </c>
      <c r="DT8" s="166"/>
      <c r="DU8" s="42" t="s">
        <v>7</v>
      </c>
      <c r="DV8" s="42" t="s">
        <v>8</v>
      </c>
      <c r="DW8" s="42" t="s">
        <v>7</v>
      </c>
      <c r="DX8" s="42" t="s">
        <v>8</v>
      </c>
      <c r="DY8" s="83" t="s">
        <v>9</v>
      </c>
      <c r="DZ8" s="23" t="s">
        <v>10</v>
      </c>
      <c r="EA8" s="34" t="s">
        <v>34</v>
      </c>
      <c r="EB8" s="83" t="s">
        <v>11</v>
      </c>
      <c r="EC8" s="42" t="s">
        <v>13</v>
      </c>
      <c r="ED8" s="83" t="s">
        <v>14</v>
      </c>
      <c r="EE8" s="42" t="s">
        <v>15</v>
      </c>
      <c r="EG8" s="165" t="s">
        <v>0</v>
      </c>
      <c r="EH8" s="166"/>
      <c r="EI8" s="42" t="s">
        <v>7</v>
      </c>
      <c r="EJ8" s="42" t="s">
        <v>8</v>
      </c>
      <c r="EK8" s="42" t="s">
        <v>7</v>
      </c>
      <c r="EL8" s="42" t="s">
        <v>8</v>
      </c>
      <c r="EM8" s="83" t="s">
        <v>9</v>
      </c>
      <c r="EN8" s="23" t="s">
        <v>10</v>
      </c>
      <c r="EO8" s="34" t="s">
        <v>34</v>
      </c>
      <c r="EP8" s="83" t="s">
        <v>11</v>
      </c>
      <c r="EQ8" s="42" t="s">
        <v>13</v>
      </c>
      <c r="ER8" s="83" t="s">
        <v>14</v>
      </c>
      <c r="ES8" s="42" t="s">
        <v>15</v>
      </c>
      <c r="ET8" s="165" t="s">
        <v>0</v>
      </c>
      <c r="EU8" s="166"/>
      <c r="EV8" s="42" t="s">
        <v>7</v>
      </c>
      <c r="EW8" s="42" t="s">
        <v>8</v>
      </c>
      <c r="EX8" s="42" t="s">
        <v>7</v>
      </c>
      <c r="EY8" s="42" t="s">
        <v>8</v>
      </c>
      <c r="EZ8" s="83" t="s">
        <v>9</v>
      </c>
      <c r="FA8" s="23" t="s">
        <v>10</v>
      </c>
      <c r="FB8" s="34" t="s">
        <v>34</v>
      </c>
      <c r="FC8" s="83" t="s">
        <v>11</v>
      </c>
      <c r="FD8" s="42" t="s">
        <v>13</v>
      </c>
      <c r="FE8" s="83" t="s">
        <v>14</v>
      </c>
      <c r="FF8" s="42" t="s">
        <v>15</v>
      </c>
      <c r="FH8" s="165" t="s">
        <v>0</v>
      </c>
      <c r="FI8" s="166"/>
      <c r="FJ8" s="42" t="s">
        <v>7</v>
      </c>
      <c r="FK8" s="42" t="s">
        <v>8</v>
      </c>
      <c r="FL8" s="42" t="s">
        <v>7</v>
      </c>
      <c r="FM8" s="42" t="s">
        <v>8</v>
      </c>
      <c r="FN8" s="83" t="s">
        <v>9</v>
      </c>
      <c r="FO8" s="23" t="s">
        <v>10</v>
      </c>
      <c r="FP8" s="34" t="s">
        <v>34</v>
      </c>
      <c r="FQ8" s="83" t="s">
        <v>11</v>
      </c>
      <c r="FR8" s="42" t="s">
        <v>13</v>
      </c>
      <c r="FS8" s="83" t="s">
        <v>14</v>
      </c>
      <c r="FT8" s="42" t="s">
        <v>15</v>
      </c>
      <c r="FU8" s="165" t="s">
        <v>0</v>
      </c>
      <c r="FV8" s="166"/>
      <c r="FW8" s="42" t="s">
        <v>7</v>
      </c>
      <c r="FX8" s="42" t="s">
        <v>8</v>
      </c>
      <c r="FY8" s="42" t="s">
        <v>7</v>
      </c>
      <c r="FZ8" s="42" t="s">
        <v>8</v>
      </c>
      <c r="GA8" s="83" t="s">
        <v>9</v>
      </c>
      <c r="GB8" s="23" t="s">
        <v>10</v>
      </c>
      <c r="GC8" s="34" t="s">
        <v>34</v>
      </c>
      <c r="GD8" s="83" t="s">
        <v>11</v>
      </c>
      <c r="GE8" s="42" t="s">
        <v>13</v>
      </c>
      <c r="GF8" s="83" t="s">
        <v>14</v>
      </c>
      <c r="GG8" s="42" t="s">
        <v>15</v>
      </c>
      <c r="GI8" s="165" t="s">
        <v>0</v>
      </c>
      <c r="GJ8" s="166"/>
      <c r="GK8" s="42" t="s">
        <v>7</v>
      </c>
      <c r="GL8" s="42" t="s">
        <v>8</v>
      </c>
      <c r="GM8" s="42" t="s">
        <v>7</v>
      </c>
      <c r="GN8" s="42" t="s">
        <v>8</v>
      </c>
      <c r="GO8" s="83" t="s">
        <v>9</v>
      </c>
      <c r="GP8" s="23" t="s">
        <v>10</v>
      </c>
      <c r="GQ8" s="34" t="s">
        <v>34</v>
      </c>
      <c r="GR8" s="83" t="s">
        <v>11</v>
      </c>
      <c r="GS8" s="42" t="s">
        <v>13</v>
      </c>
      <c r="GT8" s="83" t="s">
        <v>14</v>
      </c>
      <c r="GU8" s="42" t="s">
        <v>15</v>
      </c>
      <c r="GV8" s="165" t="s">
        <v>0</v>
      </c>
      <c r="GW8" s="166"/>
      <c r="GX8" s="42" t="s">
        <v>7</v>
      </c>
      <c r="GY8" s="42" t="s">
        <v>8</v>
      </c>
      <c r="GZ8" s="42" t="s">
        <v>7</v>
      </c>
      <c r="HA8" s="42" t="s">
        <v>8</v>
      </c>
      <c r="HB8" s="83" t="s">
        <v>9</v>
      </c>
      <c r="HC8" s="23" t="s">
        <v>10</v>
      </c>
      <c r="HD8" s="34" t="s">
        <v>34</v>
      </c>
      <c r="HE8" s="83" t="s">
        <v>11</v>
      </c>
      <c r="HF8" s="42" t="s">
        <v>13</v>
      </c>
      <c r="HG8" s="83" t="s">
        <v>14</v>
      </c>
      <c r="HH8" s="42" t="s">
        <v>15</v>
      </c>
      <c r="HJ8" s="165" t="s">
        <v>0</v>
      </c>
      <c r="HK8" s="166"/>
      <c r="HL8" s="42" t="s">
        <v>7</v>
      </c>
      <c r="HM8" s="42" t="s">
        <v>8</v>
      </c>
      <c r="HN8" s="42" t="s">
        <v>7</v>
      </c>
      <c r="HO8" s="42" t="s">
        <v>8</v>
      </c>
      <c r="HP8" s="83" t="s">
        <v>9</v>
      </c>
      <c r="HQ8" s="23" t="s">
        <v>10</v>
      </c>
      <c r="HR8" s="34" t="s">
        <v>34</v>
      </c>
      <c r="HS8" s="83" t="s">
        <v>11</v>
      </c>
      <c r="HT8" s="42" t="s">
        <v>13</v>
      </c>
      <c r="HU8" s="83" t="s">
        <v>14</v>
      </c>
      <c r="HV8" s="42" t="s">
        <v>15</v>
      </c>
      <c r="HW8" s="165" t="s">
        <v>0</v>
      </c>
      <c r="HX8" s="166"/>
      <c r="HY8" s="42" t="s">
        <v>7</v>
      </c>
      <c r="HZ8" s="42" t="s">
        <v>8</v>
      </c>
      <c r="IA8" s="42" t="s">
        <v>7</v>
      </c>
      <c r="IB8" s="42" t="s">
        <v>8</v>
      </c>
      <c r="IC8" s="83" t="s">
        <v>9</v>
      </c>
      <c r="ID8" s="23" t="s">
        <v>10</v>
      </c>
      <c r="IE8" s="34" t="s">
        <v>34</v>
      </c>
      <c r="IF8" s="83" t="s">
        <v>11</v>
      </c>
      <c r="IG8" s="42" t="s">
        <v>13</v>
      </c>
      <c r="IH8" s="83" t="s">
        <v>14</v>
      </c>
      <c r="II8" s="42" t="s">
        <v>15</v>
      </c>
      <c r="IJ8"/>
      <c r="IK8" s="165" t="s">
        <v>0</v>
      </c>
      <c r="IL8" s="166"/>
      <c r="IM8" s="42" t="s">
        <v>7</v>
      </c>
      <c r="IN8" s="42" t="s">
        <v>8</v>
      </c>
      <c r="IO8" s="42" t="s">
        <v>7</v>
      </c>
      <c r="IP8" s="42" t="s">
        <v>8</v>
      </c>
      <c r="IQ8" s="83" t="s">
        <v>9</v>
      </c>
      <c r="IR8" s="23" t="s">
        <v>10</v>
      </c>
      <c r="IS8" s="34" t="s">
        <v>34</v>
      </c>
      <c r="IT8" s="83" t="s">
        <v>11</v>
      </c>
      <c r="IU8" s="42" t="s">
        <v>13</v>
      </c>
      <c r="IV8" s="83" t="s">
        <v>14</v>
      </c>
      <c r="IW8" s="42" t="s">
        <v>15</v>
      </c>
      <c r="IX8" s="165" t="s">
        <v>0</v>
      </c>
      <c r="IY8" s="166"/>
      <c r="IZ8" s="42" t="s">
        <v>7</v>
      </c>
      <c r="JA8" s="42" t="s">
        <v>8</v>
      </c>
      <c r="JB8" s="42" t="s">
        <v>7</v>
      </c>
      <c r="JC8" s="42" t="s">
        <v>8</v>
      </c>
      <c r="JD8" s="83" t="s">
        <v>9</v>
      </c>
      <c r="JE8" s="23" t="s">
        <v>10</v>
      </c>
      <c r="JF8" s="34" t="s">
        <v>34</v>
      </c>
      <c r="JG8" s="83" t="s">
        <v>11</v>
      </c>
      <c r="JH8" s="42" t="s">
        <v>13</v>
      </c>
      <c r="JI8" s="83" t="s">
        <v>14</v>
      </c>
      <c r="JJ8" s="42" t="s">
        <v>15</v>
      </c>
    </row>
    <row r="9" spans="1:270" ht="17.149999999999999" customHeight="1" x14ac:dyDescent="0.35">
      <c r="A9" s="88" t="s">
        <v>216</v>
      </c>
      <c r="B9" s="88">
        <v>1</v>
      </c>
      <c r="C9" s="89"/>
      <c r="D9" s="138"/>
      <c r="E9" s="138">
        <v>0</v>
      </c>
      <c r="F9" s="89"/>
      <c r="G9" s="89">
        <f t="shared" ref="G9:G38" si="0">SUM(D9-C9)+(F9-E9)</f>
        <v>0</v>
      </c>
      <c r="H9" s="90"/>
      <c r="I9" s="89"/>
      <c r="J9" s="91">
        <f t="shared" ref="J9:J38" si="1">SUM((G9-H9)-I9)</f>
        <v>0</v>
      </c>
      <c r="K9" s="88"/>
      <c r="L9" s="88">
        <f t="shared" ref="L9:L38" si="2">SUM(J9-K9)*100</f>
        <v>0</v>
      </c>
      <c r="M9" s="134"/>
      <c r="O9" s="88" t="s">
        <v>216</v>
      </c>
      <c r="P9" s="88">
        <v>1</v>
      </c>
      <c r="Q9" s="89"/>
      <c r="R9" s="138"/>
      <c r="S9" s="138">
        <v>0</v>
      </c>
      <c r="T9" s="89"/>
      <c r="U9" s="89">
        <f t="shared" ref="U9:U38" si="3">SUM(R9-Q9)+(T9-S9)</f>
        <v>0</v>
      </c>
      <c r="V9" s="90"/>
      <c r="W9" s="89"/>
      <c r="X9" s="91">
        <f t="shared" ref="X9:X38" si="4">SUM((U9-V9)-W9)</f>
        <v>0</v>
      </c>
      <c r="Y9" s="88"/>
      <c r="Z9" s="88">
        <f t="shared" ref="Z9:Z38" si="5">SUM(X9-Y9)*100</f>
        <v>0</v>
      </c>
      <c r="AA9" s="134"/>
      <c r="AC9" s="88" t="s">
        <v>216</v>
      </c>
      <c r="AD9" s="88">
        <v>1</v>
      </c>
      <c r="AE9" s="89"/>
      <c r="AF9" s="138"/>
      <c r="AG9" s="138">
        <v>0</v>
      </c>
      <c r="AH9" s="89"/>
      <c r="AI9" s="89">
        <f t="shared" ref="AI9:AI38" si="6">SUM(AF9-AE9)+(AH9-AG9)</f>
        <v>0</v>
      </c>
      <c r="AJ9" s="90"/>
      <c r="AK9" s="89"/>
      <c r="AL9" s="91">
        <f t="shared" ref="AL9:AL38" si="7">SUM((AI9-AJ9)-AK9)</f>
        <v>0</v>
      </c>
      <c r="AM9" s="88"/>
      <c r="AN9" s="88">
        <f t="shared" ref="AN9:AN38" si="8">SUM(AL9-AM9)*100</f>
        <v>0</v>
      </c>
      <c r="AO9" s="134"/>
      <c r="AP9" s="88" t="s">
        <v>216</v>
      </c>
      <c r="AQ9" s="88">
        <v>1</v>
      </c>
      <c r="AR9" s="89"/>
      <c r="AS9" s="138"/>
      <c r="AT9" s="138">
        <v>0</v>
      </c>
      <c r="AU9" s="89"/>
      <c r="AV9" s="89">
        <f t="shared" ref="AV9:AV38" si="9">SUM(AS9-AR9)+(AU9-AT9)</f>
        <v>0</v>
      </c>
      <c r="AW9" s="90"/>
      <c r="AX9" s="89"/>
      <c r="AY9" s="91">
        <f t="shared" ref="AY9:AY38" si="10">SUM((AV9-AW9)-AX9)</f>
        <v>0</v>
      </c>
      <c r="AZ9" s="88"/>
      <c r="BA9" s="88">
        <f t="shared" ref="BA9:BA38" si="11">SUM(AY9-AZ9)*100</f>
        <v>0</v>
      </c>
      <c r="BB9" s="134"/>
      <c r="BD9" s="88" t="s">
        <v>216</v>
      </c>
      <c r="BE9" s="88">
        <v>1</v>
      </c>
      <c r="BF9" s="89"/>
      <c r="BG9" s="138"/>
      <c r="BH9" s="138">
        <v>0</v>
      </c>
      <c r="BI9" s="89"/>
      <c r="BJ9" s="89">
        <f t="shared" ref="BJ9:BJ38" si="12">SUM(BG9-BF9)+(BI9-BH9)</f>
        <v>0</v>
      </c>
      <c r="BK9" s="90"/>
      <c r="BL9" s="89"/>
      <c r="BM9" s="91">
        <f t="shared" ref="BM9:BM38" si="13">SUM((BJ9-BK9)-BL9)</f>
        <v>0</v>
      </c>
      <c r="BN9" s="88"/>
      <c r="BO9" s="88">
        <f t="shared" ref="BO9:BO38" si="14">SUM(BM9-BN9)*100</f>
        <v>0</v>
      </c>
      <c r="BP9" s="134"/>
      <c r="BQ9" s="88" t="s">
        <v>216</v>
      </c>
      <c r="BR9" s="88">
        <v>1</v>
      </c>
      <c r="BS9" s="89"/>
      <c r="BT9" s="138"/>
      <c r="BU9" s="138">
        <v>0</v>
      </c>
      <c r="BV9" s="89"/>
      <c r="BW9" s="89">
        <f t="shared" ref="BW9:BW38" si="15">SUM(BT9-BS9)+(BV9-BU9)</f>
        <v>0</v>
      </c>
      <c r="BX9" s="90"/>
      <c r="BY9" s="89"/>
      <c r="BZ9" s="91">
        <f t="shared" ref="BZ9:BZ38" si="16">SUM((BW9-BX9)-BY9)</f>
        <v>0</v>
      </c>
      <c r="CA9" s="88"/>
      <c r="CB9" s="88">
        <f t="shared" ref="CB9:CB38" si="17">SUM(BZ9-CA9)*100</f>
        <v>0</v>
      </c>
      <c r="CC9" s="134"/>
      <c r="CE9" s="88" t="s">
        <v>216</v>
      </c>
      <c r="CF9" s="88">
        <v>1</v>
      </c>
      <c r="CG9" s="89"/>
      <c r="CH9" s="138"/>
      <c r="CI9" s="138">
        <v>0</v>
      </c>
      <c r="CJ9" s="89"/>
      <c r="CK9" s="89">
        <f t="shared" ref="CK9:CK37" si="18">SUM(CH9-CG9)+(CJ9-CI9)</f>
        <v>0</v>
      </c>
      <c r="CL9" s="90"/>
      <c r="CM9" s="89"/>
      <c r="CN9" s="91">
        <f t="shared" ref="CN9:CN37" si="19">SUM((CK9-CL9)-CM9)</f>
        <v>0</v>
      </c>
      <c r="CO9" s="88"/>
      <c r="CP9" s="88">
        <f t="shared" ref="CP9:CP37" si="20">SUM(CN9-CO9)*100</f>
        <v>0</v>
      </c>
      <c r="CQ9" s="134"/>
      <c r="CR9" s="88" t="s">
        <v>216</v>
      </c>
      <c r="CS9" s="88">
        <v>1</v>
      </c>
      <c r="CT9" s="89"/>
      <c r="CU9" s="138"/>
      <c r="CV9" s="138">
        <v>0</v>
      </c>
      <c r="CW9" s="89"/>
      <c r="CX9" s="89">
        <f t="shared" ref="CX9:CX38" si="21">SUM(CU9-CT9)+(CW9-CV9)</f>
        <v>0</v>
      </c>
      <c r="CY9" s="90"/>
      <c r="CZ9" s="89"/>
      <c r="DA9" s="91">
        <f t="shared" ref="DA9:DA38" si="22">SUM((CX9-CY9)-CZ9)</f>
        <v>0</v>
      </c>
      <c r="DB9" s="88"/>
      <c r="DC9" s="88">
        <f t="shared" ref="DC9:DC38" si="23">SUM(DA9-DB9)*100</f>
        <v>0</v>
      </c>
      <c r="DD9" s="134"/>
      <c r="DF9" s="88" t="s">
        <v>216</v>
      </c>
      <c r="DG9" s="88">
        <v>1</v>
      </c>
      <c r="DH9" s="89"/>
      <c r="DI9" s="138"/>
      <c r="DJ9" s="138">
        <v>0</v>
      </c>
      <c r="DK9" s="89"/>
      <c r="DL9" s="89">
        <f t="shared" ref="DL9:DL38" si="24">SUM(DI9-DH9)+(DK9-DJ9)</f>
        <v>0</v>
      </c>
      <c r="DM9" s="90"/>
      <c r="DN9" s="89"/>
      <c r="DO9" s="91">
        <f t="shared" ref="DO9:DO38" si="25">SUM((DL9-DM9)-DN9)</f>
        <v>0</v>
      </c>
      <c r="DP9" s="88"/>
      <c r="DQ9" s="88">
        <f t="shared" ref="DQ9:DQ38" si="26">SUM(DO9-DP9)*100</f>
        <v>0</v>
      </c>
      <c r="DR9" s="134"/>
      <c r="DS9" s="88" t="s">
        <v>216</v>
      </c>
      <c r="DT9" s="88">
        <v>1</v>
      </c>
      <c r="DU9" s="89"/>
      <c r="DV9" s="138"/>
      <c r="DW9" s="138">
        <v>0</v>
      </c>
      <c r="DX9" s="89"/>
      <c r="DY9" s="89">
        <f t="shared" ref="DY9:DY38" si="27">SUM(DV9-DU9)+(DX9-DW9)</f>
        <v>0</v>
      </c>
      <c r="DZ9" s="90"/>
      <c r="EA9" s="89"/>
      <c r="EB9" s="91">
        <f t="shared" ref="EB9:EB38" si="28">SUM((DY9-DZ9)-EA9)</f>
        <v>0</v>
      </c>
      <c r="EC9" s="88"/>
      <c r="ED9" s="88">
        <f t="shared" ref="ED9:ED38" si="29">SUM(EB9-EC9)*100</f>
        <v>0</v>
      </c>
      <c r="EE9" s="134"/>
      <c r="EG9" s="88" t="s">
        <v>216</v>
      </c>
      <c r="EH9" s="88">
        <v>1</v>
      </c>
      <c r="EI9" s="89"/>
      <c r="EJ9" s="138"/>
      <c r="EK9" s="138">
        <v>0</v>
      </c>
      <c r="EL9" s="89"/>
      <c r="EM9" s="89">
        <f t="shared" ref="EM9:EM38" si="30">SUM(EJ9-EI9)+(EL9-EK9)</f>
        <v>0</v>
      </c>
      <c r="EN9" s="90"/>
      <c r="EO9" s="89"/>
      <c r="EP9" s="91">
        <f t="shared" ref="EP9:EP38" si="31">SUM((EM9-EN9)-EO9)</f>
        <v>0</v>
      </c>
      <c r="EQ9" s="88"/>
      <c r="ER9" s="88">
        <f t="shared" ref="ER9:ER38" si="32">SUM(EP9-EQ9)*100</f>
        <v>0</v>
      </c>
      <c r="ES9" s="134"/>
      <c r="ET9" s="88" t="s">
        <v>216</v>
      </c>
      <c r="EU9" s="88">
        <v>1</v>
      </c>
      <c r="EV9" s="89"/>
      <c r="EW9" s="138"/>
      <c r="EX9" s="138">
        <v>0</v>
      </c>
      <c r="EY9" s="89"/>
      <c r="EZ9" s="89">
        <f t="shared" ref="EZ9:EZ38" si="33">SUM(EW9-EV9)+(EY9-EX9)</f>
        <v>0</v>
      </c>
      <c r="FA9" s="90"/>
      <c r="FB9" s="89"/>
      <c r="FC9" s="91">
        <f t="shared" ref="FC9:FC38" si="34">SUM((EZ9-FA9)-FB9)</f>
        <v>0</v>
      </c>
      <c r="FD9" s="88"/>
      <c r="FE9" s="88">
        <f t="shared" ref="FE9:FE38" si="35">SUM(FC9-FD9)*100</f>
        <v>0</v>
      </c>
      <c r="FF9" s="134"/>
      <c r="FH9" s="88" t="s">
        <v>216</v>
      </c>
      <c r="FI9" s="88">
        <v>1</v>
      </c>
      <c r="FJ9" s="89"/>
      <c r="FK9" s="138"/>
      <c r="FL9" s="138">
        <v>0</v>
      </c>
      <c r="FM9" s="89"/>
      <c r="FN9" s="89">
        <f t="shared" ref="FN9:FN38" si="36">SUM(FK9-FJ9)+(FM9-FL9)</f>
        <v>0</v>
      </c>
      <c r="FO9" s="90"/>
      <c r="FP9" s="89"/>
      <c r="FQ9" s="91">
        <f t="shared" ref="FQ9:FQ38" si="37">SUM((FN9-FO9)-FP9)</f>
        <v>0</v>
      </c>
      <c r="FR9" s="88"/>
      <c r="FS9" s="88">
        <f t="shared" ref="FS9:FS38" si="38">SUM(FQ9-FR9)*100</f>
        <v>0</v>
      </c>
      <c r="FT9" s="134"/>
      <c r="FU9" s="88" t="s">
        <v>216</v>
      </c>
      <c r="FV9" s="88">
        <v>1</v>
      </c>
      <c r="FW9" s="89"/>
      <c r="FX9" s="138"/>
      <c r="FY9" s="138">
        <v>0</v>
      </c>
      <c r="FZ9" s="89"/>
      <c r="GA9" s="89">
        <f t="shared" ref="GA9:GA38" si="39">SUM(FX9-FW9)+(FZ9-FY9)</f>
        <v>0</v>
      </c>
      <c r="GB9" s="90"/>
      <c r="GC9" s="89"/>
      <c r="GD9" s="91">
        <f t="shared" ref="GD9:GD38" si="40">SUM((GA9-GB9)-GC9)</f>
        <v>0</v>
      </c>
      <c r="GE9" s="88"/>
      <c r="GF9" s="88">
        <f t="shared" ref="GF9:GF38" si="41">SUM(GD9-GE9)*100</f>
        <v>0</v>
      </c>
      <c r="GG9" s="134"/>
      <c r="GI9" s="88" t="s">
        <v>216</v>
      </c>
      <c r="GJ9" s="88">
        <v>1</v>
      </c>
      <c r="GK9" s="89"/>
      <c r="GL9" s="138"/>
      <c r="GM9" s="138">
        <v>0</v>
      </c>
      <c r="GN9" s="89"/>
      <c r="GO9" s="89">
        <f t="shared" ref="GO9:GO38" si="42">SUM(GL9-GK9)+(GN9-GM9)</f>
        <v>0</v>
      </c>
      <c r="GP9" s="90"/>
      <c r="GQ9" s="89"/>
      <c r="GR9" s="91">
        <f t="shared" ref="GR9:GR38" si="43">SUM((GO9-GP9)-GQ9)</f>
        <v>0</v>
      </c>
      <c r="GS9" s="88"/>
      <c r="GT9" s="88">
        <f t="shared" ref="GT9:GT38" si="44">SUM(GR9-GS9)*100</f>
        <v>0</v>
      </c>
      <c r="GU9" s="134"/>
      <c r="GV9" s="88" t="s">
        <v>216</v>
      </c>
      <c r="GW9" s="88">
        <v>1</v>
      </c>
      <c r="GX9" s="89"/>
      <c r="GY9" s="138"/>
      <c r="GZ9" s="138">
        <v>0</v>
      </c>
      <c r="HA9" s="89"/>
      <c r="HB9" s="89">
        <f t="shared" ref="HB9:HB38" si="45">SUM(GY9-GX9)+(HA9-GZ9)</f>
        <v>0</v>
      </c>
      <c r="HC9" s="90"/>
      <c r="HD9" s="89"/>
      <c r="HE9" s="91">
        <f t="shared" ref="HE9:HE38" si="46">SUM((HB9-HC9)-HD9)</f>
        <v>0</v>
      </c>
      <c r="HF9" s="88"/>
      <c r="HG9" s="88">
        <f t="shared" ref="HG9:HG38" si="47">SUM(HE9-HF9)*100</f>
        <v>0</v>
      </c>
      <c r="HH9" s="134"/>
      <c r="HJ9" s="88" t="s">
        <v>216</v>
      </c>
      <c r="HK9" s="88">
        <v>1</v>
      </c>
      <c r="HL9" s="89"/>
      <c r="HM9" s="138"/>
      <c r="HN9" s="138">
        <v>0</v>
      </c>
      <c r="HO9" s="89"/>
      <c r="HP9" s="89">
        <f t="shared" ref="HP9:HP38" si="48">SUM(HM9-HL9)+(HO9-HN9)</f>
        <v>0</v>
      </c>
      <c r="HQ9" s="90"/>
      <c r="HR9" s="89"/>
      <c r="HS9" s="91">
        <f t="shared" ref="HS9:HS38" si="49">SUM((HP9-HQ9)-HR9)</f>
        <v>0</v>
      </c>
      <c r="HT9" s="88"/>
      <c r="HU9" s="88">
        <f t="shared" ref="HU9:HU38" si="50">SUM(HS9-HT9)*100</f>
        <v>0</v>
      </c>
      <c r="HV9" s="134"/>
      <c r="HW9" s="88" t="s">
        <v>216</v>
      </c>
      <c r="HX9" s="88">
        <v>1</v>
      </c>
      <c r="HY9" s="89"/>
      <c r="HZ9" s="138"/>
      <c r="IA9" s="138">
        <v>0</v>
      </c>
      <c r="IB9" s="89"/>
      <c r="IC9" s="89">
        <f t="shared" ref="IC9:IC38" si="51">SUM(HZ9-HY9)+(IB9-IA9)</f>
        <v>0</v>
      </c>
      <c r="ID9" s="90"/>
      <c r="IE9" s="89"/>
      <c r="IF9" s="91">
        <f t="shared" ref="IF9:IF38" si="52">SUM((IC9-ID9)-IE9)</f>
        <v>0</v>
      </c>
      <c r="IG9" s="88"/>
      <c r="IH9" s="88">
        <f t="shared" ref="IH9:IH38" si="53">SUM(IF9-IG9)*100</f>
        <v>0</v>
      </c>
      <c r="II9" s="134"/>
      <c r="IJ9" s="1"/>
      <c r="IK9" s="88" t="s">
        <v>216</v>
      </c>
      <c r="IL9" s="88">
        <v>1</v>
      </c>
      <c r="IM9" s="89"/>
      <c r="IN9" s="138"/>
      <c r="IO9" s="138">
        <v>0</v>
      </c>
      <c r="IP9" s="89"/>
      <c r="IQ9" s="89">
        <f t="shared" ref="IQ9:IQ38" si="54">SUM(IN9-IM9)+(IP9-IO9)</f>
        <v>0</v>
      </c>
      <c r="IR9" s="90"/>
      <c r="IS9" s="89"/>
      <c r="IT9" s="91">
        <f t="shared" ref="IT9:IT38" si="55">SUM((IQ9-IR9)-IS9)</f>
        <v>0</v>
      </c>
      <c r="IU9" s="88"/>
      <c r="IV9" s="88">
        <f t="shared" ref="IV9:IV38" si="56">SUM(IT9-IU9)*100</f>
        <v>0</v>
      </c>
      <c r="IW9" s="134"/>
      <c r="IX9" s="88" t="s">
        <v>216</v>
      </c>
      <c r="IY9" s="88">
        <v>1</v>
      </c>
      <c r="IZ9" s="89">
        <v>11.1</v>
      </c>
      <c r="JA9" s="138"/>
      <c r="JB9" s="138">
        <v>0</v>
      </c>
      <c r="JC9" s="89">
        <v>15.1</v>
      </c>
      <c r="JD9" s="89">
        <f t="shared" ref="JD9:JD38" si="57">SUM(JA9-IZ9)+(JC9-JB9)</f>
        <v>4</v>
      </c>
      <c r="JE9" s="90"/>
      <c r="JF9" s="89"/>
      <c r="JG9" s="91">
        <f t="shared" ref="JG9:JG38" si="58">SUM((JD9-JE9)-JF9)</f>
        <v>4</v>
      </c>
      <c r="JH9" s="88">
        <v>4</v>
      </c>
      <c r="JI9" s="88">
        <f t="shared" ref="JI9:JI38" si="59">SUM(JG9-JH9)*100</f>
        <v>0</v>
      </c>
      <c r="JJ9" s="134"/>
    </row>
    <row r="10" spans="1:270" s="54" customFormat="1" ht="17.149999999999999" customHeight="1" x14ac:dyDescent="0.35">
      <c r="A10" s="86" t="s">
        <v>2</v>
      </c>
      <c r="B10" s="86">
        <v>2</v>
      </c>
      <c r="C10" s="58">
        <v>10.15</v>
      </c>
      <c r="D10" s="96"/>
      <c r="E10" s="96"/>
      <c r="F10" s="53">
        <v>25.59</v>
      </c>
      <c r="G10" s="58">
        <f t="shared" si="0"/>
        <v>15.44</v>
      </c>
      <c r="H10" s="97">
        <v>7.3</v>
      </c>
      <c r="I10" s="58">
        <v>1</v>
      </c>
      <c r="J10" s="59">
        <f t="shared" si="1"/>
        <v>7.1400000000000006</v>
      </c>
      <c r="K10" s="86">
        <v>7</v>
      </c>
      <c r="L10" s="86">
        <f t="shared" si="2"/>
        <v>14.000000000000057</v>
      </c>
      <c r="M10" s="98"/>
      <c r="N10"/>
      <c r="O10" s="86" t="s">
        <v>2</v>
      </c>
      <c r="P10" s="86">
        <v>2</v>
      </c>
      <c r="Q10" s="58">
        <v>11.1</v>
      </c>
      <c r="R10" s="96"/>
      <c r="S10" s="96"/>
      <c r="T10" s="53">
        <v>25.59</v>
      </c>
      <c r="U10" s="58">
        <f t="shared" si="3"/>
        <v>14.49</v>
      </c>
      <c r="V10" s="97">
        <v>7.3</v>
      </c>
      <c r="W10" s="58">
        <v>1</v>
      </c>
      <c r="X10" s="59">
        <f t="shared" si="4"/>
        <v>6.19</v>
      </c>
      <c r="Y10" s="86">
        <v>6</v>
      </c>
      <c r="Z10" s="86">
        <f t="shared" si="5"/>
        <v>19.000000000000039</v>
      </c>
      <c r="AA10" s="98"/>
      <c r="AB10"/>
      <c r="AC10" s="86" t="s">
        <v>2</v>
      </c>
      <c r="AD10" s="86">
        <v>2</v>
      </c>
      <c r="AE10" s="58">
        <v>11.1</v>
      </c>
      <c r="AF10" s="96"/>
      <c r="AG10" s="96"/>
      <c r="AH10" s="53">
        <v>25.59</v>
      </c>
      <c r="AI10" s="58">
        <f t="shared" si="6"/>
        <v>14.49</v>
      </c>
      <c r="AJ10" s="97">
        <v>7.3</v>
      </c>
      <c r="AK10" s="58">
        <v>1</v>
      </c>
      <c r="AL10" s="59">
        <f t="shared" si="7"/>
        <v>6.19</v>
      </c>
      <c r="AM10" s="86">
        <v>6</v>
      </c>
      <c r="AN10" s="86">
        <f t="shared" si="8"/>
        <v>19.000000000000039</v>
      </c>
      <c r="AO10" s="98"/>
      <c r="AP10" s="86" t="s">
        <v>2</v>
      </c>
      <c r="AQ10" s="86">
        <v>2</v>
      </c>
      <c r="AR10" s="58">
        <v>10.35</v>
      </c>
      <c r="AS10" s="96"/>
      <c r="AT10" s="96"/>
      <c r="AU10" s="53">
        <v>25.59</v>
      </c>
      <c r="AV10" s="58">
        <f t="shared" si="9"/>
        <v>15.24</v>
      </c>
      <c r="AW10" s="97">
        <v>7.3</v>
      </c>
      <c r="AX10" s="58">
        <v>1.4</v>
      </c>
      <c r="AY10" s="59">
        <f t="shared" si="10"/>
        <v>6.5400000000000009</v>
      </c>
      <c r="AZ10" s="86">
        <v>6</v>
      </c>
      <c r="BA10" s="86">
        <f t="shared" si="11"/>
        <v>54.000000000000092</v>
      </c>
      <c r="BB10" s="98"/>
      <c r="BC10"/>
      <c r="BD10" s="86" t="s">
        <v>2</v>
      </c>
      <c r="BE10" s="86">
        <v>2</v>
      </c>
      <c r="BF10" s="58">
        <v>10.35</v>
      </c>
      <c r="BG10" s="96"/>
      <c r="BH10" s="96"/>
      <c r="BI10" s="53">
        <v>25.59</v>
      </c>
      <c r="BJ10" s="58">
        <f t="shared" si="12"/>
        <v>15.24</v>
      </c>
      <c r="BK10" s="97">
        <v>7.3</v>
      </c>
      <c r="BL10" s="58">
        <v>1.4</v>
      </c>
      <c r="BM10" s="59">
        <f t="shared" si="13"/>
        <v>6.5400000000000009</v>
      </c>
      <c r="BN10" s="86">
        <v>6</v>
      </c>
      <c r="BO10" s="86">
        <f t="shared" si="14"/>
        <v>54.000000000000092</v>
      </c>
      <c r="BP10" s="98"/>
      <c r="BQ10" s="86" t="s">
        <v>2</v>
      </c>
      <c r="BR10" s="86">
        <v>2</v>
      </c>
      <c r="BS10" s="58">
        <v>11.15</v>
      </c>
      <c r="BT10" s="96"/>
      <c r="BU10" s="96"/>
      <c r="BV10" s="53">
        <v>25.59</v>
      </c>
      <c r="BW10" s="58">
        <f t="shared" si="15"/>
        <v>14.44</v>
      </c>
      <c r="BX10" s="97">
        <v>7.3</v>
      </c>
      <c r="BY10" s="58">
        <v>1</v>
      </c>
      <c r="BZ10" s="59">
        <f t="shared" si="16"/>
        <v>6.14</v>
      </c>
      <c r="CA10" s="86">
        <v>6</v>
      </c>
      <c r="CB10" s="86">
        <f t="shared" si="17"/>
        <v>13.999999999999968</v>
      </c>
      <c r="CC10" s="98"/>
      <c r="CD10"/>
      <c r="CE10" s="86" t="s">
        <v>2</v>
      </c>
      <c r="CF10" s="86">
        <v>2</v>
      </c>
      <c r="CG10" s="58">
        <v>11.1</v>
      </c>
      <c r="CH10" s="96"/>
      <c r="CI10" s="96"/>
      <c r="CJ10" s="53">
        <v>25.59</v>
      </c>
      <c r="CK10" s="58">
        <f t="shared" si="18"/>
        <v>14.49</v>
      </c>
      <c r="CL10" s="97">
        <v>7.3</v>
      </c>
      <c r="CM10" s="58">
        <v>1</v>
      </c>
      <c r="CN10" s="59">
        <f t="shared" si="19"/>
        <v>6.19</v>
      </c>
      <c r="CO10" s="86">
        <v>6</v>
      </c>
      <c r="CP10" s="86">
        <f t="shared" si="20"/>
        <v>19.000000000000039</v>
      </c>
      <c r="CQ10" s="98"/>
      <c r="CR10" s="86" t="s">
        <v>2</v>
      </c>
      <c r="CS10" s="86">
        <v>2</v>
      </c>
      <c r="CT10" s="58">
        <v>11.1</v>
      </c>
      <c r="CU10" s="96"/>
      <c r="CV10" s="96"/>
      <c r="CW10" s="53">
        <v>25.59</v>
      </c>
      <c r="CX10" s="58">
        <f t="shared" si="21"/>
        <v>14.49</v>
      </c>
      <c r="CY10" s="97">
        <v>7.3</v>
      </c>
      <c r="CZ10" s="58">
        <v>1</v>
      </c>
      <c r="DA10" s="59">
        <f t="shared" si="22"/>
        <v>6.19</v>
      </c>
      <c r="DB10" s="86">
        <v>6</v>
      </c>
      <c r="DC10" s="86">
        <f t="shared" si="23"/>
        <v>19.000000000000039</v>
      </c>
      <c r="DD10" s="98"/>
      <c r="DE10"/>
      <c r="DF10" s="86" t="s">
        <v>2</v>
      </c>
      <c r="DG10" s="86">
        <v>2</v>
      </c>
      <c r="DH10" s="58">
        <v>11.1</v>
      </c>
      <c r="DI10" s="96"/>
      <c r="DJ10" s="96"/>
      <c r="DK10" s="53">
        <v>25.59</v>
      </c>
      <c r="DL10" s="58">
        <f t="shared" si="24"/>
        <v>14.49</v>
      </c>
      <c r="DM10" s="97">
        <v>7.3</v>
      </c>
      <c r="DN10" s="58">
        <v>1</v>
      </c>
      <c r="DO10" s="59">
        <f t="shared" si="25"/>
        <v>6.19</v>
      </c>
      <c r="DP10" s="86">
        <v>6</v>
      </c>
      <c r="DQ10" s="86">
        <f t="shared" si="26"/>
        <v>19.000000000000039</v>
      </c>
      <c r="DR10" s="98"/>
      <c r="DS10" s="86" t="s">
        <v>2</v>
      </c>
      <c r="DT10" s="86">
        <v>2</v>
      </c>
      <c r="DU10" s="58">
        <v>11.15</v>
      </c>
      <c r="DV10" s="96"/>
      <c r="DW10" s="96"/>
      <c r="DX10" s="53">
        <v>25.59</v>
      </c>
      <c r="DY10" s="58">
        <f t="shared" si="27"/>
        <v>14.44</v>
      </c>
      <c r="DZ10" s="97">
        <v>7.3</v>
      </c>
      <c r="EA10" s="58">
        <v>1</v>
      </c>
      <c r="EB10" s="59">
        <f t="shared" si="28"/>
        <v>6.14</v>
      </c>
      <c r="EC10" s="86">
        <v>6</v>
      </c>
      <c r="ED10" s="86">
        <f t="shared" si="29"/>
        <v>13.999999999999968</v>
      </c>
      <c r="EE10" s="98"/>
      <c r="EF10"/>
      <c r="EG10" s="86" t="s">
        <v>2</v>
      </c>
      <c r="EH10" s="86">
        <v>2</v>
      </c>
      <c r="EI10" s="58">
        <v>11.1</v>
      </c>
      <c r="EJ10" s="96"/>
      <c r="EK10" s="96"/>
      <c r="EL10" s="53">
        <v>25.59</v>
      </c>
      <c r="EM10" s="58">
        <f t="shared" si="30"/>
        <v>14.49</v>
      </c>
      <c r="EN10" s="97">
        <v>7.3</v>
      </c>
      <c r="EO10" s="58">
        <v>1</v>
      </c>
      <c r="EP10" s="59">
        <f t="shared" si="31"/>
        <v>6.19</v>
      </c>
      <c r="EQ10" s="86">
        <v>6</v>
      </c>
      <c r="ER10" s="86">
        <f t="shared" si="32"/>
        <v>19.000000000000039</v>
      </c>
      <c r="ES10" s="98"/>
      <c r="ET10" s="86" t="s">
        <v>2</v>
      </c>
      <c r="EU10" s="86">
        <v>2</v>
      </c>
      <c r="EV10" s="58">
        <v>11.1</v>
      </c>
      <c r="EW10" s="96"/>
      <c r="EX10" s="96"/>
      <c r="EY10" s="53">
        <v>25.59</v>
      </c>
      <c r="EZ10" s="58">
        <f t="shared" si="33"/>
        <v>14.49</v>
      </c>
      <c r="FA10" s="97">
        <v>7.3</v>
      </c>
      <c r="FB10" s="58">
        <v>1</v>
      </c>
      <c r="FC10" s="59">
        <f t="shared" si="34"/>
        <v>6.19</v>
      </c>
      <c r="FD10" s="86">
        <v>6</v>
      </c>
      <c r="FE10" s="86">
        <f t="shared" si="35"/>
        <v>19.000000000000039</v>
      </c>
      <c r="FF10" s="98"/>
      <c r="FG10"/>
      <c r="FH10" s="86" t="s">
        <v>2</v>
      </c>
      <c r="FI10" s="86">
        <v>2</v>
      </c>
      <c r="FJ10" s="58">
        <v>11.1</v>
      </c>
      <c r="FK10" s="96"/>
      <c r="FL10" s="96"/>
      <c r="FM10" s="53">
        <v>25.59</v>
      </c>
      <c r="FN10" s="58">
        <f t="shared" si="36"/>
        <v>14.49</v>
      </c>
      <c r="FO10" s="97">
        <v>7.3</v>
      </c>
      <c r="FP10" s="58">
        <v>1</v>
      </c>
      <c r="FQ10" s="59">
        <f t="shared" si="37"/>
        <v>6.19</v>
      </c>
      <c r="FR10" s="86">
        <v>6</v>
      </c>
      <c r="FS10" s="86">
        <f t="shared" si="38"/>
        <v>19.000000000000039</v>
      </c>
      <c r="FT10" s="98"/>
      <c r="FU10" s="86" t="s">
        <v>2</v>
      </c>
      <c r="FV10" s="86">
        <v>2</v>
      </c>
      <c r="FW10" s="58">
        <v>11.1</v>
      </c>
      <c r="FX10" s="96"/>
      <c r="FY10" s="96"/>
      <c r="FZ10" s="53">
        <v>25.59</v>
      </c>
      <c r="GA10" s="58">
        <f t="shared" si="39"/>
        <v>14.49</v>
      </c>
      <c r="GB10" s="97">
        <v>7.3</v>
      </c>
      <c r="GC10" s="58">
        <v>1</v>
      </c>
      <c r="GD10" s="59">
        <f t="shared" si="40"/>
        <v>6.19</v>
      </c>
      <c r="GE10" s="86">
        <v>6</v>
      </c>
      <c r="GF10" s="86">
        <f t="shared" si="41"/>
        <v>19.000000000000039</v>
      </c>
      <c r="GG10" s="98"/>
      <c r="GH10"/>
      <c r="GI10" s="86" t="s">
        <v>2</v>
      </c>
      <c r="GJ10" s="86">
        <v>2</v>
      </c>
      <c r="GK10" s="58"/>
      <c r="GL10" s="96"/>
      <c r="GM10" s="96"/>
      <c r="GN10" s="53"/>
      <c r="GO10" s="58"/>
      <c r="GP10" s="97"/>
      <c r="GQ10" s="58"/>
      <c r="GR10" s="59"/>
      <c r="GS10" s="86"/>
      <c r="GT10" s="86"/>
      <c r="GU10" s="98" t="s">
        <v>227</v>
      </c>
      <c r="GV10" s="86" t="s">
        <v>2</v>
      </c>
      <c r="GW10" s="86">
        <v>2</v>
      </c>
      <c r="GX10" s="58">
        <v>11.1</v>
      </c>
      <c r="GY10" s="96"/>
      <c r="GZ10" s="96"/>
      <c r="HA10" s="53">
        <v>25.59</v>
      </c>
      <c r="HB10" s="58">
        <f t="shared" si="45"/>
        <v>14.49</v>
      </c>
      <c r="HC10" s="97">
        <v>7.3</v>
      </c>
      <c r="HD10" s="58">
        <v>1</v>
      </c>
      <c r="HE10" s="59">
        <f t="shared" si="46"/>
        <v>6.19</v>
      </c>
      <c r="HF10" s="86">
        <v>6</v>
      </c>
      <c r="HG10" s="86">
        <f t="shared" si="47"/>
        <v>19.000000000000039</v>
      </c>
      <c r="HH10" s="98"/>
      <c r="HI10"/>
      <c r="HJ10" s="86" t="s">
        <v>2</v>
      </c>
      <c r="HK10" s="86">
        <v>2</v>
      </c>
      <c r="HL10" s="58">
        <v>11.1</v>
      </c>
      <c r="HM10" s="96"/>
      <c r="HN10" s="96"/>
      <c r="HO10" s="53">
        <v>25.59</v>
      </c>
      <c r="HP10" s="58">
        <f t="shared" si="48"/>
        <v>14.49</v>
      </c>
      <c r="HQ10" s="97">
        <v>7.3</v>
      </c>
      <c r="HR10" s="58">
        <v>1</v>
      </c>
      <c r="HS10" s="59">
        <f t="shared" si="49"/>
        <v>6.19</v>
      </c>
      <c r="HT10" s="86">
        <v>6</v>
      </c>
      <c r="HU10" s="86">
        <f t="shared" si="50"/>
        <v>19.000000000000039</v>
      </c>
      <c r="HV10" s="98"/>
      <c r="HW10" s="86" t="s">
        <v>2</v>
      </c>
      <c r="HX10" s="86">
        <v>2</v>
      </c>
      <c r="HY10" s="58">
        <v>11.1</v>
      </c>
      <c r="HZ10" s="96"/>
      <c r="IA10" s="96"/>
      <c r="IB10" s="53">
        <v>25.59</v>
      </c>
      <c r="IC10" s="58">
        <f t="shared" si="51"/>
        <v>14.49</v>
      </c>
      <c r="ID10" s="97">
        <v>7.3</v>
      </c>
      <c r="IE10" s="58">
        <v>1</v>
      </c>
      <c r="IF10" s="59">
        <f t="shared" si="52"/>
        <v>6.19</v>
      </c>
      <c r="IG10" s="86">
        <v>6</v>
      </c>
      <c r="IH10" s="86">
        <f t="shared" si="53"/>
        <v>19.000000000000039</v>
      </c>
      <c r="II10" s="98"/>
      <c r="IJ10"/>
      <c r="IK10" s="86" t="s">
        <v>2</v>
      </c>
      <c r="IL10" s="86">
        <v>2</v>
      </c>
      <c r="IM10" s="58">
        <v>11.25</v>
      </c>
      <c r="IN10" s="96"/>
      <c r="IO10" s="96"/>
      <c r="IP10" s="53">
        <v>25.59</v>
      </c>
      <c r="IQ10" s="58">
        <f t="shared" si="54"/>
        <v>14.34</v>
      </c>
      <c r="IR10" s="97">
        <v>7.3</v>
      </c>
      <c r="IS10" s="58">
        <v>1</v>
      </c>
      <c r="IT10" s="59">
        <f t="shared" si="55"/>
        <v>6.04</v>
      </c>
      <c r="IU10" s="86">
        <v>6</v>
      </c>
      <c r="IV10" s="86">
        <f t="shared" si="56"/>
        <v>4.0000000000000036</v>
      </c>
      <c r="IW10" s="98"/>
      <c r="IX10" s="86" t="s">
        <v>2</v>
      </c>
      <c r="IY10" s="86">
        <v>2</v>
      </c>
      <c r="IZ10" s="58">
        <v>11.1</v>
      </c>
      <c r="JA10" s="96"/>
      <c r="JB10" s="96"/>
      <c r="JC10" s="53">
        <v>25.59</v>
      </c>
      <c r="JD10" s="58">
        <f t="shared" si="57"/>
        <v>14.49</v>
      </c>
      <c r="JE10" s="97">
        <v>7.3</v>
      </c>
      <c r="JF10" s="58">
        <v>1</v>
      </c>
      <c r="JG10" s="59">
        <f t="shared" si="58"/>
        <v>6.19</v>
      </c>
      <c r="JH10" s="86">
        <v>6</v>
      </c>
      <c r="JI10" s="86">
        <f t="shared" si="59"/>
        <v>19.000000000000039</v>
      </c>
      <c r="JJ10" s="98"/>
    </row>
    <row r="11" spans="1:270" s="54" customFormat="1" ht="17.149999999999999" customHeight="1" x14ac:dyDescent="0.35">
      <c r="A11" s="86" t="s">
        <v>3</v>
      </c>
      <c r="B11" s="86">
        <v>3</v>
      </c>
      <c r="C11" s="58">
        <v>10.5</v>
      </c>
      <c r="D11" s="96"/>
      <c r="E11" s="96"/>
      <c r="F11" s="53">
        <v>24.73</v>
      </c>
      <c r="G11" s="58">
        <f t="shared" si="0"/>
        <v>14.23</v>
      </c>
      <c r="H11" s="97">
        <v>7.3</v>
      </c>
      <c r="I11" s="58">
        <v>1.4</v>
      </c>
      <c r="J11" s="59">
        <f t="shared" si="1"/>
        <v>5.5300000000000011</v>
      </c>
      <c r="K11" s="86">
        <v>5</v>
      </c>
      <c r="L11" s="86">
        <f t="shared" si="2"/>
        <v>53.000000000000114</v>
      </c>
      <c r="M11" s="87"/>
      <c r="N11"/>
      <c r="O11" s="86" t="s">
        <v>3</v>
      </c>
      <c r="P11" s="86">
        <v>3</v>
      </c>
      <c r="Q11" s="58">
        <v>11.1</v>
      </c>
      <c r="R11" s="96"/>
      <c r="S11" s="96"/>
      <c r="T11" s="53">
        <v>24.73</v>
      </c>
      <c r="U11" s="58">
        <f t="shared" si="3"/>
        <v>13.63</v>
      </c>
      <c r="V11" s="97">
        <v>7.3</v>
      </c>
      <c r="W11" s="58">
        <v>1</v>
      </c>
      <c r="X11" s="59">
        <f t="shared" si="4"/>
        <v>5.330000000000001</v>
      </c>
      <c r="Y11" s="86">
        <v>5</v>
      </c>
      <c r="Z11" s="86">
        <f t="shared" si="5"/>
        <v>33.000000000000099</v>
      </c>
      <c r="AA11" s="87"/>
      <c r="AB11"/>
      <c r="AC11" s="86" t="s">
        <v>3</v>
      </c>
      <c r="AD11" s="86">
        <v>3</v>
      </c>
      <c r="AE11" s="58">
        <v>11.1</v>
      </c>
      <c r="AF11" s="96"/>
      <c r="AG11" s="96"/>
      <c r="AH11" s="53">
        <v>24.73</v>
      </c>
      <c r="AI11" s="58">
        <f t="shared" si="6"/>
        <v>13.63</v>
      </c>
      <c r="AJ11" s="97">
        <v>7.3</v>
      </c>
      <c r="AK11" s="58">
        <v>1</v>
      </c>
      <c r="AL11" s="59">
        <f t="shared" si="7"/>
        <v>5.330000000000001</v>
      </c>
      <c r="AM11" s="86">
        <v>5</v>
      </c>
      <c r="AN11" s="86">
        <f t="shared" si="8"/>
        <v>33.000000000000099</v>
      </c>
      <c r="AO11" s="87"/>
      <c r="AP11" s="86" t="s">
        <v>3</v>
      </c>
      <c r="AQ11" s="86">
        <v>3</v>
      </c>
      <c r="AR11" s="58">
        <v>10.35</v>
      </c>
      <c r="AS11" s="96"/>
      <c r="AT11" s="96"/>
      <c r="AU11" s="53">
        <v>24.73</v>
      </c>
      <c r="AV11" s="58">
        <f t="shared" si="9"/>
        <v>14.38</v>
      </c>
      <c r="AW11" s="97">
        <v>7.3</v>
      </c>
      <c r="AX11" s="58">
        <v>1</v>
      </c>
      <c r="AY11" s="59">
        <f t="shared" si="10"/>
        <v>6.080000000000001</v>
      </c>
      <c r="AZ11" s="86">
        <v>6</v>
      </c>
      <c r="BA11" s="86">
        <f t="shared" si="11"/>
        <v>8.0000000000000959</v>
      </c>
      <c r="BB11" s="87"/>
      <c r="BC11"/>
      <c r="BD11" s="86" t="s">
        <v>3</v>
      </c>
      <c r="BE11" s="86">
        <v>3</v>
      </c>
      <c r="BF11" s="58">
        <v>10.35</v>
      </c>
      <c r="BG11" s="96"/>
      <c r="BH11" s="96"/>
      <c r="BI11" s="53">
        <v>24.73</v>
      </c>
      <c r="BJ11" s="58">
        <f t="shared" si="12"/>
        <v>14.38</v>
      </c>
      <c r="BK11" s="97">
        <v>7.3</v>
      </c>
      <c r="BL11" s="58">
        <v>1</v>
      </c>
      <c r="BM11" s="59">
        <f t="shared" si="13"/>
        <v>6.080000000000001</v>
      </c>
      <c r="BN11" s="86">
        <v>6</v>
      </c>
      <c r="BO11" s="86">
        <f t="shared" si="14"/>
        <v>8.0000000000000959</v>
      </c>
      <c r="BP11" s="87"/>
      <c r="BQ11" s="86" t="s">
        <v>3</v>
      </c>
      <c r="BR11" s="86">
        <v>3</v>
      </c>
      <c r="BS11" s="58">
        <v>11.15</v>
      </c>
      <c r="BT11" s="96"/>
      <c r="BU11" s="96"/>
      <c r="BV11" s="53">
        <v>24.73</v>
      </c>
      <c r="BW11" s="58">
        <f t="shared" si="15"/>
        <v>13.58</v>
      </c>
      <c r="BX11" s="97">
        <v>7.3</v>
      </c>
      <c r="BY11" s="58">
        <v>1</v>
      </c>
      <c r="BZ11" s="59">
        <f t="shared" si="16"/>
        <v>5.28</v>
      </c>
      <c r="CA11" s="86">
        <v>5</v>
      </c>
      <c r="CB11" s="86">
        <f t="shared" si="17"/>
        <v>28.000000000000025</v>
      </c>
      <c r="CC11" s="87"/>
      <c r="CD11"/>
      <c r="CE11" s="86" t="s">
        <v>3</v>
      </c>
      <c r="CF11" s="86">
        <v>3</v>
      </c>
      <c r="CG11" s="58">
        <v>11.1</v>
      </c>
      <c r="CH11" s="96"/>
      <c r="CI11" s="96"/>
      <c r="CJ11" s="53">
        <v>24.73</v>
      </c>
      <c r="CK11" s="58">
        <f t="shared" si="18"/>
        <v>13.63</v>
      </c>
      <c r="CL11" s="97">
        <v>7.3</v>
      </c>
      <c r="CM11" s="58">
        <v>1</v>
      </c>
      <c r="CN11" s="59">
        <f t="shared" si="19"/>
        <v>5.330000000000001</v>
      </c>
      <c r="CO11" s="86">
        <v>5</v>
      </c>
      <c r="CP11" s="86">
        <f t="shared" si="20"/>
        <v>33.000000000000099</v>
      </c>
      <c r="CQ11" s="87"/>
      <c r="CR11" s="86" t="s">
        <v>3</v>
      </c>
      <c r="CS11" s="86">
        <v>3</v>
      </c>
      <c r="CT11" s="58">
        <v>11.1</v>
      </c>
      <c r="CU11" s="96"/>
      <c r="CV11" s="96"/>
      <c r="CW11" s="53">
        <v>24.73</v>
      </c>
      <c r="CX11" s="58">
        <f t="shared" si="21"/>
        <v>13.63</v>
      </c>
      <c r="CY11" s="97">
        <v>7.3</v>
      </c>
      <c r="CZ11" s="58">
        <v>1</v>
      </c>
      <c r="DA11" s="59">
        <f t="shared" si="22"/>
        <v>5.330000000000001</v>
      </c>
      <c r="DB11" s="86">
        <v>5</v>
      </c>
      <c r="DC11" s="86">
        <f t="shared" si="23"/>
        <v>33.000000000000099</v>
      </c>
      <c r="DD11" s="87"/>
      <c r="DE11"/>
      <c r="DF11" s="86" t="s">
        <v>3</v>
      </c>
      <c r="DG11" s="86">
        <v>3</v>
      </c>
      <c r="DH11" s="58">
        <v>11.1</v>
      </c>
      <c r="DI11" s="96"/>
      <c r="DJ11" s="96"/>
      <c r="DK11" s="53">
        <v>24.73</v>
      </c>
      <c r="DL11" s="58">
        <f t="shared" si="24"/>
        <v>13.63</v>
      </c>
      <c r="DM11" s="97">
        <v>7.3</v>
      </c>
      <c r="DN11" s="58">
        <v>1</v>
      </c>
      <c r="DO11" s="59">
        <f t="shared" si="25"/>
        <v>5.330000000000001</v>
      </c>
      <c r="DP11" s="86">
        <v>5</v>
      </c>
      <c r="DQ11" s="86">
        <f t="shared" si="26"/>
        <v>33.000000000000099</v>
      </c>
      <c r="DR11" s="87"/>
      <c r="DS11" s="86" t="s">
        <v>3</v>
      </c>
      <c r="DT11" s="86">
        <v>3</v>
      </c>
      <c r="DU11" s="58">
        <v>11.15</v>
      </c>
      <c r="DV11" s="96"/>
      <c r="DW11" s="96"/>
      <c r="DX11" s="53">
        <v>24.73</v>
      </c>
      <c r="DY11" s="58">
        <f t="shared" si="27"/>
        <v>13.58</v>
      </c>
      <c r="DZ11" s="97">
        <v>7.3</v>
      </c>
      <c r="EA11" s="58">
        <v>1</v>
      </c>
      <c r="EB11" s="59">
        <f t="shared" si="28"/>
        <v>5.28</v>
      </c>
      <c r="EC11" s="86">
        <v>5</v>
      </c>
      <c r="ED11" s="86">
        <f t="shared" si="29"/>
        <v>28.000000000000025</v>
      </c>
      <c r="EE11" s="87"/>
      <c r="EF11"/>
      <c r="EG11" s="86" t="s">
        <v>3</v>
      </c>
      <c r="EH11" s="86">
        <v>3</v>
      </c>
      <c r="EI11" s="58">
        <v>11.1</v>
      </c>
      <c r="EJ11" s="96"/>
      <c r="EK11" s="96"/>
      <c r="EL11" s="53">
        <v>24.73</v>
      </c>
      <c r="EM11" s="58">
        <f t="shared" si="30"/>
        <v>13.63</v>
      </c>
      <c r="EN11" s="97">
        <v>7.3</v>
      </c>
      <c r="EO11" s="58">
        <v>1</v>
      </c>
      <c r="EP11" s="59">
        <f t="shared" si="31"/>
        <v>5.330000000000001</v>
      </c>
      <c r="EQ11" s="86">
        <v>5</v>
      </c>
      <c r="ER11" s="86">
        <f t="shared" si="32"/>
        <v>33.000000000000099</v>
      </c>
      <c r="ES11" s="87"/>
      <c r="ET11" s="86" t="s">
        <v>3</v>
      </c>
      <c r="EU11" s="86">
        <v>3</v>
      </c>
      <c r="EV11" s="58">
        <v>11.1</v>
      </c>
      <c r="EW11" s="96"/>
      <c r="EX11" s="96"/>
      <c r="EY11" s="53">
        <v>24.73</v>
      </c>
      <c r="EZ11" s="58">
        <f t="shared" si="33"/>
        <v>13.63</v>
      </c>
      <c r="FA11" s="97">
        <v>7.3</v>
      </c>
      <c r="FB11" s="58">
        <v>1</v>
      </c>
      <c r="FC11" s="59">
        <f t="shared" si="34"/>
        <v>5.330000000000001</v>
      </c>
      <c r="FD11" s="86">
        <v>5</v>
      </c>
      <c r="FE11" s="86">
        <f t="shared" si="35"/>
        <v>33.000000000000099</v>
      </c>
      <c r="FF11" s="87"/>
      <c r="FG11"/>
      <c r="FH11" s="86" t="s">
        <v>3</v>
      </c>
      <c r="FI11" s="86">
        <v>3</v>
      </c>
      <c r="FJ11" s="58">
        <v>11.1</v>
      </c>
      <c r="FK11" s="96"/>
      <c r="FL11" s="96"/>
      <c r="FM11" s="53">
        <v>24.73</v>
      </c>
      <c r="FN11" s="58">
        <f t="shared" si="36"/>
        <v>13.63</v>
      </c>
      <c r="FO11" s="97">
        <v>7.3</v>
      </c>
      <c r="FP11" s="58">
        <v>1</v>
      </c>
      <c r="FQ11" s="59">
        <f t="shared" si="37"/>
        <v>5.330000000000001</v>
      </c>
      <c r="FR11" s="86">
        <v>5</v>
      </c>
      <c r="FS11" s="86">
        <f t="shared" si="38"/>
        <v>33.000000000000099</v>
      </c>
      <c r="FT11" s="87"/>
      <c r="FU11" s="86" t="s">
        <v>3</v>
      </c>
      <c r="FV11" s="86">
        <v>3</v>
      </c>
      <c r="FW11" s="58">
        <v>11.1</v>
      </c>
      <c r="FX11" s="96"/>
      <c r="FY11" s="96"/>
      <c r="FZ11" s="53">
        <v>24.73</v>
      </c>
      <c r="GA11" s="58">
        <f t="shared" si="39"/>
        <v>13.63</v>
      </c>
      <c r="GB11" s="97">
        <v>7.3</v>
      </c>
      <c r="GC11" s="58">
        <v>1</v>
      </c>
      <c r="GD11" s="59">
        <f t="shared" si="40"/>
        <v>5.330000000000001</v>
      </c>
      <c r="GE11" s="86">
        <v>5</v>
      </c>
      <c r="GF11" s="86">
        <f t="shared" si="41"/>
        <v>33.000000000000099</v>
      </c>
      <c r="GG11" s="87"/>
      <c r="GH11"/>
      <c r="GI11" s="86" t="s">
        <v>3</v>
      </c>
      <c r="GJ11" s="86">
        <v>3</v>
      </c>
      <c r="GK11" s="58">
        <v>11.1</v>
      </c>
      <c r="GL11" s="96"/>
      <c r="GM11" s="96"/>
      <c r="GN11" s="53">
        <v>24.73</v>
      </c>
      <c r="GO11" s="58">
        <f t="shared" si="42"/>
        <v>13.63</v>
      </c>
      <c r="GP11" s="97">
        <v>7.3</v>
      </c>
      <c r="GQ11" s="58">
        <v>1</v>
      </c>
      <c r="GR11" s="59">
        <f t="shared" si="43"/>
        <v>5.330000000000001</v>
      </c>
      <c r="GS11" s="86">
        <v>5</v>
      </c>
      <c r="GT11" s="86">
        <f t="shared" si="44"/>
        <v>33.000000000000099</v>
      </c>
      <c r="GU11" s="87"/>
      <c r="GV11" s="86" t="s">
        <v>3</v>
      </c>
      <c r="GW11" s="86">
        <v>3</v>
      </c>
      <c r="GX11" s="58">
        <v>11.1</v>
      </c>
      <c r="GY11" s="96"/>
      <c r="GZ11" s="96"/>
      <c r="HA11" s="53">
        <v>24.73</v>
      </c>
      <c r="HB11" s="58">
        <f t="shared" si="45"/>
        <v>13.63</v>
      </c>
      <c r="HC11" s="97">
        <v>7.3</v>
      </c>
      <c r="HD11" s="58">
        <v>1</v>
      </c>
      <c r="HE11" s="59">
        <f t="shared" si="46"/>
        <v>5.330000000000001</v>
      </c>
      <c r="HF11" s="86">
        <v>5</v>
      </c>
      <c r="HG11" s="86">
        <f t="shared" si="47"/>
        <v>33.000000000000099</v>
      </c>
      <c r="HH11" s="87"/>
      <c r="HI11"/>
      <c r="HJ11" s="86" t="s">
        <v>3</v>
      </c>
      <c r="HK11" s="86">
        <v>3</v>
      </c>
      <c r="HL11" s="58">
        <v>11.1</v>
      </c>
      <c r="HM11" s="96"/>
      <c r="HN11" s="96"/>
      <c r="HO11" s="53">
        <v>24.73</v>
      </c>
      <c r="HP11" s="58">
        <f t="shared" si="48"/>
        <v>13.63</v>
      </c>
      <c r="HQ11" s="97">
        <v>7.3</v>
      </c>
      <c r="HR11" s="58">
        <v>1</v>
      </c>
      <c r="HS11" s="59">
        <f t="shared" si="49"/>
        <v>5.330000000000001</v>
      </c>
      <c r="HT11" s="86">
        <v>5</v>
      </c>
      <c r="HU11" s="86">
        <f t="shared" si="50"/>
        <v>33.000000000000099</v>
      </c>
      <c r="HV11" s="87"/>
      <c r="HW11" s="86" t="s">
        <v>3</v>
      </c>
      <c r="HX11" s="86">
        <v>3</v>
      </c>
      <c r="HY11" s="58">
        <v>11.1</v>
      </c>
      <c r="HZ11" s="96"/>
      <c r="IA11" s="96"/>
      <c r="IB11" s="53">
        <v>24.73</v>
      </c>
      <c r="IC11" s="58">
        <f t="shared" si="51"/>
        <v>13.63</v>
      </c>
      <c r="ID11" s="97">
        <v>7.3</v>
      </c>
      <c r="IE11" s="58">
        <v>1</v>
      </c>
      <c r="IF11" s="59">
        <f t="shared" si="52"/>
        <v>5.330000000000001</v>
      </c>
      <c r="IG11" s="86">
        <v>5</v>
      </c>
      <c r="IH11" s="86">
        <f t="shared" si="53"/>
        <v>33.000000000000099</v>
      </c>
      <c r="II11" s="87"/>
      <c r="IJ11" s="1"/>
      <c r="IK11" s="86" t="s">
        <v>3</v>
      </c>
      <c r="IL11" s="86">
        <v>3</v>
      </c>
      <c r="IM11" s="58">
        <v>11.25</v>
      </c>
      <c r="IN11" s="96"/>
      <c r="IO11" s="96"/>
      <c r="IP11" s="53">
        <v>24.73</v>
      </c>
      <c r="IQ11" s="58">
        <f t="shared" si="54"/>
        <v>13.48</v>
      </c>
      <c r="IR11" s="97">
        <v>7.3</v>
      </c>
      <c r="IS11" s="58">
        <v>1</v>
      </c>
      <c r="IT11" s="59">
        <f t="shared" si="55"/>
        <v>5.1800000000000006</v>
      </c>
      <c r="IU11" s="86">
        <v>5</v>
      </c>
      <c r="IV11" s="86">
        <f t="shared" si="56"/>
        <v>18.00000000000006</v>
      </c>
      <c r="IW11" s="87"/>
      <c r="IX11" s="86" t="s">
        <v>3</v>
      </c>
      <c r="IY11" s="86">
        <v>3</v>
      </c>
      <c r="IZ11" s="58">
        <v>11.1</v>
      </c>
      <c r="JA11" s="96"/>
      <c r="JB11" s="96"/>
      <c r="JC11" s="53">
        <v>24.73</v>
      </c>
      <c r="JD11" s="58">
        <f t="shared" si="57"/>
        <v>13.63</v>
      </c>
      <c r="JE11" s="97">
        <v>7.3</v>
      </c>
      <c r="JF11" s="58">
        <v>1</v>
      </c>
      <c r="JG11" s="59">
        <f t="shared" si="58"/>
        <v>5.330000000000001</v>
      </c>
      <c r="JH11" s="86">
        <v>5</v>
      </c>
      <c r="JI11" s="86">
        <f t="shared" si="59"/>
        <v>33.000000000000099</v>
      </c>
      <c r="JJ11" s="87"/>
    </row>
    <row r="12" spans="1:270" ht="17.149999999999999" customHeight="1" x14ac:dyDescent="0.35">
      <c r="A12" s="86" t="s">
        <v>4</v>
      </c>
      <c r="B12" s="86">
        <v>4</v>
      </c>
      <c r="C12" s="58">
        <v>10.1</v>
      </c>
      <c r="D12" s="96"/>
      <c r="E12" s="96"/>
      <c r="F12" s="53">
        <v>25.68</v>
      </c>
      <c r="G12" s="58">
        <f t="shared" si="0"/>
        <v>15.58</v>
      </c>
      <c r="H12" s="97">
        <v>7.3</v>
      </c>
      <c r="I12" s="58">
        <v>1</v>
      </c>
      <c r="J12" s="59">
        <f t="shared" si="1"/>
        <v>7.2800000000000011</v>
      </c>
      <c r="K12" s="86">
        <v>7</v>
      </c>
      <c r="L12" s="86">
        <f t="shared" si="2"/>
        <v>28.000000000000114</v>
      </c>
      <c r="M12" s="98"/>
      <c r="O12" s="86" t="s">
        <v>4</v>
      </c>
      <c r="P12" s="86">
        <v>4</v>
      </c>
      <c r="Q12" s="58">
        <v>11.1</v>
      </c>
      <c r="R12" s="96"/>
      <c r="S12" s="96"/>
      <c r="T12" s="53">
        <v>25.68</v>
      </c>
      <c r="U12" s="58">
        <f t="shared" si="3"/>
        <v>14.58</v>
      </c>
      <c r="V12" s="97">
        <v>7.3</v>
      </c>
      <c r="W12" s="58">
        <v>1</v>
      </c>
      <c r="X12" s="59">
        <f t="shared" si="4"/>
        <v>6.28</v>
      </c>
      <c r="Y12" s="86">
        <v>6</v>
      </c>
      <c r="Z12" s="86">
        <f t="shared" si="5"/>
        <v>28.000000000000025</v>
      </c>
      <c r="AA12" s="98"/>
      <c r="AC12" s="86" t="s">
        <v>4</v>
      </c>
      <c r="AD12" s="86">
        <v>4</v>
      </c>
      <c r="AE12" s="58">
        <v>11.1</v>
      </c>
      <c r="AF12" s="96"/>
      <c r="AG12" s="96"/>
      <c r="AH12" s="53">
        <v>25.68</v>
      </c>
      <c r="AI12" s="58">
        <f t="shared" si="6"/>
        <v>14.58</v>
      </c>
      <c r="AJ12" s="97">
        <v>7.3</v>
      </c>
      <c r="AK12" s="58">
        <v>1</v>
      </c>
      <c r="AL12" s="59">
        <f t="shared" si="7"/>
        <v>6.28</v>
      </c>
      <c r="AM12" s="86">
        <v>6</v>
      </c>
      <c r="AN12" s="86">
        <f t="shared" si="8"/>
        <v>28.000000000000025</v>
      </c>
      <c r="AO12" s="98"/>
      <c r="AP12" s="86" t="s">
        <v>4</v>
      </c>
      <c r="AQ12" s="86">
        <v>4</v>
      </c>
      <c r="AR12" s="58">
        <v>10.35</v>
      </c>
      <c r="AS12" s="96"/>
      <c r="AT12" s="96"/>
      <c r="AU12" s="53">
        <v>25.68</v>
      </c>
      <c r="AV12" s="58">
        <f t="shared" si="9"/>
        <v>15.33</v>
      </c>
      <c r="AW12" s="97">
        <v>7.3</v>
      </c>
      <c r="AX12" s="58">
        <v>1</v>
      </c>
      <c r="AY12" s="59">
        <f t="shared" si="10"/>
        <v>7.0300000000000011</v>
      </c>
      <c r="AZ12" s="86">
        <v>7</v>
      </c>
      <c r="BA12" s="86">
        <f t="shared" si="11"/>
        <v>3.0000000000001137</v>
      </c>
      <c r="BB12" s="98"/>
      <c r="BD12" s="86" t="s">
        <v>4</v>
      </c>
      <c r="BE12" s="86">
        <v>4</v>
      </c>
      <c r="BF12" s="58">
        <v>10.35</v>
      </c>
      <c r="BG12" s="96"/>
      <c r="BH12" s="96"/>
      <c r="BI12" s="53">
        <v>25.68</v>
      </c>
      <c r="BJ12" s="58">
        <f t="shared" si="12"/>
        <v>15.33</v>
      </c>
      <c r="BK12" s="97">
        <v>7.3</v>
      </c>
      <c r="BL12" s="58">
        <v>1</v>
      </c>
      <c r="BM12" s="59">
        <f t="shared" si="13"/>
        <v>7.0300000000000011</v>
      </c>
      <c r="BN12" s="86">
        <v>7</v>
      </c>
      <c r="BO12" s="86">
        <f t="shared" si="14"/>
        <v>3.0000000000001137</v>
      </c>
      <c r="BP12" s="98"/>
      <c r="BQ12" s="86" t="s">
        <v>4</v>
      </c>
      <c r="BR12" s="86">
        <v>4</v>
      </c>
      <c r="BS12" s="58">
        <v>11.15</v>
      </c>
      <c r="BT12" s="96"/>
      <c r="BU12" s="96"/>
      <c r="BV12" s="53">
        <v>25.68</v>
      </c>
      <c r="BW12" s="58">
        <f t="shared" si="15"/>
        <v>14.53</v>
      </c>
      <c r="BX12" s="97">
        <v>7.3</v>
      </c>
      <c r="BY12" s="58">
        <v>1</v>
      </c>
      <c r="BZ12" s="59">
        <f t="shared" si="16"/>
        <v>6.2299999999999995</v>
      </c>
      <c r="CA12" s="86">
        <v>6</v>
      </c>
      <c r="CB12" s="86">
        <f t="shared" si="17"/>
        <v>22.999999999999954</v>
      </c>
      <c r="CC12" s="98"/>
      <c r="CE12" s="86" t="s">
        <v>4</v>
      </c>
      <c r="CF12" s="86">
        <v>4</v>
      </c>
      <c r="CG12" s="58">
        <v>11.1</v>
      </c>
      <c r="CH12" s="96"/>
      <c r="CI12" s="96"/>
      <c r="CJ12" s="53">
        <v>25.68</v>
      </c>
      <c r="CK12" s="58">
        <f t="shared" si="18"/>
        <v>14.58</v>
      </c>
      <c r="CL12" s="97">
        <v>7.3</v>
      </c>
      <c r="CM12" s="58">
        <v>1</v>
      </c>
      <c r="CN12" s="59">
        <f t="shared" si="19"/>
        <v>6.28</v>
      </c>
      <c r="CO12" s="86">
        <v>6</v>
      </c>
      <c r="CP12" s="86">
        <f t="shared" si="20"/>
        <v>28.000000000000025</v>
      </c>
      <c r="CQ12" s="98"/>
      <c r="CR12" s="86" t="s">
        <v>4</v>
      </c>
      <c r="CS12" s="86">
        <v>4</v>
      </c>
      <c r="CT12" s="58"/>
      <c r="CU12" s="96"/>
      <c r="CV12" s="96"/>
      <c r="CW12" s="53"/>
      <c r="CX12" s="58"/>
      <c r="CY12" s="97"/>
      <c r="CZ12" s="58"/>
      <c r="DA12" s="59"/>
      <c r="DB12" s="86"/>
      <c r="DC12" s="86"/>
      <c r="DD12" s="98" t="s">
        <v>227</v>
      </c>
      <c r="DF12" s="86" t="s">
        <v>4</v>
      </c>
      <c r="DG12" s="86">
        <v>4</v>
      </c>
      <c r="DH12" s="58">
        <v>11.1</v>
      </c>
      <c r="DI12" s="96"/>
      <c r="DJ12" s="96"/>
      <c r="DK12" s="53">
        <v>25.68</v>
      </c>
      <c r="DL12" s="58">
        <f t="shared" si="24"/>
        <v>14.58</v>
      </c>
      <c r="DM12" s="97">
        <v>7.3</v>
      </c>
      <c r="DN12" s="58">
        <v>1</v>
      </c>
      <c r="DO12" s="59">
        <f t="shared" si="25"/>
        <v>6.28</v>
      </c>
      <c r="DP12" s="86">
        <v>6</v>
      </c>
      <c r="DQ12" s="86">
        <f t="shared" si="26"/>
        <v>28.000000000000025</v>
      </c>
      <c r="DR12" s="98"/>
      <c r="DS12" s="86" t="s">
        <v>4</v>
      </c>
      <c r="DT12" s="86">
        <v>4</v>
      </c>
      <c r="DU12" s="58">
        <v>11.15</v>
      </c>
      <c r="DV12" s="96"/>
      <c r="DW12" s="96"/>
      <c r="DX12" s="53">
        <v>25.68</v>
      </c>
      <c r="DY12" s="58">
        <f t="shared" si="27"/>
        <v>14.53</v>
      </c>
      <c r="DZ12" s="97">
        <v>7.3</v>
      </c>
      <c r="EA12" s="58">
        <v>1</v>
      </c>
      <c r="EB12" s="59">
        <f t="shared" si="28"/>
        <v>6.2299999999999995</v>
      </c>
      <c r="EC12" s="86">
        <v>6</v>
      </c>
      <c r="ED12" s="86">
        <f t="shared" si="29"/>
        <v>22.999999999999954</v>
      </c>
      <c r="EE12" s="98"/>
      <c r="EG12" s="86" t="s">
        <v>4</v>
      </c>
      <c r="EH12" s="86">
        <v>4</v>
      </c>
      <c r="EI12" s="58"/>
      <c r="EJ12" s="96"/>
      <c r="EK12" s="96"/>
      <c r="EL12" s="53"/>
      <c r="EM12" s="58"/>
      <c r="EN12" s="97"/>
      <c r="EO12" s="58"/>
      <c r="EP12" s="59"/>
      <c r="EQ12" s="86"/>
      <c r="ER12" s="86"/>
      <c r="ES12" s="98" t="s">
        <v>227</v>
      </c>
      <c r="ET12" s="86" t="s">
        <v>4</v>
      </c>
      <c r="EU12" s="86">
        <v>4</v>
      </c>
      <c r="EV12" s="58">
        <v>11.1</v>
      </c>
      <c r="EW12" s="96"/>
      <c r="EX12" s="96"/>
      <c r="EY12" s="53">
        <v>25.68</v>
      </c>
      <c r="EZ12" s="58">
        <f t="shared" si="33"/>
        <v>14.58</v>
      </c>
      <c r="FA12" s="97">
        <v>7.3</v>
      </c>
      <c r="FB12" s="58">
        <v>1</v>
      </c>
      <c r="FC12" s="59">
        <f t="shared" si="34"/>
        <v>6.28</v>
      </c>
      <c r="FD12" s="86">
        <v>6</v>
      </c>
      <c r="FE12" s="86">
        <f t="shared" si="35"/>
        <v>28.000000000000025</v>
      </c>
      <c r="FF12" s="98"/>
      <c r="FH12" s="86" t="s">
        <v>4</v>
      </c>
      <c r="FI12" s="86">
        <v>4</v>
      </c>
      <c r="FJ12" s="58">
        <v>11.1</v>
      </c>
      <c r="FK12" s="96"/>
      <c r="FL12" s="96"/>
      <c r="FM12" s="53">
        <v>25.68</v>
      </c>
      <c r="FN12" s="58">
        <f t="shared" si="36"/>
        <v>14.58</v>
      </c>
      <c r="FO12" s="97">
        <v>7.3</v>
      </c>
      <c r="FP12" s="58">
        <v>1</v>
      </c>
      <c r="FQ12" s="59">
        <f t="shared" si="37"/>
        <v>6.28</v>
      </c>
      <c r="FR12" s="86">
        <v>6</v>
      </c>
      <c r="FS12" s="86">
        <f t="shared" si="38"/>
        <v>28.000000000000025</v>
      </c>
      <c r="FT12" s="98"/>
      <c r="FU12" s="86" t="s">
        <v>4</v>
      </c>
      <c r="FV12" s="86">
        <v>4</v>
      </c>
      <c r="FW12" s="58">
        <v>11.1</v>
      </c>
      <c r="FX12" s="96"/>
      <c r="FY12" s="96"/>
      <c r="FZ12" s="53">
        <v>25.68</v>
      </c>
      <c r="GA12" s="58">
        <f t="shared" si="39"/>
        <v>14.58</v>
      </c>
      <c r="GB12" s="97">
        <v>7.3</v>
      </c>
      <c r="GC12" s="58">
        <v>1</v>
      </c>
      <c r="GD12" s="59">
        <f t="shared" si="40"/>
        <v>6.28</v>
      </c>
      <c r="GE12" s="86">
        <v>6</v>
      </c>
      <c r="GF12" s="86">
        <f t="shared" si="41"/>
        <v>28.000000000000025</v>
      </c>
      <c r="GG12" s="98"/>
      <c r="GI12" s="86" t="s">
        <v>4</v>
      </c>
      <c r="GJ12" s="86">
        <v>4</v>
      </c>
      <c r="GK12" s="58">
        <v>11.1</v>
      </c>
      <c r="GL12" s="96"/>
      <c r="GM12" s="96"/>
      <c r="GN12" s="53">
        <v>25.68</v>
      </c>
      <c r="GO12" s="58">
        <f t="shared" si="42"/>
        <v>14.58</v>
      </c>
      <c r="GP12" s="97">
        <v>7.3</v>
      </c>
      <c r="GQ12" s="58">
        <v>1</v>
      </c>
      <c r="GR12" s="59">
        <f t="shared" si="43"/>
        <v>6.28</v>
      </c>
      <c r="GS12" s="86">
        <v>6</v>
      </c>
      <c r="GT12" s="86">
        <f t="shared" si="44"/>
        <v>28.000000000000025</v>
      </c>
      <c r="GU12" s="98"/>
      <c r="GV12" s="86" t="s">
        <v>4</v>
      </c>
      <c r="GW12" s="86">
        <v>4</v>
      </c>
      <c r="GX12" s="58">
        <v>11.1</v>
      </c>
      <c r="GY12" s="96"/>
      <c r="GZ12" s="96"/>
      <c r="HA12" s="53">
        <v>25.68</v>
      </c>
      <c r="HB12" s="58">
        <f t="shared" si="45"/>
        <v>14.58</v>
      </c>
      <c r="HC12" s="97">
        <v>7.3</v>
      </c>
      <c r="HD12" s="58">
        <v>1</v>
      </c>
      <c r="HE12" s="59">
        <f t="shared" si="46"/>
        <v>6.28</v>
      </c>
      <c r="HF12" s="86">
        <v>6</v>
      </c>
      <c r="HG12" s="86">
        <f t="shared" si="47"/>
        <v>28.000000000000025</v>
      </c>
      <c r="HH12" s="98"/>
      <c r="HJ12" s="86" t="s">
        <v>4</v>
      </c>
      <c r="HK12" s="86">
        <v>4</v>
      </c>
      <c r="HL12" s="58">
        <v>11.1</v>
      </c>
      <c r="HM12" s="96"/>
      <c r="HN12" s="96"/>
      <c r="HO12" s="53">
        <v>25.68</v>
      </c>
      <c r="HP12" s="58">
        <f t="shared" si="48"/>
        <v>14.58</v>
      </c>
      <c r="HQ12" s="97">
        <v>7.3</v>
      </c>
      <c r="HR12" s="58">
        <v>1</v>
      </c>
      <c r="HS12" s="59">
        <f t="shared" si="49"/>
        <v>6.28</v>
      </c>
      <c r="HT12" s="86">
        <v>6</v>
      </c>
      <c r="HU12" s="86">
        <f t="shared" si="50"/>
        <v>28.000000000000025</v>
      </c>
      <c r="HV12" s="98"/>
      <c r="HW12" s="86" t="s">
        <v>4</v>
      </c>
      <c r="HX12" s="86">
        <v>4</v>
      </c>
      <c r="HY12" s="58">
        <v>11.1</v>
      </c>
      <c r="HZ12" s="96"/>
      <c r="IA12" s="96"/>
      <c r="IB12" s="53">
        <v>25.68</v>
      </c>
      <c r="IC12" s="58">
        <f t="shared" si="51"/>
        <v>14.58</v>
      </c>
      <c r="ID12" s="97">
        <v>7.3</v>
      </c>
      <c r="IE12" s="58">
        <v>1</v>
      </c>
      <c r="IF12" s="59">
        <f t="shared" si="52"/>
        <v>6.28</v>
      </c>
      <c r="IG12" s="86">
        <v>6</v>
      </c>
      <c r="IH12" s="86">
        <f t="shared" si="53"/>
        <v>28.000000000000025</v>
      </c>
      <c r="II12" s="98"/>
      <c r="IK12" s="86" t="s">
        <v>4</v>
      </c>
      <c r="IL12" s="86">
        <v>4</v>
      </c>
      <c r="IM12" s="58">
        <v>11.25</v>
      </c>
      <c r="IN12" s="96"/>
      <c r="IO12" s="96"/>
      <c r="IP12" s="53">
        <v>25.68</v>
      </c>
      <c r="IQ12" s="58">
        <f t="shared" si="54"/>
        <v>14.43</v>
      </c>
      <c r="IR12" s="97">
        <v>7.3</v>
      </c>
      <c r="IS12" s="58">
        <v>1</v>
      </c>
      <c r="IT12" s="59">
        <f t="shared" si="55"/>
        <v>6.13</v>
      </c>
      <c r="IU12" s="86">
        <v>6</v>
      </c>
      <c r="IV12" s="86">
        <f t="shared" si="56"/>
        <v>12.999999999999989</v>
      </c>
      <c r="IW12" s="98"/>
      <c r="IX12" s="86" t="s">
        <v>4</v>
      </c>
      <c r="IY12" s="86">
        <v>4</v>
      </c>
      <c r="IZ12" s="58">
        <v>11.1</v>
      </c>
      <c r="JA12" s="96"/>
      <c r="JB12" s="96"/>
      <c r="JC12" s="53">
        <v>25.68</v>
      </c>
      <c r="JD12" s="58">
        <f t="shared" si="57"/>
        <v>14.58</v>
      </c>
      <c r="JE12" s="97">
        <v>7.3</v>
      </c>
      <c r="JF12" s="58">
        <v>1</v>
      </c>
      <c r="JG12" s="59">
        <f t="shared" si="58"/>
        <v>6.28</v>
      </c>
      <c r="JH12" s="86">
        <v>6</v>
      </c>
      <c r="JI12" s="86">
        <f t="shared" si="59"/>
        <v>28.000000000000025</v>
      </c>
      <c r="JJ12" s="98"/>
    </row>
    <row r="13" spans="1:270" ht="17.149999999999999" customHeight="1" x14ac:dyDescent="0.35">
      <c r="A13" s="86" t="s">
        <v>5</v>
      </c>
      <c r="B13" s="86">
        <v>5</v>
      </c>
      <c r="C13" s="58">
        <v>10.1</v>
      </c>
      <c r="D13" s="96"/>
      <c r="E13" s="96"/>
      <c r="F13" s="53">
        <v>26.54</v>
      </c>
      <c r="G13" s="58">
        <f t="shared" si="0"/>
        <v>16.439999999999998</v>
      </c>
      <c r="H13" s="97">
        <v>7.3</v>
      </c>
      <c r="I13" s="58">
        <v>1</v>
      </c>
      <c r="J13" s="59">
        <f t="shared" si="1"/>
        <v>8.139999999999997</v>
      </c>
      <c r="K13" s="86">
        <v>8</v>
      </c>
      <c r="L13" s="86">
        <f t="shared" si="2"/>
        <v>13.999999999999702</v>
      </c>
      <c r="M13" s="98"/>
      <c r="O13" s="86" t="s">
        <v>5</v>
      </c>
      <c r="P13" s="86">
        <v>5</v>
      </c>
      <c r="Q13" s="58">
        <v>11.1</v>
      </c>
      <c r="R13" s="96"/>
      <c r="S13" s="96"/>
      <c r="T13" s="53">
        <v>26.54</v>
      </c>
      <c r="U13" s="58">
        <f t="shared" si="3"/>
        <v>15.44</v>
      </c>
      <c r="V13" s="97">
        <v>7.3</v>
      </c>
      <c r="W13" s="58">
        <v>1</v>
      </c>
      <c r="X13" s="59">
        <f t="shared" si="4"/>
        <v>7.1400000000000006</v>
      </c>
      <c r="Y13" s="86">
        <v>7</v>
      </c>
      <c r="Z13" s="86">
        <f t="shared" si="5"/>
        <v>14.000000000000057</v>
      </c>
      <c r="AA13" s="98"/>
      <c r="AC13" s="86" t="s">
        <v>5</v>
      </c>
      <c r="AD13" s="86">
        <v>5</v>
      </c>
      <c r="AE13" s="58">
        <v>11.1</v>
      </c>
      <c r="AF13" s="96"/>
      <c r="AG13" s="96"/>
      <c r="AH13" s="53">
        <v>26.54</v>
      </c>
      <c r="AI13" s="58">
        <f t="shared" si="6"/>
        <v>15.44</v>
      </c>
      <c r="AJ13" s="97">
        <v>7.3</v>
      </c>
      <c r="AK13" s="58">
        <v>1</v>
      </c>
      <c r="AL13" s="59">
        <f t="shared" si="7"/>
        <v>7.1400000000000006</v>
      </c>
      <c r="AM13" s="86">
        <v>7</v>
      </c>
      <c r="AN13" s="86">
        <f t="shared" si="8"/>
        <v>14.000000000000057</v>
      </c>
      <c r="AO13" s="98"/>
      <c r="AP13" s="86" t="s">
        <v>5</v>
      </c>
      <c r="AQ13" s="86">
        <v>5</v>
      </c>
      <c r="AR13" s="58">
        <v>10.35</v>
      </c>
      <c r="AS13" s="96"/>
      <c r="AT13" s="96"/>
      <c r="AU13" s="53">
        <v>26.54</v>
      </c>
      <c r="AV13" s="58">
        <f t="shared" si="9"/>
        <v>16.189999999999998</v>
      </c>
      <c r="AW13" s="97">
        <v>7.3</v>
      </c>
      <c r="AX13" s="58">
        <v>1.4</v>
      </c>
      <c r="AY13" s="59">
        <f t="shared" si="10"/>
        <v>7.4899999999999967</v>
      </c>
      <c r="AZ13" s="86">
        <v>7</v>
      </c>
      <c r="BA13" s="86">
        <f t="shared" si="11"/>
        <v>48.999999999999666</v>
      </c>
      <c r="BB13" s="98"/>
      <c r="BD13" s="86" t="s">
        <v>5</v>
      </c>
      <c r="BE13" s="86">
        <v>5</v>
      </c>
      <c r="BF13" s="58">
        <v>10.35</v>
      </c>
      <c r="BG13" s="96"/>
      <c r="BH13" s="96"/>
      <c r="BI13" s="53">
        <v>26.54</v>
      </c>
      <c r="BJ13" s="58">
        <f t="shared" si="12"/>
        <v>16.189999999999998</v>
      </c>
      <c r="BK13" s="97">
        <v>7.3</v>
      </c>
      <c r="BL13" s="58">
        <v>1.4</v>
      </c>
      <c r="BM13" s="59">
        <f t="shared" si="13"/>
        <v>7.4899999999999967</v>
      </c>
      <c r="BN13" s="86">
        <v>7</v>
      </c>
      <c r="BO13" s="86">
        <f t="shared" si="14"/>
        <v>48.999999999999666</v>
      </c>
      <c r="BP13" s="98"/>
      <c r="BQ13" s="86" t="s">
        <v>5</v>
      </c>
      <c r="BR13" s="86">
        <v>5</v>
      </c>
      <c r="BS13" s="58">
        <v>11.15</v>
      </c>
      <c r="BT13" s="96"/>
      <c r="BU13" s="96"/>
      <c r="BV13" s="53">
        <v>26.54</v>
      </c>
      <c r="BW13" s="58">
        <f t="shared" si="15"/>
        <v>15.389999999999999</v>
      </c>
      <c r="BX13" s="97">
        <v>7.3</v>
      </c>
      <c r="BY13" s="58">
        <v>1</v>
      </c>
      <c r="BZ13" s="59">
        <f t="shared" si="16"/>
        <v>7.09</v>
      </c>
      <c r="CA13" s="86">
        <v>7</v>
      </c>
      <c r="CB13" s="86">
        <f t="shared" si="17"/>
        <v>8.9999999999999858</v>
      </c>
      <c r="CC13" s="98"/>
      <c r="CE13" s="86" t="s">
        <v>5</v>
      </c>
      <c r="CF13" s="86">
        <v>5</v>
      </c>
      <c r="CG13" s="58">
        <v>11.1</v>
      </c>
      <c r="CH13" s="96"/>
      <c r="CI13" s="96"/>
      <c r="CJ13" s="53">
        <v>26.54</v>
      </c>
      <c r="CK13" s="58">
        <f t="shared" si="18"/>
        <v>15.44</v>
      </c>
      <c r="CL13" s="97">
        <v>7.3</v>
      </c>
      <c r="CM13" s="58">
        <v>1</v>
      </c>
      <c r="CN13" s="59">
        <f t="shared" si="19"/>
        <v>7.1400000000000006</v>
      </c>
      <c r="CO13" s="86">
        <v>7</v>
      </c>
      <c r="CP13" s="86">
        <f t="shared" si="20"/>
        <v>14.000000000000057</v>
      </c>
      <c r="CQ13" s="98"/>
      <c r="CR13" s="86" t="s">
        <v>5</v>
      </c>
      <c r="CS13" s="86">
        <v>5</v>
      </c>
      <c r="CT13" s="58">
        <v>11.1</v>
      </c>
      <c r="CU13" s="96"/>
      <c r="CV13" s="96"/>
      <c r="CW13" s="53">
        <v>26.54</v>
      </c>
      <c r="CX13" s="58">
        <f t="shared" si="21"/>
        <v>15.44</v>
      </c>
      <c r="CY13" s="97">
        <v>7.3</v>
      </c>
      <c r="CZ13" s="58">
        <v>1</v>
      </c>
      <c r="DA13" s="59">
        <f t="shared" si="22"/>
        <v>7.1400000000000006</v>
      </c>
      <c r="DB13" s="86">
        <v>7</v>
      </c>
      <c r="DC13" s="86">
        <f t="shared" si="23"/>
        <v>14.000000000000057</v>
      </c>
      <c r="DD13" s="98"/>
      <c r="DF13" s="86" t="s">
        <v>5</v>
      </c>
      <c r="DG13" s="86">
        <v>5</v>
      </c>
      <c r="DH13" s="58">
        <v>11.1</v>
      </c>
      <c r="DI13" s="96"/>
      <c r="DJ13" s="96"/>
      <c r="DK13" s="53">
        <v>26.54</v>
      </c>
      <c r="DL13" s="58">
        <f t="shared" si="24"/>
        <v>15.44</v>
      </c>
      <c r="DM13" s="97">
        <v>7.3</v>
      </c>
      <c r="DN13" s="58">
        <v>1</v>
      </c>
      <c r="DO13" s="59">
        <f t="shared" si="25"/>
        <v>7.1400000000000006</v>
      </c>
      <c r="DP13" s="86">
        <v>7</v>
      </c>
      <c r="DQ13" s="86">
        <f t="shared" si="26"/>
        <v>14.000000000000057</v>
      </c>
      <c r="DR13" s="98"/>
      <c r="DS13" s="86" t="s">
        <v>5</v>
      </c>
      <c r="DT13" s="86">
        <v>5</v>
      </c>
      <c r="DU13" s="58">
        <v>11.15</v>
      </c>
      <c r="DV13" s="96"/>
      <c r="DW13" s="96"/>
      <c r="DX13" s="53">
        <v>26.54</v>
      </c>
      <c r="DY13" s="58">
        <f t="shared" si="27"/>
        <v>15.389999999999999</v>
      </c>
      <c r="DZ13" s="97">
        <v>7.3</v>
      </c>
      <c r="EA13" s="58">
        <v>1</v>
      </c>
      <c r="EB13" s="59">
        <f t="shared" si="28"/>
        <v>7.09</v>
      </c>
      <c r="EC13" s="86">
        <v>7</v>
      </c>
      <c r="ED13" s="86">
        <f t="shared" si="29"/>
        <v>8.9999999999999858</v>
      </c>
      <c r="EE13" s="98"/>
      <c r="EG13" s="86" t="s">
        <v>5</v>
      </c>
      <c r="EH13" s="86">
        <v>5</v>
      </c>
      <c r="EI13" s="58">
        <v>11.1</v>
      </c>
      <c r="EJ13" s="96"/>
      <c r="EK13" s="96"/>
      <c r="EL13" s="53">
        <v>26.54</v>
      </c>
      <c r="EM13" s="58">
        <f t="shared" si="30"/>
        <v>15.44</v>
      </c>
      <c r="EN13" s="97">
        <v>7.3</v>
      </c>
      <c r="EO13" s="58">
        <v>1</v>
      </c>
      <c r="EP13" s="59">
        <f t="shared" si="31"/>
        <v>7.1400000000000006</v>
      </c>
      <c r="EQ13" s="86">
        <v>7</v>
      </c>
      <c r="ER13" s="86">
        <f t="shared" si="32"/>
        <v>14.000000000000057</v>
      </c>
      <c r="ES13" s="98"/>
      <c r="ET13" s="86" t="s">
        <v>5</v>
      </c>
      <c r="EU13" s="86">
        <v>5</v>
      </c>
      <c r="EV13" s="58">
        <v>11.1</v>
      </c>
      <c r="EW13" s="96"/>
      <c r="EX13" s="96"/>
      <c r="EY13" s="53">
        <v>26.54</v>
      </c>
      <c r="EZ13" s="58">
        <f t="shared" si="33"/>
        <v>15.44</v>
      </c>
      <c r="FA13" s="97">
        <v>7.3</v>
      </c>
      <c r="FB13" s="58">
        <v>1</v>
      </c>
      <c r="FC13" s="59">
        <f t="shared" si="34"/>
        <v>7.1400000000000006</v>
      </c>
      <c r="FD13" s="86">
        <v>7</v>
      </c>
      <c r="FE13" s="86">
        <f t="shared" si="35"/>
        <v>14.000000000000057</v>
      </c>
      <c r="FF13" s="98"/>
      <c r="FH13" s="86" t="s">
        <v>5</v>
      </c>
      <c r="FI13" s="86">
        <v>5</v>
      </c>
      <c r="FJ13" s="58">
        <v>11.1</v>
      </c>
      <c r="FK13" s="96"/>
      <c r="FL13" s="96"/>
      <c r="FM13" s="53">
        <v>26.54</v>
      </c>
      <c r="FN13" s="58">
        <f t="shared" si="36"/>
        <v>15.44</v>
      </c>
      <c r="FO13" s="97">
        <v>7.3</v>
      </c>
      <c r="FP13" s="58">
        <v>1</v>
      </c>
      <c r="FQ13" s="59">
        <f t="shared" si="37"/>
        <v>7.1400000000000006</v>
      </c>
      <c r="FR13" s="86">
        <v>7</v>
      </c>
      <c r="FS13" s="86">
        <f t="shared" si="38"/>
        <v>14.000000000000057</v>
      </c>
      <c r="FT13" s="98"/>
      <c r="FU13" s="86" t="s">
        <v>5</v>
      </c>
      <c r="FV13" s="86">
        <v>5</v>
      </c>
      <c r="FW13" s="58">
        <v>11.1</v>
      </c>
      <c r="FX13" s="96"/>
      <c r="FY13" s="96"/>
      <c r="FZ13" s="53">
        <v>26.54</v>
      </c>
      <c r="GA13" s="58">
        <f t="shared" si="39"/>
        <v>15.44</v>
      </c>
      <c r="GB13" s="97">
        <v>7.3</v>
      </c>
      <c r="GC13" s="58">
        <v>1</v>
      </c>
      <c r="GD13" s="59">
        <f t="shared" si="40"/>
        <v>7.1400000000000006</v>
      </c>
      <c r="GE13" s="86">
        <v>7</v>
      </c>
      <c r="GF13" s="86">
        <f t="shared" si="41"/>
        <v>14.000000000000057</v>
      </c>
      <c r="GG13" s="98"/>
      <c r="GI13" s="86" t="s">
        <v>5</v>
      </c>
      <c r="GJ13" s="86">
        <v>5</v>
      </c>
      <c r="GK13" s="58">
        <v>11.1</v>
      </c>
      <c r="GL13" s="96"/>
      <c r="GM13" s="96"/>
      <c r="GN13" s="53">
        <v>26.54</v>
      </c>
      <c r="GO13" s="58">
        <f t="shared" si="42"/>
        <v>15.44</v>
      </c>
      <c r="GP13" s="97">
        <v>7.3</v>
      </c>
      <c r="GQ13" s="58">
        <v>1</v>
      </c>
      <c r="GR13" s="59">
        <f t="shared" si="43"/>
        <v>7.1400000000000006</v>
      </c>
      <c r="GS13" s="86">
        <v>7</v>
      </c>
      <c r="GT13" s="86">
        <f t="shared" si="44"/>
        <v>14.000000000000057</v>
      </c>
      <c r="GU13" s="98"/>
      <c r="GV13" s="86" t="s">
        <v>5</v>
      </c>
      <c r="GW13" s="86">
        <v>5</v>
      </c>
      <c r="GX13" s="58">
        <v>11.1</v>
      </c>
      <c r="GY13" s="96"/>
      <c r="GZ13" s="96"/>
      <c r="HA13" s="53">
        <v>26.54</v>
      </c>
      <c r="HB13" s="58">
        <f t="shared" si="45"/>
        <v>15.44</v>
      </c>
      <c r="HC13" s="97">
        <v>7.3</v>
      </c>
      <c r="HD13" s="58">
        <v>1</v>
      </c>
      <c r="HE13" s="59">
        <f t="shared" si="46"/>
        <v>7.1400000000000006</v>
      </c>
      <c r="HF13" s="86">
        <v>7</v>
      </c>
      <c r="HG13" s="86">
        <f t="shared" si="47"/>
        <v>14.000000000000057</v>
      </c>
      <c r="HH13" s="98"/>
      <c r="HJ13" s="86" t="s">
        <v>5</v>
      </c>
      <c r="HK13" s="86">
        <v>5</v>
      </c>
      <c r="HL13" s="58">
        <v>11.1</v>
      </c>
      <c r="HM13" s="96"/>
      <c r="HN13" s="96"/>
      <c r="HO13" s="53">
        <v>26.54</v>
      </c>
      <c r="HP13" s="58">
        <f t="shared" si="48"/>
        <v>15.44</v>
      </c>
      <c r="HQ13" s="97">
        <v>7.3</v>
      </c>
      <c r="HR13" s="58">
        <v>1</v>
      </c>
      <c r="HS13" s="59">
        <f t="shared" si="49"/>
        <v>7.1400000000000006</v>
      </c>
      <c r="HT13" s="86">
        <v>7</v>
      </c>
      <c r="HU13" s="86">
        <f t="shared" si="50"/>
        <v>14.000000000000057</v>
      </c>
      <c r="HV13" s="98"/>
      <c r="HW13" s="86" t="s">
        <v>5</v>
      </c>
      <c r="HX13" s="86">
        <v>5</v>
      </c>
      <c r="HY13" s="58">
        <v>11.1</v>
      </c>
      <c r="HZ13" s="96"/>
      <c r="IA13" s="96"/>
      <c r="IB13" s="53">
        <v>26.54</v>
      </c>
      <c r="IC13" s="58">
        <f t="shared" si="51"/>
        <v>15.44</v>
      </c>
      <c r="ID13" s="97">
        <v>7.3</v>
      </c>
      <c r="IE13" s="58">
        <v>1</v>
      </c>
      <c r="IF13" s="59">
        <f t="shared" si="52"/>
        <v>7.1400000000000006</v>
      </c>
      <c r="IG13" s="86">
        <v>7</v>
      </c>
      <c r="IH13" s="86">
        <f t="shared" si="53"/>
        <v>14.000000000000057</v>
      </c>
      <c r="II13" s="98"/>
      <c r="IJ13" s="1"/>
      <c r="IK13" s="86" t="s">
        <v>5</v>
      </c>
      <c r="IL13" s="86">
        <v>5</v>
      </c>
      <c r="IM13" s="58">
        <v>11.25</v>
      </c>
      <c r="IN13" s="96"/>
      <c r="IO13" s="96"/>
      <c r="IP13" s="53">
        <v>12.6</v>
      </c>
      <c r="IQ13" s="58">
        <f t="shared" si="54"/>
        <v>1.3499999999999996</v>
      </c>
      <c r="IR13" s="97">
        <v>7.3</v>
      </c>
      <c r="IS13" s="58">
        <v>1.4</v>
      </c>
      <c r="IT13" s="59">
        <f t="shared" si="55"/>
        <v>-7.35</v>
      </c>
      <c r="IU13" s="86">
        <v>-7</v>
      </c>
      <c r="IV13" s="86">
        <f t="shared" si="56"/>
        <v>-34.999999999999964</v>
      </c>
      <c r="IW13" s="98"/>
      <c r="IX13" s="86" t="s">
        <v>5</v>
      </c>
      <c r="IY13" s="86">
        <v>5</v>
      </c>
      <c r="IZ13" s="58">
        <v>11.1</v>
      </c>
      <c r="JA13" s="96"/>
      <c r="JB13" s="96"/>
      <c r="JC13" s="53">
        <v>26.54</v>
      </c>
      <c r="JD13" s="58">
        <f t="shared" si="57"/>
        <v>15.44</v>
      </c>
      <c r="JE13" s="97">
        <v>7.3</v>
      </c>
      <c r="JF13" s="58">
        <v>1</v>
      </c>
      <c r="JG13" s="59">
        <f t="shared" si="58"/>
        <v>7.1400000000000006</v>
      </c>
      <c r="JH13" s="86">
        <v>7</v>
      </c>
      <c r="JI13" s="86">
        <f t="shared" si="59"/>
        <v>14.000000000000057</v>
      </c>
      <c r="JJ13" s="98"/>
    </row>
    <row r="14" spans="1:270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0"/>
        <v>0</v>
      </c>
      <c r="H14" s="56"/>
      <c r="I14" s="52"/>
      <c r="J14" s="57">
        <f t="shared" si="1"/>
        <v>0</v>
      </c>
      <c r="K14" s="55"/>
      <c r="L14" s="55">
        <f t="shared" si="2"/>
        <v>0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/>
      <c r="Z14" s="55">
        <f t="shared" si="5"/>
        <v>0</v>
      </c>
      <c r="AA14" s="95"/>
      <c r="AC14" s="55" t="s">
        <v>6</v>
      </c>
      <c r="AD14" s="55">
        <v>6</v>
      </c>
      <c r="AE14" s="52"/>
      <c r="AF14" s="52"/>
      <c r="AG14" s="52"/>
      <c r="AH14" s="52"/>
      <c r="AI14" s="52">
        <f t="shared" si="6"/>
        <v>0</v>
      </c>
      <c r="AJ14" s="56"/>
      <c r="AK14" s="52"/>
      <c r="AL14" s="57">
        <f t="shared" si="7"/>
        <v>0</v>
      </c>
      <c r="AM14" s="55"/>
      <c r="AN14" s="55">
        <f t="shared" si="8"/>
        <v>0</v>
      </c>
      <c r="AO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/>
      <c r="BA14" s="55">
        <f t="shared" si="11"/>
        <v>0</v>
      </c>
      <c r="BB14" s="95"/>
      <c r="BD14" s="55" t="s">
        <v>6</v>
      </c>
      <c r="BE14" s="55">
        <v>6</v>
      </c>
      <c r="BF14" s="52"/>
      <c r="BG14" s="52"/>
      <c r="BH14" s="52">
        <v>9.0500000000000007</v>
      </c>
      <c r="BI14" s="52">
        <v>13.31</v>
      </c>
      <c r="BJ14" s="52">
        <f t="shared" si="12"/>
        <v>4.26</v>
      </c>
      <c r="BK14" s="56"/>
      <c r="BL14" s="52"/>
      <c r="BM14" s="57">
        <f t="shared" si="13"/>
        <v>4.26</v>
      </c>
      <c r="BN14" s="55">
        <v>4</v>
      </c>
      <c r="BO14" s="55">
        <f t="shared" si="14"/>
        <v>25.999999999999979</v>
      </c>
      <c r="BP14" s="95"/>
      <c r="BQ14" s="55" t="s">
        <v>6</v>
      </c>
      <c r="BR14" s="55">
        <v>6</v>
      </c>
      <c r="BS14" s="52"/>
      <c r="BT14" s="52"/>
      <c r="BU14" s="52"/>
      <c r="BV14" s="52"/>
      <c r="BW14" s="52">
        <f t="shared" si="15"/>
        <v>0</v>
      </c>
      <c r="BX14" s="56"/>
      <c r="BY14" s="52"/>
      <c r="BZ14" s="57">
        <f t="shared" si="16"/>
        <v>0</v>
      </c>
      <c r="CA14" s="55"/>
      <c r="CB14" s="55">
        <f t="shared" si="17"/>
        <v>0</v>
      </c>
      <c r="CC14" s="95"/>
      <c r="CE14" s="55" t="s">
        <v>6</v>
      </c>
      <c r="CF14" s="55">
        <v>6</v>
      </c>
      <c r="CG14" s="52"/>
      <c r="CH14" s="52"/>
      <c r="CI14" s="52"/>
      <c r="CJ14" s="52"/>
      <c r="CK14" s="52">
        <f t="shared" si="18"/>
        <v>0</v>
      </c>
      <c r="CL14" s="56"/>
      <c r="CM14" s="52"/>
      <c r="CN14" s="57">
        <f t="shared" si="19"/>
        <v>0</v>
      </c>
      <c r="CO14" s="55"/>
      <c r="CP14" s="55">
        <f t="shared" si="20"/>
        <v>0</v>
      </c>
      <c r="CQ14" s="95"/>
      <c r="CR14" s="55" t="s">
        <v>6</v>
      </c>
      <c r="CS14" s="55">
        <v>6</v>
      </c>
      <c r="CT14" s="52"/>
      <c r="CU14" s="52"/>
      <c r="CV14" s="52"/>
      <c r="CW14" s="52"/>
      <c r="CX14" s="52">
        <f t="shared" si="21"/>
        <v>0</v>
      </c>
      <c r="CY14" s="56"/>
      <c r="CZ14" s="52"/>
      <c r="DA14" s="57">
        <f t="shared" si="22"/>
        <v>0</v>
      </c>
      <c r="DB14" s="55"/>
      <c r="DC14" s="55">
        <f t="shared" si="23"/>
        <v>0</v>
      </c>
      <c r="DD14" s="95"/>
      <c r="DF14" s="55" t="s">
        <v>6</v>
      </c>
      <c r="DG14" s="55">
        <v>6</v>
      </c>
      <c r="DH14" s="52"/>
      <c r="DI14" s="52"/>
      <c r="DJ14" s="52"/>
      <c r="DK14" s="52"/>
      <c r="DL14" s="52">
        <f t="shared" si="24"/>
        <v>0</v>
      </c>
      <c r="DM14" s="56"/>
      <c r="DN14" s="52"/>
      <c r="DO14" s="57">
        <f t="shared" si="25"/>
        <v>0</v>
      </c>
      <c r="DP14" s="55"/>
      <c r="DQ14" s="55">
        <f t="shared" si="26"/>
        <v>0</v>
      </c>
      <c r="DR14" s="95"/>
      <c r="DS14" s="55" t="s">
        <v>6</v>
      </c>
      <c r="DT14" s="55">
        <v>6</v>
      </c>
      <c r="DU14" s="52"/>
      <c r="DV14" s="52"/>
      <c r="DW14" s="52"/>
      <c r="DX14" s="52"/>
      <c r="DY14" s="52">
        <f t="shared" si="27"/>
        <v>0</v>
      </c>
      <c r="DZ14" s="56"/>
      <c r="EA14" s="52"/>
      <c r="EB14" s="57">
        <f t="shared" si="28"/>
        <v>0</v>
      </c>
      <c r="EC14" s="55"/>
      <c r="ED14" s="55">
        <f t="shared" si="29"/>
        <v>0</v>
      </c>
      <c r="EE14" s="95"/>
      <c r="EG14" s="55" t="s">
        <v>6</v>
      </c>
      <c r="EH14" s="55">
        <v>6</v>
      </c>
      <c r="EI14" s="52"/>
      <c r="EJ14" s="52"/>
      <c r="EK14" s="52"/>
      <c r="EL14" s="52"/>
      <c r="EM14" s="52">
        <f t="shared" si="30"/>
        <v>0</v>
      </c>
      <c r="EN14" s="56"/>
      <c r="EO14" s="52"/>
      <c r="EP14" s="57">
        <f t="shared" si="31"/>
        <v>0</v>
      </c>
      <c r="EQ14" s="55"/>
      <c r="ER14" s="55">
        <f t="shared" si="32"/>
        <v>0</v>
      </c>
      <c r="ES14" s="95"/>
      <c r="ET14" s="55" t="s">
        <v>6</v>
      </c>
      <c r="EU14" s="55">
        <v>6</v>
      </c>
      <c r="EV14" s="52"/>
      <c r="EW14" s="52"/>
      <c r="EX14" s="52"/>
      <c r="EY14" s="52"/>
      <c r="EZ14" s="52">
        <f t="shared" si="33"/>
        <v>0</v>
      </c>
      <c r="FA14" s="56"/>
      <c r="FB14" s="52"/>
      <c r="FC14" s="57">
        <f t="shared" si="34"/>
        <v>0</v>
      </c>
      <c r="FD14" s="55"/>
      <c r="FE14" s="55">
        <f t="shared" si="35"/>
        <v>0</v>
      </c>
      <c r="FF14" s="95"/>
      <c r="FH14" s="55" t="s">
        <v>6</v>
      </c>
      <c r="FI14" s="55">
        <v>6</v>
      </c>
      <c r="FJ14" s="52"/>
      <c r="FK14" s="52"/>
      <c r="FL14" s="52"/>
      <c r="FM14" s="52"/>
      <c r="FN14" s="52">
        <f t="shared" si="36"/>
        <v>0</v>
      </c>
      <c r="FO14" s="56"/>
      <c r="FP14" s="52"/>
      <c r="FQ14" s="57">
        <f t="shared" si="37"/>
        <v>0</v>
      </c>
      <c r="FR14" s="55"/>
      <c r="FS14" s="55">
        <f t="shared" si="38"/>
        <v>0</v>
      </c>
      <c r="FT14" s="95"/>
      <c r="FU14" s="55" t="s">
        <v>6</v>
      </c>
      <c r="FV14" s="55">
        <v>6</v>
      </c>
      <c r="FW14" s="52"/>
      <c r="FX14" s="52"/>
      <c r="FY14" s="52"/>
      <c r="FZ14" s="52"/>
      <c r="GA14" s="52">
        <f t="shared" si="39"/>
        <v>0</v>
      </c>
      <c r="GB14" s="56"/>
      <c r="GC14" s="52"/>
      <c r="GD14" s="57">
        <f t="shared" si="40"/>
        <v>0</v>
      </c>
      <c r="GE14" s="55"/>
      <c r="GF14" s="55">
        <f t="shared" si="41"/>
        <v>0</v>
      </c>
      <c r="GG14" s="95"/>
      <c r="GI14" s="55" t="s">
        <v>6</v>
      </c>
      <c r="GJ14" s="55">
        <v>6</v>
      </c>
      <c r="GK14" s="52"/>
      <c r="GL14" s="52"/>
      <c r="GM14" s="52"/>
      <c r="GN14" s="52"/>
      <c r="GO14" s="52">
        <f t="shared" si="42"/>
        <v>0</v>
      </c>
      <c r="GP14" s="56"/>
      <c r="GQ14" s="52"/>
      <c r="GR14" s="57">
        <f t="shared" si="43"/>
        <v>0</v>
      </c>
      <c r="GS14" s="55"/>
      <c r="GT14" s="55">
        <f t="shared" si="44"/>
        <v>0</v>
      </c>
      <c r="GU14" s="95"/>
      <c r="GV14" s="55" t="s">
        <v>6</v>
      </c>
      <c r="GW14" s="55">
        <v>6</v>
      </c>
      <c r="GX14" s="52"/>
      <c r="GY14" s="52"/>
      <c r="GZ14" s="52"/>
      <c r="HA14" s="52"/>
      <c r="HB14" s="52">
        <f t="shared" si="45"/>
        <v>0</v>
      </c>
      <c r="HC14" s="56"/>
      <c r="HD14" s="52"/>
      <c r="HE14" s="57">
        <f t="shared" si="46"/>
        <v>0</v>
      </c>
      <c r="HF14" s="55"/>
      <c r="HG14" s="55">
        <f t="shared" si="47"/>
        <v>0</v>
      </c>
      <c r="HH14" s="95"/>
      <c r="HJ14" s="55" t="s">
        <v>6</v>
      </c>
      <c r="HK14" s="55">
        <v>6</v>
      </c>
      <c r="HL14" s="52"/>
      <c r="HM14" s="52"/>
      <c r="HN14" s="52"/>
      <c r="HO14" s="52"/>
      <c r="HP14" s="52">
        <f t="shared" si="48"/>
        <v>0</v>
      </c>
      <c r="HQ14" s="56"/>
      <c r="HR14" s="52"/>
      <c r="HS14" s="57">
        <f t="shared" si="49"/>
        <v>0</v>
      </c>
      <c r="HT14" s="55"/>
      <c r="HU14" s="55">
        <f t="shared" si="50"/>
        <v>0</v>
      </c>
      <c r="HV14" s="95"/>
      <c r="HW14" s="55" t="s">
        <v>6</v>
      </c>
      <c r="HX14" s="55">
        <v>6</v>
      </c>
      <c r="HY14" s="52"/>
      <c r="HZ14" s="52"/>
      <c r="IA14" s="52"/>
      <c r="IB14" s="52"/>
      <c r="IC14" s="52">
        <f t="shared" si="51"/>
        <v>0</v>
      </c>
      <c r="ID14" s="56"/>
      <c r="IE14" s="52"/>
      <c r="IF14" s="57">
        <f t="shared" si="52"/>
        <v>0</v>
      </c>
      <c r="IG14" s="55"/>
      <c r="IH14" s="55">
        <f t="shared" si="53"/>
        <v>0</v>
      </c>
      <c r="II14" s="95"/>
      <c r="IK14" s="55" t="s">
        <v>6</v>
      </c>
      <c r="IL14" s="55">
        <v>6</v>
      </c>
      <c r="IM14" s="52"/>
      <c r="IN14" s="52"/>
      <c r="IO14" s="52"/>
      <c r="IP14" s="52"/>
      <c r="IQ14" s="52">
        <f t="shared" si="54"/>
        <v>0</v>
      </c>
      <c r="IR14" s="56"/>
      <c r="IS14" s="52"/>
      <c r="IT14" s="57">
        <f t="shared" si="55"/>
        <v>0</v>
      </c>
      <c r="IU14" s="55"/>
      <c r="IV14" s="55">
        <f t="shared" si="56"/>
        <v>0</v>
      </c>
      <c r="IW14" s="95"/>
      <c r="IX14" s="55" t="s">
        <v>6</v>
      </c>
      <c r="IY14" s="55">
        <v>6</v>
      </c>
      <c r="IZ14" s="52"/>
      <c r="JA14" s="52"/>
      <c r="JB14" s="52"/>
      <c r="JC14" s="52"/>
      <c r="JD14" s="52">
        <f t="shared" si="57"/>
        <v>0</v>
      </c>
      <c r="JE14" s="56"/>
      <c r="JF14" s="52"/>
      <c r="JG14" s="57">
        <f t="shared" si="58"/>
        <v>0</v>
      </c>
      <c r="JH14" s="55"/>
      <c r="JI14" s="55">
        <f t="shared" si="59"/>
        <v>0</v>
      </c>
      <c r="JJ14" s="95"/>
    </row>
    <row r="15" spans="1:270" ht="17.149999999999999" customHeight="1" x14ac:dyDescent="0.35">
      <c r="A15" s="86" t="s">
        <v>1</v>
      </c>
      <c r="B15" s="94">
        <v>7</v>
      </c>
      <c r="C15" s="58">
        <v>10.1</v>
      </c>
      <c r="D15" s="96"/>
      <c r="E15" s="96"/>
      <c r="F15" s="53">
        <v>25.53</v>
      </c>
      <c r="G15" s="58">
        <f t="shared" si="0"/>
        <v>15.430000000000001</v>
      </c>
      <c r="H15" s="97">
        <v>7.3</v>
      </c>
      <c r="I15" s="58">
        <v>1</v>
      </c>
      <c r="J15" s="59">
        <f t="shared" si="1"/>
        <v>7.1300000000000026</v>
      </c>
      <c r="K15" s="86">
        <v>7</v>
      </c>
      <c r="L15" s="86">
        <f t="shared" si="2"/>
        <v>13.000000000000256</v>
      </c>
      <c r="M15" s="98"/>
      <c r="O15" s="86" t="s">
        <v>1</v>
      </c>
      <c r="P15" s="94">
        <v>7</v>
      </c>
      <c r="Q15" s="58">
        <v>11.1</v>
      </c>
      <c r="R15" s="96"/>
      <c r="S15" s="96"/>
      <c r="T15" s="53">
        <v>25.53</v>
      </c>
      <c r="U15" s="58">
        <f t="shared" si="3"/>
        <v>14.430000000000001</v>
      </c>
      <c r="V15" s="97">
        <v>7.3</v>
      </c>
      <c r="W15" s="58">
        <v>1</v>
      </c>
      <c r="X15" s="59">
        <f t="shared" si="4"/>
        <v>6.1300000000000017</v>
      </c>
      <c r="Y15" s="86">
        <v>6</v>
      </c>
      <c r="Z15" s="86">
        <f t="shared" si="5"/>
        <v>13.000000000000167</v>
      </c>
      <c r="AA15" s="98"/>
      <c r="AC15" s="86" t="s">
        <v>1</v>
      </c>
      <c r="AD15" s="94">
        <v>7</v>
      </c>
      <c r="AE15" s="58">
        <v>11.1</v>
      </c>
      <c r="AF15" s="96"/>
      <c r="AG15" s="96"/>
      <c r="AH15" s="53">
        <v>25.53</v>
      </c>
      <c r="AI15" s="58">
        <f t="shared" si="6"/>
        <v>14.430000000000001</v>
      </c>
      <c r="AJ15" s="97">
        <v>7.3</v>
      </c>
      <c r="AK15" s="58">
        <v>1</v>
      </c>
      <c r="AL15" s="59">
        <f t="shared" si="7"/>
        <v>6.1300000000000017</v>
      </c>
      <c r="AM15" s="86">
        <v>6</v>
      </c>
      <c r="AN15" s="86">
        <f t="shared" si="8"/>
        <v>13.000000000000167</v>
      </c>
      <c r="AO15" s="98"/>
      <c r="AP15" s="86" t="s">
        <v>1</v>
      </c>
      <c r="AQ15" s="94">
        <v>7</v>
      </c>
      <c r="AR15" s="58">
        <v>10.35</v>
      </c>
      <c r="AS15" s="96"/>
      <c r="AT15" s="96"/>
      <c r="AU15" s="53">
        <v>25.53</v>
      </c>
      <c r="AV15" s="58">
        <f t="shared" si="9"/>
        <v>15.180000000000001</v>
      </c>
      <c r="AW15" s="97">
        <v>7.3</v>
      </c>
      <c r="AX15" s="58">
        <v>1.4</v>
      </c>
      <c r="AY15" s="59">
        <f t="shared" si="10"/>
        <v>6.4800000000000022</v>
      </c>
      <c r="AZ15" s="86">
        <v>6</v>
      </c>
      <c r="BA15" s="86">
        <f t="shared" si="11"/>
        <v>48.00000000000022</v>
      </c>
      <c r="BB15" s="98"/>
      <c r="BD15" s="86" t="s">
        <v>1</v>
      </c>
      <c r="BE15" s="94">
        <v>7</v>
      </c>
      <c r="BF15" s="58">
        <v>10.35</v>
      </c>
      <c r="BG15" s="96"/>
      <c r="BH15" s="96"/>
      <c r="BI15" s="53">
        <v>25.53</v>
      </c>
      <c r="BJ15" s="58">
        <f t="shared" si="12"/>
        <v>15.180000000000001</v>
      </c>
      <c r="BK15" s="97">
        <v>7.3</v>
      </c>
      <c r="BL15" s="58">
        <v>1.4</v>
      </c>
      <c r="BM15" s="59">
        <f t="shared" si="13"/>
        <v>6.4800000000000022</v>
      </c>
      <c r="BN15" s="86">
        <v>6</v>
      </c>
      <c r="BO15" s="86">
        <f t="shared" si="14"/>
        <v>48.00000000000022</v>
      </c>
      <c r="BP15" s="98"/>
      <c r="BQ15" s="86" t="s">
        <v>1</v>
      </c>
      <c r="BR15" s="94">
        <v>7</v>
      </c>
      <c r="BS15" s="58">
        <v>11.15</v>
      </c>
      <c r="BT15" s="96"/>
      <c r="BU15" s="96"/>
      <c r="BV15" s="53">
        <v>25.53</v>
      </c>
      <c r="BW15" s="58">
        <f t="shared" si="15"/>
        <v>14.38</v>
      </c>
      <c r="BX15" s="97">
        <v>7.3</v>
      </c>
      <c r="BY15" s="58">
        <v>1</v>
      </c>
      <c r="BZ15" s="59">
        <f t="shared" si="16"/>
        <v>6.080000000000001</v>
      </c>
      <c r="CA15" s="86">
        <v>6</v>
      </c>
      <c r="CB15" s="86">
        <f t="shared" si="17"/>
        <v>8.0000000000000959</v>
      </c>
      <c r="CC15" s="98"/>
      <c r="CE15" s="86" t="s">
        <v>1</v>
      </c>
      <c r="CF15" s="94">
        <v>7</v>
      </c>
      <c r="CG15" s="58">
        <v>11.1</v>
      </c>
      <c r="CH15" s="96"/>
      <c r="CI15" s="96"/>
      <c r="CJ15" s="53">
        <v>25.53</v>
      </c>
      <c r="CK15" s="58">
        <f t="shared" si="18"/>
        <v>14.430000000000001</v>
      </c>
      <c r="CL15" s="97">
        <v>7.3</v>
      </c>
      <c r="CM15" s="58">
        <v>1</v>
      </c>
      <c r="CN15" s="59">
        <f t="shared" si="19"/>
        <v>6.1300000000000017</v>
      </c>
      <c r="CO15" s="86">
        <v>6</v>
      </c>
      <c r="CP15" s="86">
        <f t="shared" si="20"/>
        <v>13.000000000000167</v>
      </c>
      <c r="CQ15" s="98"/>
      <c r="CR15" s="86" t="s">
        <v>1</v>
      </c>
      <c r="CS15" s="94">
        <v>7</v>
      </c>
      <c r="CT15" s="58">
        <v>11.1</v>
      </c>
      <c r="CU15" s="96"/>
      <c r="CV15" s="96"/>
      <c r="CW15" s="53">
        <v>25.53</v>
      </c>
      <c r="CX15" s="58">
        <f t="shared" si="21"/>
        <v>14.430000000000001</v>
      </c>
      <c r="CY15" s="97">
        <v>7.3</v>
      </c>
      <c r="CZ15" s="58">
        <v>1</v>
      </c>
      <c r="DA15" s="59">
        <f t="shared" si="22"/>
        <v>6.1300000000000017</v>
      </c>
      <c r="DB15" s="86">
        <v>6</v>
      </c>
      <c r="DC15" s="86">
        <f t="shared" si="23"/>
        <v>13.000000000000167</v>
      </c>
      <c r="DD15" s="98"/>
      <c r="DF15" s="86" t="s">
        <v>1</v>
      </c>
      <c r="DG15" s="94">
        <v>7</v>
      </c>
      <c r="DH15" s="58">
        <v>11.1</v>
      </c>
      <c r="DI15" s="96"/>
      <c r="DJ15" s="96"/>
      <c r="DK15" s="53">
        <v>25.53</v>
      </c>
      <c r="DL15" s="58">
        <f t="shared" si="24"/>
        <v>14.430000000000001</v>
      </c>
      <c r="DM15" s="97">
        <v>7.3</v>
      </c>
      <c r="DN15" s="58">
        <v>1</v>
      </c>
      <c r="DO15" s="59">
        <f t="shared" si="25"/>
        <v>6.1300000000000017</v>
      </c>
      <c r="DP15" s="86">
        <v>6</v>
      </c>
      <c r="DQ15" s="86">
        <f t="shared" si="26"/>
        <v>13.000000000000167</v>
      </c>
      <c r="DR15" s="98"/>
      <c r="DS15" s="86" t="s">
        <v>1</v>
      </c>
      <c r="DT15" s="94">
        <v>7</v>
      </c>
      <c r="DU15" s="58">
        <v>11.15</v>
      </c>
      <c r="DV15" s="96"/>
      <c r="DW15" s="96"/>
      <c r="DX15" s="53">
        <v>25.53</v>
      </c>
      <c r="DY15" s="58">
        <f t="shared" si="27"/>
        <v>14.38</v>
      </c>
      <c r="DZ15" s="97">
        <v>7.3</v>
      </c>
      <c r="EA15" s="58">
        <v>1</v>
      </c>
      <c r="EB15" s="59">
        <f t="shared" si="28"/>
        <v>6.080000000000001</v>
      </c>
      <c r="EC15" s="86">
        <v>6</v>
      </c>
      <c r="ED15" s="86">
        <f t="shared" si="29"/>
        <v>8.0000000000000959</v>
      </c>
      <c r="EE15" s="98"/>
      <c r="EG15" s="86" t="s">
        <v>1</v>
      </c>
      <c r="EH15" s="94">
        <v>7</v>
      </c>
      <c r="EI15" s="58">
        <v>11.1</v>
      </c>
      <c r="EJ15" s="96"/>
      <c r="EK15" s="96"/>
      <c r="EL15" s="53">
        <v>25.53</v>
      </c>
      <c r="EM15" s="58">
        <f t="shared" si="30"/>
        <v>14.430000000000001</v>
      </c>
      <c r="EN15" s="97">
        <v>7.3</v>
      </c>
      <c r="EO15" s="58">
        <v>1</v>
      </c>
      <c r="EP15" s="59">
        <f t="shared" si="31"/>
        <v>6.1300000000000017</v>
      </c>
      <c r="EQ15" s="86">
        <v>6</v>
      </c>
      <c r="ER15" s="86">
        <f t="shared" si="32"/>
        <v>13.000000000000167</v>
      </c>
      <c r="ES15" s="98"/>
      <c r="ET15" s="86" t="s">
        <v>1</v>
      </c>
      <c r="EU15" s="94">
        <v>7</v>
      </c>
      <c r="EV15" s="58">
        <v>11.1</v>
      </c>
      <c r="EW15" s="96"/>
      <c r="EX15" s="96"/>
      <c r="EY15" s="53">
        <v>25.53</v>
      </c>
      <c r="EZ15" s="58">
        <f t="shared" si="33"/>
        <v>14.430000000000001</v>
      </c>
      <c r="FA15" s="97">
        <v>7.3</v>
      </c>
      <c r="FB15" s="58">
        <v>1</v>
      </c>
      <c r="FC15" s="59">
        <f t="shared" si="34"/>
        <v>6.1300000000000017</v>
      </c>
      <c r="FD15" s="86">
        <v>6</v>
      </c>
      <c r="FE15" s="86">
        <f t="shared" si="35"/>
        <v>13.000000000000167</v>
      </c>
      <c r="FF15" s="98"/>
      <c r="FH15" s="86" t="s">
        <v>1</v>
      </c>
      <c r="FI15" s="94">
        <v>7</v>
      </c>
      <c r="FJ15" s="58">
        <v>11.1</v>
      </c>
      <c r="FK15" s="96"/>
      <c r="FL15" s="96"/>
      <c r="FM15" s="53">
        <v>25.53</v>
      </c>
      <c r="FN15" s="58">
        <f t="shared" si="36"/>
        <v>14.430000000000001</v>
      </c>
      <c r="FO15" s="97">
        <v>7.3</v>
      </c>
      <c r="FP15" s="58">
        <v>1</v>
      </c>
      <c r="FQ15" s="59">
        <f t="shared" si="37"/>
        <v>6.1300000000000017</v>
      </c>
      <c r="FR15" s="86">
        <v>6</v>
      </c>
      <c r="FS15" s="86">
        <f t="shared" si="38"/>
        <v>13.000000000000167</v>
      </c>
      <c r="FT15" s="98"/>
      <c r="FU15" s="86" t="s">
        <v>1</v>
      </c>
      <c r="FV15" s="94">
        <v>7</v>
      </c>
      <c r="FW15" s="58">
        <v>11.1</v>
      </c>
      <c r="FX15" s="96"/>
      <c r="FY15" s="96"/>
      <c r="FZ15" s="53">
        <v>25.53</v>
      </c>
      <c r="GA15" s="58">
        <f t="shared" si="39"/>
        <v>14.430000000000001</v>
      </c>
      <c r="GB15" s="97">
        <v>7.3</v>
      </c>
      <c r="GC15" s="58">
        <v>1</v>
      </c>
      <c r="GD15" s="59">
        <f t="shared" si="40"/>
        <v>6.1300000000000017</v>
      </c>
      <c r="GE15" s="86">
        <v>6</v>
      </c>
      <c r="GF15" s="86">
        <f t="shared" si="41"/>
        <v>13.000000000000167</v>
      </c>
      <c r="GG15" s="98"/>
      <c r="GI15" s="86" t="s">
        <v>1</v>
      </c>
      <c r="GJ15" s="94">
        <v>7</v>
      </c>
      <c r="GK15" s="58">
        <v>11.1</v>
      </c>
      <c r="GL15" s="96"/>
      <c r="GM15" s="96"/>
      <c r="GN15" s="53">
        <v>25.53</v>
      </c>
      <c r="GO15" s="58">
        <f t="shared" si="42"/>
        <v>14.430000000000001</v>
      </c>
      <c r="GP15" s="97">
        <v>7.3</v>
      </c>
      <c r="GQ15" s="58">
        <v>1</v>
      </c>
      <c r="GR15" s="59">
        <f t="shared" si="43"/>
        <v>6.1300000000000017</v>
      </c>
      <c r="GS15" s="86">
        <v>6</v>
      </c>
      <c r="GT15" s="86">
        <f t="shared" si="44"/>
        <v>13.000000000000167</v>
      </c>
      <c r="GU15" s="98"/>
      <c r="GV15" s="86" t="s">
        <v>1</v>
      </c>
      <c r="GW15" s="94">
        <v>7</v>
      </c>
      <c r="GX15" s="58">
        <v>11.1</v>
      </c>
      <c r="GY15" s="96"/>
      <c r="GZ15" s="96"/>
      <c r="HA15" s="53">
        <v>25.53</v>
      </c>
      <c r="HB15" s="58">
        <f t="shared" si="45"/>
        <v>14.430000000000001</v>
      </c>
      <c r="HC15" s="97">
        <v>7.3</v>
      </c>
      <c r="HD15" s="58">
        <v>1</v>
      </c>
      <c r="HE15" s="59">
        <f t="shared" si="46"/>
        <v>6.1300000000000017</v>
      </c>
      <c r="HF15" s="86">
        <v>6</v>
      </c>
      <c r="HG15" s="86">
        <f t="shared" si="47"/>
        <v>13.000000000000167</v>
      </c>
      <c r="HH15" s="98"/>
      <c r="HJ15" s="86" t="s">
        <v>1</v>
      </c>
      <c r="HK15" s="94">
        <v>7</v>
      </c>
      <c r="HL15" s="58">
        <v>11.1</v>
      </c>
      <c r="HM15" s="96"/>
      <c r="HN15" s="96"/>
      <c r="HO15" s="53">
        <v>25.53</v>
      </c>
      <c r="HP15" s="58">
        <f t="shared" si="48"/>
        <v>14.430000000000001</v>
      </c>
      <c r="HQ15" s="97">
        <v>7.3</v>
      </c>
      <c r="HR15" s="58">
        <v>1</v>
      </c>
      <c r="HS15" s="59">
        <f t="shared" si="49"/>
        <v>6.1300000000000017</v>
      </c>
      <c r="HT15" s="86">
        <v>6</v>
      </c>
      <c r="HU15" s="86">
        <f t="shared" si="50"/>
        <v>13.000000000000167</v>
      </c>
      <c r="HV15" s="98"/>
      <c r="HW15" s="86" t="s">
        <v>1</v>
      </c>
      <c r="HX15" s="94">
        <v>7</v>
      </c>
      <c r="HY15" s="58">
        <v>11.1</v>
      </c>
      <c r="HZ15" s="96"/>
      <c r="IA15" s="96"/>
      <c r="IB15" s="53">
        <v>25.53</v>
      </c>
      <c r="IC15" s="58">
        <f t="shared" si="51"/>
        <v>14.430000000000001</v>
      </c>
      <c r="ID15" s="97">
        <v>7.3</v>
      </c>
      <c r="IE15" s="58">
        <v>1</v>
      </c>
      <c r="IF15" s="59">
        <f t="shared" si="52"/>
        <v>6.1300000000000017</v>
      </c>
      <c r="IG15" s="86">
        <v>6</v>
      </c>
      <c r="IH15" s="86">
        <f t="shared" si="53"/>
        <v>13.000000000000167</v>
      </c>
      <c r="II15" s="98"/>
      <c r="IJ15" s="1"/>
      <c r="IK15" s="86" t="s">
        <v>1</v>
      </c>
      <c r="IL15" s="94">
        <v>7</v>
      </c>
      <c r="IM15" s="58"/>
      <c r="IN15" s="96"/>
      <c r="IO15" s="96"/>
      <c r="IP15" s="53"/>
      <c r="IQ15" s="58"/>
      <c r="IR15" s="97"/>
      <c r="IS15" s="58"/>
      <c r="IT15" s="59"/>
      <c r="IU15" s="86"/>
      <c r="IV15" s="86"/>
      <c r="IW15" s="98" t="s">
        <v>227</v>
      </c>
      <c r="IX15" s="86" t="s">
        <v>1</v>
      </c>
      <c r="IY15" s="94">
        <v>7</v>
      </c>
      <c r="IZ15" s="58">
        <v>11.1</v>
      </c>
      <c r="JA15" s="96"/>
      <c r="JB15" s="96"/>
      <c r="JC15" s="53">
        <v>25.53</v>
      </c>
      <c r="JD15" s="58">
        <f t="shared" si="57"/>
        <v>14.430000000000001</v>
      </c>
      <c r="JE15" s="97">
        <v>7.3</v>
      </c>
      <c r="JF15" s="58">
        <v>1</v>
      </c>
      <c r="JG15" s="59">
        <f t="shared" si="58"/>
        <v>6.1300000000000017</v>
      </c>
      <c r="JH15" s="86">
        <v>6</v>
      </c>
      <c r="JI15" s="86">
        <f t="shared" si="59"/>
        <v>13.000000000000167</v>
      </c>
      <c r="JJ15" s="98"/>
    </row>
    <row r="16" spans="1:270" ht="17.149999999999999" customHeight="1" x14ac:dyDescent="0.35">
      <c r="A16" s="86" t="s">
        <v>216</v>
      </c>
      <c r="B16" s="86">
        <v>8</v>
      </c>
      <c r="C16" s="58">
        <v>10.1</v>
      </c>
      <c r="D16" s="96"/>
      <c r="E16" s="96"/>
      <c r="F16" s="53">
        <v>23.68</v>
      </c>
      <c r="G16" s="58">
        <f t="shared" si="0"/>
        <v>13.58</v>
      </c>
      <c r="H16" s="97">
        <v>7.3</v>
      </c>
      <c r="I16" s="58">
        <v>1</v>
      </c>
      <c r="J16" s="59">
        <f t="shared" si="1"/>
        <v>5.28</v>
      </c>
      <c r="K16" s="86">
        <v>5</v>
      </c>
      <c r="L16" s="86">
        <f t="shared" si="2"/>
        <v>28.000000000000025</v>
      </c>
      <c r="M16" s="87"/>
      <c r="O16" s="86" t="s">
        <v>216</v>
      </c>
      <c r="P16" s="86">
        <v>8</v>
      </c>
      <c r="Q16" s="58">
        <v>11.1</v>
      </c>
      <c r="R16" s="96"/>
      <c r="S16" s="96"/>
      <c r="T16" s="53">
        <v>23.68</v>
      </c>
      <c r="U16" s="58">
        <f t="shared" si="3"/>
        <v>12.58</v>
      </c>
      <c r="V16" s="97">
        <v>7.3</v>
      </c>
      <c r="W16" s="58">
        <v>1</v>
      </c>
      <c r="X16" s="59">
        <f t="shared" si="4"/>
        <v>4.28</v>
      </c>
      <c r="Y16" s="86">
        <v>4</v>
      </c>
      <c r="Z16" s="86">
        <f t="shared" si="5"/>
        <v>28.000000000000025</v>
      </c>
      <c r="AA16" s="87"/>
      <c r="AC16" s="86" t="s">
        <v>216</v>
      </c>
      <c r="AD16" s="86">
        <v>8</v>
      </c>
      <c r="AE16" s="58">
        <v>11.1</v>
      </c>
      <c r="AF16" s="96"/>
      <c r="AG16" s="96"/>
      <c r="AH16" s="53">
        <v>23.68</v>
      </c>
      <c r="AI16" s="58">
        <f t="shared" si="6"/>
        <v>12.58</v>
      </c>
      <c r="AJ16" s="97">
        <v>7.3</v>
      </c>
      <c r="AK16" s="58">
        <v>1</v>
      </c>
      <c r="AL16" s="59">
        <f t="shared" si="7"/>
        <v>4.28</v>
      </c>
      <c r="AM16" s="86">
        <v>4</v>
      </c>
      <c r="AN16" s="86">
        <f t="shared" si="8"/>
        <v>28.000000000000025</v>
      </c>
      <c r="AO16" s="87"/>
      <c r="AP16" s="86" t="s">
        <v>216</v>
      </c>
      <c r="AQ16" s="86">
        <v>8</v>
      </c>
      <c r="AR16" s="58">
        <v>10.35</v>
      </c>
      <c r="AS16" s="96"/>
      <c r="AT16" s="96"/>
      <c r="AU16" s="53">
        <v>23.68</v>
      </c>
      <c r="AV16" s="58">
        <f t="shared" si="9"/>
        <v>13.33</v>
      </c>
      <c r="AW16" s="97">
        <v>7.3</v>
      </c>
      <c r="AX16" s="58">
        <v>1</v>
      </c>
      <c r="AY16" s="59">
        <f t="shared" si="10"/>
        <v>5.03</v>
      </c>
      <c r="AZ16" s="86">
        <v>5</v>
      </c>
      <c r="BA16" s="86">
        <f t="shared" si="11"/>
        <v>3.0000000000000249</v>
      </c>
      <c r="BB16" s="87"/>
      <c r="BD16" s="86" t="s">
        <v>216</v>
      </c>
      <c r="BE16" s="86">
        <v>8</v>
      </c>
      <c r="BF16" s="58">
        <v>10.35</v>
      </c>
      <c r="BG16" s="96"/>
      <c r="BH16" s="96"/>
      <c r="BI16" s="53">
        <v>23.68</v>
      </c>
      <c r="BJ16" s="58">
        <f t="shared" si="12"/>
        <v>13.33</v>
      </c>
      <c r="BK16" s="97">
        <v>7.3</v>
      </c>
      <c r="BL16" s="58">
        <v>1</v>
      </c>
      <c r="BM16" s="59">
        <f t="shared" si="13"/>
        <v>5.03</v>
      </c>
      <c r="BN16" s="86">
        <v>5</v>
      </c>
      <c r="BO16" s="86">
        <f t="shared" si="14"/>
        <v>3.0000000000000249</v>
      </c>
      <c r="BP16" s="87"/>
      <c r="BQ16" s="86" t="s">
        <v>216</v>
      </c>
      <c r="BR16" s="86">
        <v>8</v>
      </c>
      <c r="BS16" s="58"/>
      <c r="BT16" s="96"/>
      <c r="BU16" s="96"/>
      <c r="BV16" s="53"/>
      <c r="BW16" s="58"/>
      <c r="BX16" s="97"/>
      <c r="BY16" s="58"/>
      <c r="BZ16" s="59"/>
      <c r="CA16" s="86"/>
      <c r="CB16" s="86"/>
      <c r="CC16" s="98" t="s">
        <v>227</v>
      </c>
      <c r="CE16" s="86" t="s">
        <v>216</v>
      </c>
      <c r="CF16" s="86">
        <v>8</v>
      </c>
      <c r="CG16" s="58">
        <v>11.1</v>
      </c>
      <c r="CH16" s="96"/>
      <c r="CI16" s="96"/>
      <c r="CJ16" s="53">
        <v>23.68</v>
      </c>
      <c r="CK16" s="58">
        <f t="shared" si="18"/>
        <v>12.58</v>
      </c>
      <c r="CL16" s="97">
        <v>7.3</v>
      </c>
      <c r="CM16" s="58">
        <v>1</v>
      </c>
      <c r="CN16" s="59">
        <f t="shared" si="19"/>
        <v>4.28</v>
      </c>
      <c r="CO16" s="86">
        <v>4</v>
      </c>
      <c r="CP16" s="86">
        <f t="shared" si="20"/>
        <v>28.000000000000025</v>
      </c>
      <c r="CQ16" s="87"/>
      <c r="CR16" s="86" t="s">
        <v>216</v>
      </c>
      <c r="CS16" s="86">
        <v>8</v>
      </c>
      <c r="CT16" s="58">
        <v>11.1</v>
      </c>
      <c r="CU16" s="96"/>
      <c r="CV16" s="96"/>
      <c r="CW16" s="53">
        <v>23.68</v>
      </c>
      <c r="CX16" s="58">
        <f t="shared" si="21"/>
        <v>12.58</v>
      </c>
      <c r="CY16" s="97">
        <v>7.3</v>
      </c>
      <c r="CZ16" s="58">
        <v>1</v>
      </c>
      <c r="DA16" s="59">
        <f t="shared" si="22"/>
        <v>4.28</v>
      </c>
      <c r="DB16" s="86">
        <v>4</v>
      </c>
      <c r="DC16" s="86">
        <f t="shared" si="23"/>
        <v>28.000000000000025</v>
      </c>
      <c r="DD16" s="87"/>
      <c r="DF16" s="86" t="s">
        <v>216</v>
      </c>
      <c r="DG16" s="86">
        <v>8</v>
      </c>
      <c r="DH16" s="58">
        <v>11.1</v>
      </c>
      <c r="DI16" s="96"/>
      <c r="DJ16" s="96"/>
      <c r="DK16" s="53">
        <v>23.68</v>
      </c>
      <c r="DL16" s="58">
        <f t="shared" si="24"/>
        <v>12.58</v>
      </c>
      <c r="DM16" s="97">
        <v>7.3</v>
      </c>
      <c r="DN16" s="58">
        <v>1</v>
      </c>
      <c r="DO16" s="59">
        <f t="shared" si="25"/>
        <v>4.28</v>
      </c>
      <c r="DP16" s="86">
        <v>4</v>
      </c>
      <c r="DQ16" s="86">
        <f t="shared" si="26"/>
        <v>28.000000000000025</v>
      </c>
      <c r="DR16" s="87"/>
      <c r="DS16" s="86" t="s">
        <v>216</v>
      </c>
      <c r="DT16" s="86">
        <v>8</v>
      </c>
      <c r="DU16" s="58">
        <v>11.15</v>
      </c>
      <c r="DV16" s="96"/>
      <c r="DW16" s="96"/>
      <c r="DX16" s="53">
        <v>23.68</v>
      </c>
      <c r="DY16" s="58">
        <f t="shared" si="27"/>
        <v>12.53</v>
      </c>
      <c r="DZ16" s="97">
        <v>7.3</v>
      </c>
      <c r="EA16" s="58">
        <v>1</v>
      </c>
      <c r="EB16" s="59">
        <f t="shared" si="28"/>
        <v>4.2299999999999995</v>
      </c>
      <c r="EC16" s="86">
        <v>4</v>
      </c>
      <c r="ED16" s="86">
        <f t="shared" si="29"/>
        <v>22.999999999999954</v>
      </c>
      <c r="EE16" s="87"/>
      <c r="EG16" s="86" t="s">
        <v>216</v>
      </c>
      <c r="EH16" s="86">
        <v>8</v>
      </c>
      <c r="EI16" s="58">
        <v>11.1</v>
      </c>
      <c r="EJ16" s="96"/>
      <c r="EK16" s="96"/>
      <c r="EL16" s="53">
        <v>23.68</v>
      </c>
      <c r="EM16" s="58">
        <f t="shared" si="30"/>
        <v>12.58</v>
      </c>
      <c r="EN16" s="97">
        <v>7.3</v>
      </c>
      <c r="EO16" s="58">
        <v>1</v>
      </c>
      <c r="EP16" s="59">
        <f t="shared" si="31"/>
        <v>4.28</v>
      </c>
      <c r="EQ16" s="86">
        <v>4</v>
      </c>
      <c r="ER16" s="86">
        <f t="shared" si="32"/>
        <v>28.000000000000025</v>
      </c>
      <c r="ES16" s="87"/>
      <c r="ET16" s="86" t="s">
        <v>216</v>
      </c>
      <c r="EU16" s="86">
        <v>8</v>
      </c>
      <c r="EV16" s="58">
        <v>11.1</v>
      </c>
      <c r="EW16" s="96"/>
      <c r="EX16" s="96"/>
      <c r="EY16" s="53">
        <v>23.68</v>
      </c>
      <c r="EZ16" s="58">
        <f t="shared" si="33"/>
        <v>12.58</v>
      </c>
      <c r="FA16" s="97">
        <v>7.3</v>
      </c>
      <c r="FB16" s="58">
        <v>1</v>
      </c>
      <c r="FC16" s="59">
        <f t="shared" si="34"/>
        <v>4.28</v>
      </c>
      <c r="FD16" s="86">
        <v>4</v>
      </c>
      <c r="FE16" s="86">
        <f t="shared" si="35"/>
        <v>28.000000000000025</v>
      </c>
      <c r="FF16" s="87"/>
      <c r="FH16" s="86" t="s">
        <v>216</v>
      </c>
      <c r="FI16" s="86">
        <v>8</v>
      </c>
      <c r="FJ16" s="58">
        <v>11.1</v>
      </c>
      <c r="FK16" s="96"/>
      <c r="FL16" s="96"/>
      <c r="FM16" s="53">
        <v>23.68</v>
      </c>
      <c r="FN16" s="58">
        <f t="shared" si="36"/>
        <v>12.58</v>
      </c>
      <c r="FO16" s="97">
        <v>7.3</v>
      </c>
      <c r="FP16" s="58">
        <v>1</v>
      </c>
      <c r="FQ16" s="59">
        <f t="shared" si="37"/>
        <v>4.28</v>
      </c>
      <c r="FR16" s="86">
        <v>4</v>
      </c>
      <c r="FS16" s="86">
        <f t="shared" si="38"/>
        <v>28.000000000000025</v>
      </c>
      <c r="FT16" s="87"/>
      <c r="FU16" s="86" t="s">
        <v>216</v>
      </c>
      <c r="FV16" s="86">
        <v>8</v>
      </c>
      <c r="FW16" s="58"/>
      <c r="FX16" s="96"/>
      <c r="FY16" s="96"/>
      <c r="FZ16" s="53"/>
      <c r="GA16" s="58"/>
      <c r="GB16" s="97"/>
      <c r="GC16" s="58"/>
      <c r="GD16" s="59"/>
      <c r="GE16" s="86"/>
      <c r="GF16" s="86"/>
      <c r="GG16" s="98" t="s">
        <v>227</v>
      </c>
      <c r="GI16" s="86" t="s">
        <v>216</v>
      </c>
      <c r="GJ16" s="86">
        <v>8</v>
      </c>
      <c r="GK16" s="58">
        <v>11.1</v>
      </c>
      <c r="GL16" s="96"/>
      <c r="GM16" s="96"/>
      <c r="GN16" s="53">
        <v>23.68</v>
      </c>
      <c r="GO16" s="58">
        <f t="shared" si="42"/>
        <v>12.58</v>
      </c>
      <c r="GP16" s="97">
        <v>7.3</v>
      </c>
      <c r="GQ16" s="58">
        <v>1</v>
      </c>
      <c r="GR16" s="59">
        <f t="shared" si="43"/>
        <v>4.28</v>
      </c>
      <c r="GS16" s="86">
        <v>4</v>
      </c>
      <c r="GT16" s="86">
        <f t="shared" si="44"/>
        <v>28.000000000000025</v>
      </c>
      <c r="GU16" s="87"/>
      <c r="GV16" s="86" t="s">
        <v>216</v>
      </c>
      <c r="GW16" s="86">
        <v>8</v>
      </c>
      <c r="GX16" s="58">
        <v>11.1</v>
      </c>
      <c r="GY16" s="96"/>
      <c r="GZ16" s="96"/>
      <c r="HA16" s="53">
        <v>23.68</v>
      </c>
      <c r="HB16" s="58">
        <f t="shared" si="45"/>
        <v>12.58</v>
      </c>
      <c r="HC16" s="97">
        <v>7.3</v>
      </c>
      <c r="HD16" s="58">
        <v>1</v>
      </c>
      <c r="HE16" s="59">
        <f t="shared" si="46"/>
        <v>4.28</v>
      </c>
      <c r="HF16" s="86">
        <v>4</v>
      </c>
      <c r="HG16" s="86">
        <f t="shared" si="47"/>
        <v>28.000000000000025</v>
      </c>
      <c r="HH16" s="87"/>
      <c r="HJ16" s="86" t="s">
        <v>216</v>
      </c>
      <c r="HK16" s="86">
        <v>8</v>
      </c>
      <c r="HL16" s="58">
        <v>11.1</v>
      </c>
      <c r="HM16" s="96"/>
      <c r="HN16" s="96"/>
      <c r="HO16" s="53">
        <v>23.68</v>
      </c>
      <c r="HP16" s="58">
        <f t="shared" si="48"/>
        <v>12.58</v>
      </c>
      <c r="HQ16" s="97">
        <v>7.3</v>
      </c>
      <c r="HR16" s="58">
        <v>1</v>
      </c>
      <c r="HS16" s="59">
        <f t="shared" si="49"/>
        <v>4.28</v>
      </c>
      <c r="HT16" s="86">
        <v>4</v>
      </c>
      <c r="HU16" s="86">
        <f t="shared" si="50"/>
        <v>28.000000000000025</v>
      </c>
      <c r="HV16" s="87"/>
      <c r="HW16" s="86" t="s">
        <v>216</v>
      </c>
      <c r="HX16" s="86">
        <v>8</v>
      </c>
      <c r="HY16" s="58">
        <v>11.1</v>
      </c>
      <c r="HZ16" s="96"/>
      <c r="IA16" s="96"/>
      <c r="IB16" s="53">
        <v>23.68</v>
      </c>
      <c r="IC16" s="58">
        <f t="shared" si="51"/>
        <v>12.58</v>
      </c>
      <c r="ID16" s="97">
        <v>7.3</v>
      </c>
      <c r="IE16" s="58">
        <v>1</v>
      </c>
      <c r="IF16" s="59">
        <f t="shared" si="52"/>
        <v>4.28</v>
      </c>
      <c r="IG16" s="86">
        <v>4</v>
      </c>
      <c r="IH16" s="86">
        <f t="shared" si="53"/>
        <v>28.000000000000025</v>
      </c>
      <c r="II16" s="87"/>
      <c r="IK16" s="86" t="s">
        <v>216</v>
      </c>
      <c r="IL16" s="86">
        <v>8</v>
      </c>
      <c r="IM16" s="58">
        <v>11.25</v>
      </c>
      <c r="IN16" s="96"/>
      <c r="IO16" s="96"/>
      <c r="IP16" s="53">
        <v>23.68</v>
      </c>
      <c r="IQ16" s="58">
        <f t="shared" si="54"/>
        <v>12.43</v>
      </c>
      <c r="IR16" s="97">
        <v>7.3</v>
      </c>
      <c r="IS16" s="58">
        <v>1</v>
      </c>
      <c r="IT16" s="59">
        <f t="shared" si="55"/>
        <v>4.13</v>
      </c>
      <c r="IU16" s="86">
        <v>4</v>
      </c>
      <c r="IV16" s="86">
        <f t="shared" si="56"/>
        <v>12.999999999999989</v>
      </c>
      <c r="IW16" s="87"/>
      <c r="IX16" s="86" t="s">
        <v>216</v>
      </c>
      <c r="IY16" s="86">
        <v>8</v>
      </c>
      <c r="IZ16" s="58">
        <v>11.1</v>
      </c>
      <c r="JA16" s="96"/>
      <c r="JB16" s="96"/>
      <c r="JC16" s="53">
        <v>23.68</v>
      </c>
      <c r="JD16" s="58">
        <f t="shared" si="57"/>
        <v>12.58</v>
      </c>
      <c r="JE16" s="97">
        <v>7.3</v>
      </c>
      <c r="JF16" s="58">
        <v>1</v>
      </c>
      <c r="JG16" s="59">
        <f t="shared" si="58"/>
        <v>4.28</v>
      </c>
      <c r="JH16" s="86">
        <v>4</v>
      </c>
      <c r="JI16" s="86">
        <f t="shared" si="59"/>
        <v>28.000000000000025</v>
      </c>
      <c r="JJ16" s="87"/>
    </row>
    <row r="17" spans="1:270" ht="17.149999999999999" customHeight="1" x14ac:dyDescent="0.35">
      <c r="A17" s="86" t="s">
        <v>2</v>
      </c>
      <c r="B17" s="86">
        <v>9</v>
      </c>
      <c r="C17" s="58">
        <v>10.1</v>
      </c>
      <c r="D17" s="96"/>
      <c r="E17" s="96"/>
      <c r="F17" s="53">
        <v>23.54</v>
      </c>
      <c r="G17" s="58">
        <f t="shared" si="0"/>
        <v>13.44</v>
      </c>
      <c r="H17" s="97">
        <v>7.3</v>
      </c>
      <c r="I17" s="58">
        <v>1</v>
      </c>
      <c r="J17" s="59">
        <f t="shared" si="1"/>
        <v>5.14</v>
      </c>
      <c r="K17" s="86">
        <v>5</v>
      </c>
      <c r="L17" s="86">
        <f t="shared" si="2"/>
        <v>13.999999999999968</v>
      </c>
      <c r="M17" s="98"/>
      <c r="O17" s="86" t="s">
        <v>2</v>
      </c>
      <c r="P17" s="86">
        <v>9</v>
      </c>
      <c r="Q17" s="58">
        <v>11.1</v>
      </c>
      <c r="R17" s="96"/>
      <c r="S17" s="96"/>
      <c r="T17" s="53">
        <v>23.54</v>
      </c>
      <c r="U17" s="58">
        <f t="shared" si="3"/>
        <v>12.44</v>
      </c>
      <c r="V17" s="97">
        <v>7.3</v>
      </c>
      <c r="W17" s="58">
        <v>1</v>
      </c>
      <c r="X17" s="59">
        <f t="shared" si="4"/>
        <v>4.1399999999999997</v>
      </c>
      <c r="Y17" s="86">
        <v>4</v>
      </c>
      <c r="Z17" s="86">
        <f t="shared" si="5"/>
        <v>13.999999999999968</v>
      </c>
      <c r="AA17" s="98"/>
      <c r="AC17" s="86" t="s">
        <v>2</v>
      </c>
      <c r="AD17" s="86">
        <v>9</v>
      </c>
      <c r="AE17" s="58">
        <v>11.1</v>
      </c>
      <c r="AF17" s="96"/>
      <c r="AG17" s="96"/>
      <c r="AH17" s="53">
        <v>23.54</v>
      </c>
      <c r="AI17" s="58">
        <f t="shared" si="6"/>
        <v>12.44</v>
      </c>
      <c r="AJ17" s="97">
        <v>7.3</v>
      </c>
      <c r="AK17" s="58">
        <v>1</v>
      </c>
      <c r="AL17" s="59">
        <f t="shared" si="7"/>
        <v>4.1399999999999997</v>
      </c>
      <c r="AM17" s="86">
        <v>4</v>
      </c>
      <c r="AN17" s="86">
        <f t="shared" si="8"/>
        <v>13.999999999999968</v>
      </c>
      <c r="AO17" s="98"/>
      <c r="AP17" s="86" t="s">
        <v>2</v>
      </c>
      <c r="AQ17" s="86">
        <v>9</v>
      </c>
      <c r="AR17" s="58">
        <v>10.35</v>
      </c>
      <c r="AS17" s="96"/>
      <c r="AT17" s="96"/>
      <c r="AU17" s="53">
        <v>23.54</v>
      </c>
      <c r="AV17" s="58">
        <f t="shared" si="9"/>
        <v>13.19</v>
      </c>
      <c r="AW17" s="97">
        <v>7.3</v>
      </c>
      <c r="AX17" s="58">
        <v>1.4</v>
      </c>
      <c r="AY17" s="59">
        <f t="shared" si="10"/>
        <v>4.49</v>
      </c>
      <c r="AZ17" s="86">
        <v>4</v>
      </c>
      <c r="BA17" s="86">
        <f t="shared" si="11"/>
        <v>49.000000000000021</v>
      </c>
      <c r="BB17" s="98"/>
      <c r="BD17" s="86" t="s">
        <v>2</v>
      </c>
      <c r="BE17" s="86">
        <v>9</v>
      </c>
      <c r="BF17" s="58">
        <v>10.35</v>
      </c>
      <c r="BG17" s="96"/>
      <c r="BH17" s="96"/>
      <c r="BI17" s="53">
        <v>23.54</v>
      </c>
      <c r="BJ17" s="58">
        <f t="shared" si="12"/>
        <v>13.19</v>
      </c>
      <c r="BK17" s="97">
        <v>7.3</v>
      </c>
      <c r="BL17" s="58">
        <v>1.4</v>
      </c>
      <c r="BM17" s="59">
        <f t="shared" si="13"/>
        <v>4.49</v>
      </c>
      <c r="BN17" s="86">
        <v>4</v>
      </c>
      <c r="BO17" s="86">
        <f t="shared" si="14"/>
        <v>49.000000000000021</v>
      </c>
      <c r="BP17" s="98"/>
      <c r="BQ17" s="86" t="s">
        <v>2</v>
      </c>
      <c r="BR17" s="86">
        <v>9</v>
      </c>
      <c r="BS17" s="58">
        <v>11.15</v>
      </c>
      <c r="BT17" s="96"/>
      <c r="BU17" s="96"/>
      <c r="BV17" s="53">
        <v>23.54</v>
      </c>
      <c r="BW17" s="58">
        <f t="shared" si="15"/>
        <v>12.389999999999999</v>
      </c>
      <c r="BX17" s="97">
        <v>7.3</v>
      </c>
      <c r="BY17" s="58">
        <v>1</v>
      </c>
      <c r="BZ17" s="59">
        <f t="shared" si="16"/>
        <v>4.089999999999999</v>
      </c>
      <c r="CA17" s="86">
        <v>4</v>
      </c>
      <c r="CB17" s="86">
        <f t="shared" si="17"/>
        <v>8.999999999999897</v>
      </c>
      <c r="CC17" s="98"/>
      <c r="CE17" s="86" t="s">
        <v>2</v>
      </c>
      <c r="CF17" s="86">
        <v>9</v>
      </c>
      <c r="CG17" s="58">
        <v>11.1</v>
      </c>
      <c r="CH17" s="96"/>
      <c r="CI17" s="96"/>
      <c r="CJ17" s="53">
        <v>23.54</v>
      </c>
      <c r="CK17" s="58">
        <f t="shared" si="18"/>
        <v>12.44</v>
      </c>
      <c r="CL17" s="97">
        <v>7.3</v>
      </c>
      <c r="CM17" s="58">
        <v>1</v>
      </c>
      <c r="CN17" s="59">
        <f t="shared" si="19"/>
        <v>4.1399999999999997</v>
      </c>
      <c r="CO17" s="86">
        <v>4</v>
      </c>
      <c r="CP17" s="86">
        <f t="shared" si="20"/>
        <v>13.999999999999968</v>
      </c>
      <c r="CQ17" s="98"/>
      <c r="CR17" s="86" t="s">
        <v>2</v>
      </c>
      <c r="CS17" s="86">
        <v>9</v>
      </c>
      <c r="CT17" s="58">
        <v>11.1</v>
      </c>
      <c r="CU17" s="96"/>
      <c r="CV17" s="96"/>
      <c r="CW17" s="53">
        <v>23.54</v>
      </c>
      <c r="CX17" s="58">
        <f t="shared" si="21"/>
        <v>12.44</v>
      </c>
      <c r="CY17" s="97">
        <v>7.3</v>
      </c>
      <c r="CZ17" s="58">
        <v>1</v>
      </c>
      <c r="DA17" s="59">
        <f t="shared" si="22"/>
        <v>4.1399999999999997</v>
      </c>
      <c r="DB17" s="86">
        <v>4</v>
      </c>
      <c r="DC17" s="86">
        <f t="shared" si="23"/>
        <v>13.999999999999968</v>
      </c>
      <c r="DD17" s="98"/>
      <c r="DF17" s="86" t="s">
        <v>2</v>
      </c>
      <c r="DG17" s="86">
        <v>9</v>
      </c>
      <c r="DH17" s="58">
        <v>11.1</v>
      </c>
      <c r="DI17" s="96"/>
      <c r="DJ17" s="96"/>
      <c r="DK17" s="53">
        <v>23.54</v>
      </c>
      <c r="DL17" s="58">
        <f t="shared" si="24"/>
        <v>12.44</v>
      </c>
      <c r="DM17" s="97">
        <v>7.3</v>
      </c>
      <c r="DN17" s="58">
        <v>1</v>
      </c>
      <c r="DO17" s="59">
        <f t="shared" si="25"/>
        <v>4.1399999999999997</v>
      </c>
      <c r="DP17" s="86">
        <v>4</v>
      </c>
      <c r="DQ17" s="86">
        <f t="shared" si="26"/>
        <v>13.999999999999968</v>
      </c>
      <c r="DR17" s="98"/>
      <c r="DS17" s="86" t="s">
        <v>2</v>
      </c>
      <c r="DT17" s="86">
        <v>9</v>
      </c>
      <c r="DU17" s="58">
        <v>11.15</v>
      </c>
      <c r="DV17" s="96"/>
      <c r="DW17" s="96"/>
      <c r="DX17" s="53">
        <v>23.54</v>
      </c>
      <c r="DY17" s="58">
        <f t="shared" si="27"/>
        <v>12.389999999999999</v>
      </c>
      <c r="DZ17" s="97">
        <v>7.3</v>
      </c>
      <c r="EA17" s="58">
        <v>1</v>
      </c>
      <c r="EB17" s="59">
        <f t="shared" si="28"/>
        <v>4.089999999999999</v>
      </c>
      <c r="EC17" s="86">
        <v>4</v>
      </c>
      <c r="ED17" s="86">
        <f t="shared" si="29"/>
        <v>8.999999999999897</v>
      </c>
      <c r="EE17" s="98"/>
      <c r="EG17" s="86" t="s">
        <v>2</v>
      </c>
      <c r="EH17" s="86">
        <v>9</v>
      </c>
      <c r="EI17" s="58">
        <v>11.1</v>
      </c>
      <c r="EJ17" s="96"/>
      <c r="EK17" s="96"/>
      <c r="EL17" s="53">
        <v>23.54</v>
      </c>
      <c r="EM17" s="58">
        <f t="shared" si="30"/>
        <v>12.44</v>
      </c>
      <c r="EN17" s="97">
        <v>7.3</v>
      </c>
      <c r="EO17" s="58">
        <v>1</v>
      </c>
      <c r="EP17" s="59">
        <f t="shared" si="31"/>
        <v>4.1399999999999997</v>
      </c>
      <c r="EQ17" s="86">
        <v>4</v>
      </c>
      <c r="ER17" s="86">
        <f t="shared" si="32"/>
        <v>13.999999999999968</v>
      </c>
      <c r="ES17" s="98"/>
      <c r="ET17" s="86" t="s">
        <v>2</v>
      </c>
      <c r="EU17" s="86">
        <v>9</v>
      </c>
      <c r="EV17" s="58">
        <v>11.1</v>
      </c>
      <c r="EW17" s="96"/>
      <c r="EX17" s="96"/>
      <c r="EY17" s="53">
        <v>23.54</v>
      </c>
      <c r="EZ17" s="58">
        <f t="shared" si="33"/>
        <v>12.44</v>
      </c>
      <c r="FA17" s="97">
        <v>7.3</v>
      </c>
      <c r="FB17" s="58">
        <v>1</v>
      </c>
      <c r="FC17" s="59">
        <f t="shared" si="34"/>
        <v>4.1399999999999997</v>
      </c>
      <c r="FD17" s="86">
        <v>4</v>
      </c>
      <c r="FE17" s="86">
        <f t="shared" si="35"/>
        <v>13.999999999999968</v>
      </c>
      <c r="FF17" s="98"/>
      <c r="FH17" s="86" t="s">
        <v>2</v>
      </c>
      <c r="FI17" s="86">
        <v>9</v>
      </c>
      <c r="FJ17" s="58">
        <v>11.1</v>
      </c>
      <c r="FK17" s="96"/>
      <c r="FL17" s="96"/>
      <c r="FM17" s="53">
        <v>23.54</v>
      </c>
      <c r="FN17" s="58">
        <f t="shared" si="36"/>
        <v>12.44</v>
      </c>
      <c r="FO17" s="97">
        <v>7.3</v>
      </c>
      <c r="FP17" s="58">
        <v>1</v>
      </c>
      <c r="FQ17" s="59">
        <f t="shared" si="37"/>
        <v>4.1399999999999997</v>
      </c>
      <c r="FR17" s="86">
        <v>4</v>
      </c>
      <c r="FS17" s="86">
        <f t="shared" si="38"/>
        <v>13.999999999999968</v>
      </c>
      <c r="FT17" s="98"/>
      <c r="FU17" s="86" t="s">
        <v>2</v>
      </c>
      <c r="FV17" s="86">
        <v>9</v>
      </c>
      <c r="FW17" s="58">
        <v>11.1</v>
      </c>
      <c r="FX17" s="96"/>
      <c r="FY17" s="96"/>
      <c r="FZ17" s="53">
        <v>23.54</v>
      </c>
      <c r="GA17" s="58">
        <f t="shared" si="39"/>
        <v>12.44</v>
      </c>
      <c r="GB17" s="97">
        <v>7.3</v>
      </c>
      <c r="GC17" s="58">
        <v>1</v>
      </c>
      <c r="GD17" s="59">
        <f t="shared" si="40"/>
        <v>4.1399999999999997</v>
      </c>
      <c r="GE17" s="86">
        <v>4</v>
      </c>
      <c r="GF17" s="86">
        <f t="shared" si="41"/>
        <v>13.999999999999968</v>
      </c>
      <c r="GG17" s="98"/>
      <c r="GI17" s="86" t="s">
        <v>2</v>
      </c>
      <c r="GJ17" s="86">
        <v>9</v>
      </c>
      <c r="GK17" s="58">
        <v>11.1</v>
      </c>
      <c r="GL17" s="96"/>
      <c r="GM17" s="96"/>
      <c r="GN17" s="53">
        <v>23.54</v>
      </c>
      <c r="GO17" s="58">
        <f t="shared" si="42"/>
        <v>12.44</v>
      </c>
      <c r="GP17" s="97">
        <v>7.3</v>
      </c>
      <c r="GQ17" s="58">
        <v>1</v>
      </c>
      <c r="GR17" s="59">
        <f t="shared" si="43"/>
        <v>4.1399999999999997</v>
      </c>
      <c r="GS17" s="86">
        <v>4</v>
      </c>
      <c r="GT17" s="86">
        <f t="shared" si="44"/>
        <v>13.999999999999968</v>
      </c>
      <c r="GU17" s="98"/>
      <c r="GV17" s="86" t="s">
        <v>2</v>
      </c>
      <c r="GW17" s="86">
        <v>9</v>
      </c>
      <c r="GX17" s="58">
        <v>11.1</v>
      </c>
      <c r="GY17" s="96"/>
      <c r="GZ17" s="96"/>
      <c r="HA17" s="53">
        <v>23.54</v>
      </c>
      <c r="HB17" s="58">
        <f t="shared" si="45"/>
        <v>12.44</v>
      </c>
      <c r="HC17" s="97">
        <v>7.3</v>
      </c>
      <c r="HD17" s="58">
        <v>1</v>
      </c>
      <c r="HE17" s="59">
        <f t="shared" si="46"/>
        <v>4.1399999999999997</v>
      </c>
      <c r="HF17" s="86">
        <v>4</v>
      </c>
      <c r="HG17" s="86">
        <f t="shared" si="47"/>
        <v>13.999999999999968</v>
      </c>
      <c r="HH17" s="98"/>
      <c r="HJ17" s="86" t="s">
        <v>2</v>
      </c>
      <c r="HK17" s="86">
        <v>9</v>
      </c>
      <c r="HL17" s="58">
        <v>11.1</v>
      </c>
      <c r="HM17" s="96"/>
      <c r="HN17" s="96"/>
      <c r="HO17" s="53">
        <v>23.54</v>
      </c>
      <c r="HP17" s="58">
        <f t="shared" si="48"/>
        <v>12.44</v>
      </c>
      <c r="HQ17" s="97">
        <v>7.3</v>
      </c>
      <c r="HR17" s="58">
        <v>1</v>
      </c>
      <c r="HS17" s="59">
        <f t="shared" si="49"/>
        <v>4.1399999999999997</v>
      </c>
      <c r="HT17" s="86">
        <v>4</v>
      </c>
      <c r="HU17" s="86">
        <f t="shared" si="50"/>
        <v>13.999999999999968</v>
      </c>
      <c r="HV17" s="98"/>
      <c r="HW17" s="86" t="s">
        <v>2</v>
      </c>
      <c r="HX17" s="86">
        <v>9</v>
      </c>
      <c r="HY17" s="58">
        <v>11.1</v>
      </c>
      <c r="HZ17" s="96"/>
      <c r="IA17" s="96"/>
      <c r="IB17" s="53">
        <v>23.54</v>
      </c>
      <c r="IC17" s="58">
        <f t="shared" si="51"/>
        <v>12.44</v>
      </c>
      <c r="ID17" s="97">
        <v>7.3</v>
      </c>
      <c r="IE17" s="58">
        <v>1</v>
      </c>
      <c r="IF17" s="59">
        <f t="shared" si="52"/>
        <v>4.1399999999999997</v>
      </c>
      <c r="IG17" s="86">
        <v>4</v>
      </c>
      <c r="IH17" s="86">
        <f t="shared" si="53"/>
        <v>13.999999999999968</v>
      </c>
      <c r="II17" s="98"/>
      <c r="IJ17" s="1"/>
      <c r="IK17" s="86" t="s">
        <v>2</v>
      </c>
      <c r="IL17" s="86">
        <v>9</v>
      </c>
      <c r="IM17" s="58">
        <v>11.25</v>
      </c>
      <c r="IN17" s="96"/>
      <c r="IO17" s="96"/>
      <c r="IP17" s="53">
        <v>23.54</v>
      </c>
      <c r="IQ17" s="58">
        <f t="shared" si="54"/>
        <v>12.29</v>
      </c>
      <c r="IR17" s="97">
        <v>7.3</v>
      </c>
      <c r="IS17" s="58">
        <v>1.4</v>
      </c>
      <c r="IT17" s="59">
        <f t="shared" si="55"/>
        <v>3.5899999999999994</v>
      </c>
      <c r="IU17" s="86">
        <v>3</v>
      </c>
      <c r="IV17" s="86">
        <f t="shared" si="56"/>
        <v>58.999999999999943</v>
      </c>
      <c r="IW17" s="98"/>
      <c r="IX17" s="86" t="s">
        <v>2</v>
      </c>
      <c r="IY17" s="86">
        <v>9</v>
      </c>
      <c r="IZ17" s="58">
        <v>11.1</v>
      </c>
      <c r="JA17" s="96"/>
      <c r="JB17" s="96"/>
      <c r="JC17" s="53">
        <v>23.54</v>
      </c>
      <c r="JD17" s="58">
        <f t="shared" si="57"/>
        <v>12.44</v>
      </c>
      <c r="JE17" s="97">
        <v>7.3</v>
      </c>
      <c r="JF17" s="58">
        <v>1</v>
      </c>
      <c r="JG17" s="59">
        <f t="shared" si="58"/>
        <v>4.1399999999999997</v>
      </c>
      <c r="JH17" s="86">
        <v>4</v>
      </c>
      <c r="JI17" s="86">
        <f t="shared" si="59"/>
        <v>13.999999999999968</v>
      </c>
      <c r="JJ17" s="98"/>
    </row>
    <row r="18" spans="1:270" s="54" customFormat="1" ht="17.149999999999999" customHeight="1" x14ac:dyDescent="0.35">
      <c r="A18" s="86" t="s">
        <v>225</v>
      </c>
      <c r="B18" s="86">
        <v>10</v>
      </c>
      <c r="C18" s="58">
        <v>10.1</v>
      </c>
      <c r="D18" s="96"/>
      <c r="E18" s="96"/>
      <c r="F18" s="53">
        <v>24.65</v>
      </c>
      <c r="G18" s="58">
        <f t="shared" si="0"/>
        <v>14.549999999999999</v>
      </c>
      <c r="H18" s="97">
        <v>7.3</v>
      </c>
      <c r="I18" s="58">
        <v>1</v>
      </c>
      <c r="J18" s="59">
        <f t="shared" si="1"/>
        <v>6.2499999999999991</v>
      </c>
      <c r="K18" s="86">
        <v>6</v>
      </c>
      <c r="L18" s="86">
        <f t="shared" si="2"/>
        <v>24.999999999999911</v>
      </c>
      <c r="M18" s="98"/>
      <c r="N18"/>
      <c r="O18" s="86" t="s">
        <v>225</v>
      </c>
      <c r="P18" s="86">
        <v>10</v>
      </c>
      <c r="Q18" s="58">
        <v>11.1</v>
      </c>
      <c r="R18" s="96"/>
      <c r="S18" s="96"/>
      <c r="T18" s="53">
        <v>24.65</v>
      </c>
      <c r="U18" s="58">
        <f t="shared" si="3"/>
        <v>13.549999999999999</v>
      </c>
      <c r="V18" s="97">
        <v>7.3</v>
      </c>
      <c r="W18" s="58">
        <v>1</v>
      </c>
      <c r="X18" s="59">
        <f t="shared" si="4"/>
        <v>5.2499999999999991</v>
      </c>
      <c r="Y18" s="86">
        <v>5</v>
      </c>
      <c r="Z18" s="86">
        <f t="shared" si="5"/>
        <v>24.999999999999911</v>
      </c>
      <c r="AA18" s="98"/>
      <c r="AB18"/>
      <c r="AC18" s="86" t="s">
        <v>225</v>
      </c>
      <c r="AD18" s="86">
        <v>10</v>
      </c>
      <c r="AE18" s="58">
        <v>11.1</v>
      </c>
      <c r="AF18" s="96"/>
      <c r="AG18" s="96"/>
      <c r="AH18" s="53">
        <v>24.65</v>
      </c>
      <c r="AI18" s="58">
        <f t="shared" si="6"/>
        <v>13.549999999999999</v>
      </c>
      <c r="AJ18" s="97">
        <v>7.3</v>
      </c>
      <c r="AK18" s="58">
        <v>1</v>
      </c>
      <c r="AL18" s="59">
        <f t="shared" si="7"/>
        <v>5.2499999999999991</v>
      </c>
      <c r="AM18" s="86">
        <v>5</v>
      </c>
      <c r="AN18" s="86">
        <f t="shared" si="8"/>
        <v>24.999999999999911</v>
      </c>
      <c r="AO18" s="98"/>
      <c r="AP18" s="86" t="s">
        <v>225</v>
      </c>
      <c r="AQ18" s="86">
        <v>10</v>
      </c>
      <c r="AR18" s="58">
        <v>10.35</v>
      </c>
      <c r="AS18" s="96"/>
      <c r="AT18" s="96"/>
      <c r="AU18" s="53">
        <v>24.65</v>
      </c>
      <c r="AV18" s="58">
        <f t="shared" si="9"/>
        <v>14.299999999999999</v>
      </c>
      <c r="AW18" s="97">
        <v>7.3</v>
      </c>
      <c r="AX18" s="58">
        <v>1.4</v>
      </c>
      <c r="AY18" s="59">
        <f t="shared" si="10"/>
        <v>5.6</v>
      </c>
      <c r="AZ18" s="86">
        <v>5</v>
      </c>
      <c r="BA18" s="86">
        <f t="shared" si="11"/>
        <v>59.999999999999964</v>
      </c>
      <c r="BB18" s="98"/>
      <c r="BC18"/>
      <c r="BD18" s="86" t="s">
        <v>225</v>
      </c>
      <c r="BE18" s="86">
        <v>10</v>
      </c>
      <c r="BF18" s="58">
        <v>10.35</v>
      </c>
      <c r="BG18" s="96"/>
      <c r="BH18" s="96"/>
      <c r="BI18" s="53">
        <v>24.65</v>
      </c>
      <c r="BJ18" s="58">
        <f t="shared" si="12"/>
        <v>14.299999999999999</v>
      </c>
      <c r="BK18" s="97">
        <v>7.3</v>
      </c>
      <c r="BL18" s="58">
        <v>1.4</v>
      </c>
      <c r="BM18" s="59">
        <f t="shared" si="13"/>
        <v>5.6</v>
      </c>
      <c r="BN18" s="86">
        <v>5</v>
      </c>
      <c r="BO18" s="86">
        <f t="shared" si="14"/>
        <v>59.999999999999964</v>
      </c>
      <c r="BP18" s="98"/>
      <c r="BQ18" s="86" t="s">
        <v>225</v>
      </c>
      <c r="BR18" s="86">
        <v>10</v>
      </c>
      <c r="BS18" s="58">
        <v>11.15</v>
      </c>
      <c r="BT18" s="96"/>
      <c r="BU18" s="96"/>
      <c r="BV18" s="53">
        <v>24.65</v>
      </c>
      <c r="BW18" s="58">
        <f t="shared" si="15"/>
        <v>13.499999999999998</v>
      </c>
      <c r="BX18" s="97">
        <v>7.3</v>
      </c>
      <c r="BY18" s="58">
        <v>1</v>
      </c>
      <c r="BZ18" s="59">
        <f t="shared" si="16"/>
        <v>5.1999999999999984</v>
      </c>
      <c r="CA18" s="86">
        <v>5</v>
      </c>
      <c r="CB18" s="86">
        <f t="shared" si="17"/>
        <v>19.99999999999984</v>
      </c>
      <c r="CC18" s="98"/>
      <c r="CD18"/>
      <c r="CE18" s="86" t="s">
        <v>225</v>
      </c>
      <c r="CF18" s="86">
        <v>10</v>
      </c>
      <c r="CG18" s="58">
        <v>11.1</v>
      </c>
      <c r="CH18" s="96"/>
      <c r="CI18" s="96"/>
      <c r="CJ18" s="53">
        <v>24.65</v>
      </c>
      <c r="CK18" s="58">
        <f t="shared" si="18"/>
        <v>13.549999999999999</v>
      </c>
      <c r="CL18" s="97">
        <v>7.3</v>
      </c>
      <c r="CM18" s="58">
        <v>1</v>
      </c>
      <c r="CN18" s="59">
        <f t="shared" si="19"/>
        <v>5.2499999999999991</v>
      </c>
      <c r="CO18" s="86">
        <v>5</v>
      </c>
      <c r="CP18" s="86">
        <f t="shared" si="20"/>
        <v>24.999999999999911</v>
      </c>
      <c r="CQ18" s="98"/>
      <c r="CR18" s="86" t="s">
        <v>225</v>
      </c>
      <c r="CS18" s="86">
        <v>10</v>
      </c>
      <c r="CT18" s="58">
        <v>11.1</v>
      </c>
      <c r="CU18" s="96"/>
      <c r="CV18" s="96"/>
      <c r="CW18" s="53">
        <v>24.65</v>
      </c>
      <c r="CX18" s="58">
        <f t="shared" si="21"/>
        <v>13.549999999999999</v>
      </c>
      <c r="CY18" s="97">
        <v>7.3</v>
      </c>
      <c r="CZ18" s="58">
        <v>1</v>
      </c>
      <c r="DA18" s="59">
        <f t="shared" si="22"/>
        <v>5.2499999999999991</v>
      </c>
      <c r="DB18" s="86">
        <v>5</v>
      </c>
      <c r="DC18" s="86">
        <f t="shared" si="23"/>
        <v>24.999999999999911</v>
      </c>
      <c r="DD18" s="98"/>
      <c r="DE18"/>
      <c r="DF18" s="86" t="s">
        <v>225</v>
      </c>
      <c r="DG18" s="86">
        <v>10</v>
      </c>
      <c r="DH18" s="58">
        <v>11.1</v>
      </c>
      <c r="DI18" s="96"/>
      <c r="DJ18" s="96"/>
      <c r="DK18" s="53">
        <v>24.65</v>
      </c>
      <c r="DL18" s="58">
        <f t="shared" si="24"/>
        <v>13.549999999999999</v>
      </c>
      <c r="DM18" s="97">
        <v>7.3</v>
      </c>
      <c r="DN18" s="58">
        <v>1</v>
      </c>
      <c r="DO18" s="59">
        <f t="shared" si="25"/>
        <v>5.2499999999999991</v>
      </c>
      <c r="DP18" s="86">
        <v>5</v>
      </c>
      <c r="DQ18" s="86">
        <f t="shared" si="26"/>
        <v>24.999999999999911</v>
      </c>
      <c r="DR18" s="98"/>
      <c r="DS18" s="86" t="s">
        <v>225</v>
      </c>
      <c r="DT18" s="86">
        <v>10</v>
      </c>
      <c r="DU18" s="58">
        <v>11.15</v>
      </c>
      <c r="DV18" s="96"/>
      <c r="DW18" s="96"/>
      <c r="DX18" s="53">
        <v>24.65</v>
      </c>
      <c r="DY18" s="58">
        <f t="shared" si="27"/>
        <v>13.499999999999998</v>
      </c>
      <c r="DZ18" s="97">
        <v>7.3</v>
      </c>
      <c r="EA18" s="58">
        <v>1</v>
      </c>
      <c r="EB18" s="59">
        <f t="shared" si="28"/>
        <v>5.1999999999999984</v>
      </c>
      <c r="EC18" s="86">
        <v>5</v>
      </c>
      <c r="ED18" s="86">
        <f t="shared" si="29"/>
        <v>19.99999999999984</v>
      </c>
      <c r="EE18" s="98"/>
      <c r="EF18"/>
      <c r="EG18" s="86" t="s">
        <v>225</v>
      </c>
      <c r="EH18" s="86">
        <v>10</v>
      </c>
      <c r="EI18" s="58">
        <v>11.1</v>
      </c>
      <c r="EJ18" s="96"/>
      <c r="EK18" s="96"/>
      <c r="EL18" s="53">
        <v>24.65</v>
      </c>
      <c r="EM18" s="58">
        <f t="shared" si="30"/>
        <v>13.549999999999999</v>
      </c>
      <c r="EN18" s="97">
        <v>7.3</v>
      </c>
      <c r="EO18" s="58">
        <v>1</v>
      </c>
      <c r="EP18" s="59">
        <f t="shared" si="31"/>
        <v>5.2499999999999991</v>
      </c>
      <c r="EQ18" s="86">
        <v>5</v>
      </c>
      <c r="ER18" s="86">
        <f t="shared" si="32"/>
        <v>24.999999999999911</v>
      </c>
      <c r="ES18" s="98"/>
      <c r="ET18" s="86" t="s">
        <v>225</v>
      </c>
      <c r="EU18" s="86">
        <v>10</v>
      </c>
      <c r="EV18" s="58">
        <v>11.1</v>
      </c>
      <c r="EW18" s="96"/>
      <c r="EX18" s="96"/>
      <c r="EY18" s="53">
        <v>24.65</v>
      </c>
      <c r="EZ18" s="58">
        <f t="shared" si="33"/>
        <v>13.549999999999999</v>
      </c>
      <c r="FA18" s="97">
        <v>7.3</v>
      </c>
      <c r="FB18" s="58">
        <v>1</v>
      </c>
      <c r="FC18" s="59">
        <f t="shared" si="34"/>
        <v>5.2499999999999991</v>
      </c>
      <c r="FD18" s="86">
        <v>5</v>
      </c>
      <c r="FE18" s="86">
        <f t="shared" si="35"/>
        <v>24.999999999999911</v>
      </c>
      <c r="FF18" s="98"/>
      <c r="FG18"/>
      <c r="FH18" s="86" t="s">
        <v>225</v>
      </c>
      <c r="FI18" s="86">
        <v>10</v>
      </c>
      <c r="FJ18" s="58">
        <v>11.1</v>
      </c>
      <c r="FK18" s="96"/>
      <c r="FL18" s="96"/>
      <c r="FM18" s="53">
        <v>24.65</v>
      </c>
      <c r="FN18" s="58">
        <f t="shared" si="36"/>
        <v>13.549999999999999</v>
      </c>
      <c r="FO18" s="97">
        <v>7.3</v>
      </c>
      <c r="FP18" s="58">
        <v>1</v>
      </c>
      <c r="FQ18" s="59">
        <f t="shared" si="37"/>
        <v>5.2499999999999991</v>
      </c>
      <c r="FR18" s="86">
        <v>5</v>
      </c>
      <c r="FS18" s="86">
        <f t="shared" si="38"/>
        <v>24.999999999999911</v>
      </c>
      <c r="FT18" s="98"/>
      <c r="FU18" s="86" t="s">
        <v>225</v>
      </c>
      <c r="FV18" s="86">
        <v>10</v>
      </c>
      <c r="FW18" s="58">
        <v>11.1</v>
      </c>
      <c r="FX18" s="96"/>
      <c r="FY18" s="96"/>
      <c r="FZ18" s="53">
        <v>24.65</v>
      </c>
      <c r="GA18" s="58">
        <f t="shared" si="39"/>
        <v>13.549999999999999</v>
      </c>
      <c r="GB18" s="97">
        <v>7.3</v>
      </c>
      <c r="GC18" s="58">
        <v>1</v>
      </c>
      <c r="GD18" s="59">
        <f t="shared" si="40"/>
        <v>5.2499999999999991</v>
      </c>
      <c r="GE18" s="86">
        <v>5</v>
      </c>
      <c r="GF18" s="86">
        <f t="shared" si="41"/>
        <v>24.999999999999911</v>
      </c>
      <c r="GG18" s="98"/>
      <c r="GH18"/>
      <c r="GI18" s="86" t="s">
        <v>225</v>
      </c>
      <c r="GJ18" s="86">
        <v>10</v>
      </c>
      <c r="GK18" s="58">
        <v>11.1</v>
      </c>
      <c r="GL18" s="96"/>
      <c r="GM18" s="96"/>
      <c r="GN18" s="53">
        <v>24.65</v>
      </c>
      <c r="GO18" s="58">
        <f t="shared" si="42"/>
        <v>13.549999999999999</v>
      </c>
      <c r="GP18" s="97">
        <v>7.3</v>
      </c>
      <c r="GQ18" s="58">
        <v>1</v>
      </c>
      <c r="GR18" s="59">
        <f t="shared" si="43"/>
        <v>5.2499999999999991</v>
      </c>
      <c r="GS18" s="86">
        <v>5</v>
      </c>
      <c r="GT18" s="86">
        <f t="shared" si="44"/>
        <v>24.999999999999911</v>
      </c>
      <c r="GU18" s="98"/>
      <c r="GV18" s="86" t="s">
        <v>225</v>
      </c>
      <c r="GW18" s="86">
        <v>10</v>
      </c>
      <c r="GX18" s="58">
        <v>11.1</v>
      </c>
      <c r="GY18" s="96"/>
      <c r="GZ18" s="96"/>
      <c r="HA18" s="53">
        <v>24.65</v>
      </c>
      <c r="HB18" s="58">
        <f t="shared" si="45"/>
        <v>13.549999999999999</v>
      </c>
      <c r="HC18" s="97">
        <v>7.3</v>
      </c>
      <c r="HD18" s="58">
        <v>1</v>
      </c>
      <c r="HE18" s="59">
        <f t="shared" si="46"/>
        <v>5.2499999999999991</v>
      </c>
      <c r="HF18" s="86">
        <v>5</v>
      </c>
      <c r="HG18" s="86">
        <f t="shared" si="47"/>
        <v>24.999999999999911</v>
      </c>
      <c r="HH18" s="98"/>
      <c r="HI18"/>
      <c r="HJ18" s="86" t="s">
        <v>225</v>
      </c>
      <c r="HK18" s="86">
        <v>10</v>
      </c>
      <c r="HL18" s="58">
        <v>11.1</v>
      </c>
      <c r="HM18" s="96"/>
      <c r="HN18" s="96"/>
      <c r="HO18" s="53">
        <v>24.65</v>
      </c>
      <c r="HP18" s="58">
        <f t="shared" si="48"/>
        <v>13.549999999999999</v>
      </c>
      <c r="HQ18" s="97">
        <v>7.3</v>
      </c>
      <c r="HR18" s="58">
        <v>1</v>
      </c>
      <c r="HS18" s="59">
        <f t="shared" si="49"/>
        <v>5.2499999999999991</v>
      </c>
      <c r="HT18" s="86">
        <v>5</v>
      </c>
      <c r="HU18" s="86">
        <f t="shared" si="50"/>
        <v>24.999999999999911</v>
      </c>
      <c r="HV18" s="98"/>
      <c r="HW18" s="86" t="s">
        <v>225</v>
      </c>
      <c r="HX18" s="86">
        <v>10</v>
      </c>
      <c r="HY18" s="58">
        <v>11.1</v>
      </c>
      <c r="HZ18" s="96"/>
      <c r="IA18" s="96"/>
      <c r="IB18" s="53">
        <v>24.65</v>
      </c>
      <c r="IC18" s="58">
        <f t="shared" si="51"/>
        <v>13.549999999999999</v>
      </c>
      <c r="ID18" s="97">
        <v>7.3</v>
      </c>
      <c r="IE18" s="58">
        <v>1</v>
      </c>
      <c r="IF18" s="59">
        <f t="shared" si="52"/>
        <v>5.2499999999999991</v>
      </c>
      <c r="IG18" s="86">
        <v>5</v>
      </c>
      <c r="IH18" s="86">
        <f t="shared" si="53"/>
        <v>24.999999999999911</v>
      </c>
      <c r="II18" s="98"/>
      <c r="IJ18"/>
      <c r="IK18" s="86" t="s">
        <v>225</v>
      </c>
      <c r="IL18" s="86">
        <v>10</v>
      </c>
      <c r="IM18" s="58">
        <v>11.25</v>
      </c>
      <c r="IN18" s="96"/>
      <c r="IO18" s="96"/>
      <c r="IP18" s="53">
        <v>24.65</v>
      </c>
      <c r="IQ18" s="58">
        <f t="shared" si="54"/>
        <v>13.399999999999999</v>
      </c>
      <c r="IR18" s="97">
        <v>7.3</v>
      </c>
      <c r="IS18" s="58">
        <v>1</v>
      </c>
      <c r="IT18" s="59">
        <f t="shared" si="55"/>
        <v>5.0999999999999988</v>
      </c>
      <c r="IU18" s="86">
        <v>5</v>
      </c>
      <c r="IV18" s="86">
        <f t="shared" si="56"/>
        <v>9.9999999999998757</v>
      </c>
      <c r="IW18" s="98"/>
      <c r="IX18" s="86" t="s">
        <v>225</v>
      </c>
      <c r="IY18" s="86">
        <v>10</v>
      </c>
      <c r="IZ18" s="58">
        <v>11.1</v>
      </c>
      <c r="JA18" s="96"/>
      <c r="JB18" s="96"/>
      <c r="JC18" s="53">
        <v>24.65</v>
      </c>
      <c r="JD18" s="58">
        <f t="shared" si="57"/>
        <v>13.549999999999999</v>
      </c>
      <c r="JE18" s="97">
        <v>7.3</v>
      </c>
      <c r="JF18" s="58">
        <v>1</v>
      </c>
      <c r="JG18" s="59">
        <f t="shared" si="58"/>
        <v>5.2499999999999991</v>
      </c>
      <c r="JH18" s="86">
        <v>5</v>
      </c>
      <c r="JI18" s="86">
        <f t="shared" si="59"/>
        <v>24.999999999999911</v>
      </c>
      <c r="JJ18" s="98"/>
    </row>
    <row r="19" spans="1:270" ht="17.149999999999999" customHeight="1" x14ac:dyDescent="0.35">
      <c r="A19" s="86" t="s">
        <v>4</v>
      </c>
      <c r="B19" s="86">
        <v>11</v>
      </c>
      <c r="C19" s="58">
        <v>10.1</v>
      </c>
      <c r="D19" s="96"/>
      <c r="E19" s="96"/>
      <c r="F19" s="53">
        <v>25.49</v>
      </c>
      <c r="G19" s="58">
        <f t="shared" si="0"/>
        <v>15.389999999999999</v>
      </c>
      <c r="H19" s="97">
        <v>7.3</v>
      </c>
      <c r="I19" s="58">
        <v>1</v>
      </c>
      <c r="J19" s="59">
        <f t="shared" si="1"/>
        <v>7.09</v>
      </c>
      <c r="K19" s="86">
        <v>7</v>
      </c>
      <c r="L19" s="86">
        <f t="shared" si="2"/>
        <v>8.9999999999999858</v>
      </c>
      <c r="M19" s="98"/>
      <c r="O19" s="86" t="s">
        <v>4</v>
      </c>
      <c r="P19" s="86">
        <v>11</v>
      </c>
      <c r="Q19" s="58">
        <v>11.1</v>
      </c>
      <c r="R19" s="96"/>
      <c r="S19" s="96"/>
      <c r="T19" s="53">
        <v>25.49</v>
      </c>
      <c r="U19" s="58">
        <f t="shared" si="3"/>
        <v>14.389999999999999</v>
      </c>
      <c r="V19" s="97">
        <v>7.3</v>
      </c>
      <c r="W19" s="58">
        <v>1</v>
      </c>
      <c r="X19" s="59">
        <f t="shared" si="4"/>
        <v>6.089999999999999</v>
      </c>
      <c r="Y19" s="86">
        <v>6</v>
      </c>
      <c r="Z19" s="86">
        <f t="shared" si="5"/>
        <v>8.999999999999897</v>
      </c>
      <c r="AA19" s="98"/>
      <c r="AC19" s="86" t="s">
        <v>4</v>
      </c>
      <c r="AD19" s="86">
        <v>11</v>
      </c>
      <c r="AE19" s="58">
        <v>11.1</v>
      </c>
      <c r="AF19" s="96"/>
      <c r="AG19" s="96"/>
      <c r="AH19" s="53">
        <v>25.49</v>
      </c>
      <c r="AI19" s="58">
        <f t="shared" si="6"/>
        <v>14.389999999999999</v>
      </c>
      <c r="AJ19" s="97">
        <v>7.3</v>
      </c>
      <c r="AK19" s="58">
        <v>1</v>
      </c>
      <c r="AL19" s="59">
        <f t="shared" si="7"/>
        <v>6.089999999999999</v>
      </c>
      <c r="AM19" s="86">
        <v>6</v>
      </c>
      <c r="AN19" s="86">
        <f t="shared" si="8"/>
        <v>8.999999999999897</v>
      </c>
      <c r="AO19" s="98"/>
      <c r="AP19" s="86" t="s">
        <v>4</v>
      </c>
      <c r="AQ19" s="86">
        <v>11</v>
      </c>
      <c r="AR19" s="58">
        <v>10.35</v>
      </c>
      <c r="AS19" s="96"/>
      <c r="AT19" s="96"/>
      <c r="AU19" s="53">
        <v>25.49</v>
      </c>
      <c r="AV19" s="58">
        <f t="shared" si="9"/>
        <v>15.139999999999999</v>
      </c>
      <c r="AW19" s="97">
        <v>7.3</v>
      </c>
      <c r="AX19" s="58">
        <v>1.4</v>
      </c>
      <c r="AY19" s="59">
        <f t="shared" si="10"/>
        <v>6.4399999999999995</v>
      </c>
      <c r="AZ19" s="86">
        <v>6</v>
      </c>
      <c r="BA19" s="86">
        <f t="shared" si="11"/>
        <v>43.99999999999995</v>
      </c>
      <c r="BB19" s="98"/>
      <c r="BD19" s="86" t="s">
        <v>4</v>
      </c>
      <c r="BE19" s="86">
        <v>11</v>
      </c>
      <c r="BF19" s="58">
        <v>10.35</v>
      </c>
      <c r="BG19" s="96"/>
      <c r="BH19" s="96"/>
      <c r="BI19" s="53">
        <v>25.49</v>
      </c>
      <c r="BJ19" s="58">
        <f t="shared" si="12"/>
        <v>15.139999999999999</v>
      </c>
      <c r="BK19" s="97">
        <v>7.3</v>
      </c>
      <c r="BL19" s="58">
        <v>1.4</v>
      </c>
      <c r="BM19" s="59">
        <f t="shared" si="13"/>
        <v>6.4399999999999995</v>
      </c>
      <c r="BN19" s="86">
        <v>6</v>
      </c>
      <c r="BO19" s="86">
        <f t="shared" si="14"/>
        <v>43.99999999999995</v>
      </c>
      <c r="BP19" s="98"/>
      <c r="BQ19" s="86" t="s">
        <v>4</v>
      </c>
      <c r="BR19" s="86">
        <v>11</v>
      </c>
      <c r="BS19" s="58">
        <v>11.15</v>
      </c>
      <c r="BT19" s="96"/>
      <c r="BU19" s="96"/>
      <c r="BV19" s="53">
        <v>25.49</v>
      </c>
      <c r="BW19" s="58">
        <f t="shared" si="15"/>
        <v>14.339999999999998</v>
      </c>
      <c r="BX19" s="97">
        <v>7.3</v>
      </c>
      <c r="BY19" s="58">
        <v>1</v>
      </c>
      <c r="BZ19" s="59">
        <f t="shared" si="16"/>
        <v>6.0399999999999983</v>
      </c>
      <c r="CA19" s="86">
        <v>6</v>
      </c>
      <c r="CB19" s="86">
        <f t="shared" si="17"/>
        <v>3.9999999999998259</v>
      </c>
      <c r="CC19" s="98"/>
      <c r="CE19" s="86" t="s">
        <v>4</v>
      </c>
      <c r="CF19" s="86">
        <v>11</v>
      </c>
      <c r="CG19" s="58">
        <v>11.1</v>
      </c>
      <c r="CH19" s="96"/>
      <c r="CI19" s="96"/>
      <c r="CJ19" s="53">
        <v>25.49</v>
      </c>
      <c r="CK19" s="58">
        <f t="shared" si="18"/>
        <v>14.389999999999999</v>
      </c>
      <c r="CL19" s="97">
        <v>7.3</v>
      </c>
      <c r="CM19" s="58">
        <v>1</v>
      </c>
      <c r="CN19" s="59">
        <f t="shared" si="19"/>
        <v>6.089999999999999</v>
      </c>
      <c r="CO19" s="86">
        <v>6</v>
      </c>
      <c r="CP19" s="86">
        <f t="shared" si="20"/>
        <v>8.999999999999897</v>
      </c>
      <c r="CQ19" s="98"/>
      <c r="CR19" s="86" t="s">
        <v>4</v>
      </c>
      <c r="CS19" s="86">
        <v>11</v>
      </c>
      <c r="CT19" s="58">
        <v>11.1</v>
      </c>
      <c r="CU19" s="96"/>
      <c r="CV19" s="96"/>
      <c r="CW19" s="53">
        <v>25.49</v>
      </c>
      <c r="CX19" s="58">
        <f t="shared" si="21"/>
        <v>14.389999999999999</v>
      </c>
      <c r="CY19" s="97">
        <v>7.3</v>
      </c>
      <c r="CZ19" s="58">
        <v>1</v>
      </c>
      <c r="DA19" s="59">
        <f t="shared" si="22"/>
        <v>6.089999999999999</v>
      </c>
      <c r="DB19" s="86">
        <v>6</v>
      </c>
      <c r="DC19" s="86">
        <f t="shared" si="23"/>
        <v>8.999999999999897</v>
      </c>
      <c r="DD19" s="98"/>
      <c r="DF19" s="86" t="s">
        <v>4</v>
      </c>
      <c r="DG19" s="86">
        <v>11</v>
      </c>
      <c r="DH19" s="58">
        <v>11.1</v>
      </c>
      <c r="DI19" s="96"/>
      <c r="DJ19" s="96"/>
      <c r="DK19" s="53">
        <v>25.49</v>
      </c>
      <c r="DL19" s="58">
        <f t="shared" si="24"/>
        <v>14.389999999999999</v>
      </c>
      <c r="DM19" s="97">
        <v>7.3</v>
      </c>
      <c r="DN19" s="58">
        <v>1</v>
      </c>
      <c r="DO19" s="59">
        <f t="shared" si="25"/>
        <v>6.089999999999999</v>
      </c>
      <c r="DP19" s="86">
        <v>6</v>
      </c>
      <c r="DQ19" s="86">
        <f t="shared" si="26"/>
        <v>8.999999999999897</v>
      </c>
      <c r="DR19" s="98"/>
      <c r="DS19" s="86" t="s">
        <v>4</v>
      </c>
      <c r="DT19" s="86">
        <v>11</v>
      </c>
      <c r="DU19" s="58">
        <v>11.15</v>
      </c>
      <c r="DV19" s="96"/>
      <c r="DW19" s="96"/>
      <c r="DX19" s="53">
        <v>25.49</v>
      </c>
      <c r="DY19" s="58">
        <f t="shared" si="27"/>
        <v>14.339999999999998</v>
      </c>
      <c r="DZ19" s="97">
        <v>7.3</v>
      </c>
      <c r="EA19" s="58">
        <v>1</v>
      </c>
      <c r="EB19" s="59">
        <f t="shared" si="28"/>
        <v>6.0399999999999983</v>
      </c>
      <c r="EC19" s="86">
        <v>6</v>
      </c>
      <c r="ED19" s="86">
        <f t="shared" si="29"/>
        <v>3.9999999999998259</v>
      </c>
      <c r="EE19" s="98"/>
      <c r="EG19" s="86" t="s">
        <v>4</v>
      </c>
      <c r="EH19" s="86">
        <v>11</v>
      </c>
      <c r="EI19" s="58">
        <v>11.1</v>
      </c>
      <c r="EJ19" s="96"/>
      <c r="EK19" s="96"/>
      <c r="EL19" s="53">
        <v>25.49</v>
      </c>
      <c r="EM19" s="58">
        <f t="shared" si="30"/>
        <v>14.389999999999999</v>
      </c>
      <c r="EN19" s="97">
        <v>7.3</v>
      </c>
      <c r="EO19" s="58">
        <v>1</v>
      </c>
      <c r="EP19" s="59">
        <f t="shared" si="31"/>
        <v>6.089999999999999</v>
      </c>
      <c r="EQ19" s="86">
        <v>6</v>
      </c>
      <c r="ER19" s="86">
        <f t="shared" si="32"/>
        <v>8.999999999999897</v>
      </c>
      <c r="ES19" s="98"/>
      <c r="ET19" s="86" t="s">
        <v>4</v>
      </c>
      <c r="EU19" s="86">
        <v>11</v>
      </c>
      <c r="EV19" s="58">
        <v>11.1</v>
      </c>
      <c r="EW19" s="96"/>
      <c r="EX19" s="96"/>
      <c r="EY19" s="53">
        <v>25.49</v>
      </c>
      <c r="EZ19" s="58">
        <f t="shared" si="33"/>
        <v>14.389999999999999</v>
      </c>
      <c r="FA19" s="97">
        <v>7.3</v>
      </c>
      <c r="FB19" s="58">
        <v>1</v>
      </c>
      <c r="FC19" s="59">
        <f t="shared" si="34"/>
        <v>6.089999999999999</v>
      </c>
      <c r="FD19" s="86">
        <v>6</v>
      </c>
      <c r="FE19" s="86">
        <f t="shared" si="35"/>
        <v>8.999999999999897</v>
      </c>
      <c r="FF19" s="98"/>
      <c r="FH19" s="86" t="s">
        <v>4</v>
      </c>
      <c r="FI19" s="86">
        <v>11</v>
      </c>
      <c r="FJ19" s="58">
        <v>11.1</v>
      </c>
      <c r="FK19" s="96"/>
      <c r="FL19" s="96"/>
      <c r="FM19" s="53">
        <v>25.49</v>
      </c>
      <c r="FN19" s="58">
        <f t="shared" si="36"/>
        <v>14.389999999999999</v>
      </c>
      <c r="FO19" s="97">
        <v>7.3</v>
      </c>
      <c r="FP19" s="58">
        <v>1</v>
      </c>
      <c r="FQ19" s="59">
        <f t="shared" si="37"/>
        <v>6.089999999999999</v>
      </c>
      <c r="FR19" s="86">
        <v>6</v>
      </c>
      <c r="FS19" s="86">
        <f t="shared" si="38"/>
        <v>8.999999999999897</v>
      </c>
      <c r="FT19" s="98"/>
      <c r="FU19" s="86" t="s">
        <v>4</v>
      </c>
      <c r="FV19" s="86">
        <v>11</v>
      </c>
      <c r="FW19" s="58">
        <v>11.1</v>
      </c>
      <c r="FX19" s="96"/>
      <c r="FY19" s="96"/>
      <c r="FZ19" s="53">
        <v>25.49</v>
      </c>
      <c r="GA19" s="58">
        <f t="shared" si="39"/>
        <v>14.389999999999999</v>
      </c>
      <c r="GB19" s="97">
        <v>7.3</v>
      </c>
      <c r="GC19" s="58">
        <v>1</v>
      </c>
      <c r="GD19" s="59">
        <f t="shared" si="40"/>
        <v>6.089999999999999</v>
      </c>
      <c r="GE19" s="86">
        <v>6</v>
      </c>
      <c r="GF19" s="86">
        <f t="shared" si="41"/>
        <v>8.999999999999897</v>
      </c>
      <c r="GG19" s="98"/>
      <c r="GI19" s="86" t="s">
        <v>4</v>
      </c>
      <c r="GJ19" s="86">
        <v>11</v>
      </c>
      <c r="GK19" s="58">
        <v>11.1</v>
      </c>
      <c r="GL19" s="96"/>
      <c r="GM19" s="96"/>
      <c r="GN19" s="53">
        <v>25.49</v>
      </c>
      <c r="GO19" s="58">
        <f t="shared" si="42"/>
        <v>14.389999999999999</v>
      </c>
      <c r="GP19" s="97">
        <v>7.3</v>
      </c>
      <c r="GQ19" s="58">
        <v>1</v>
      </c>
      <c r="GR19" s="59">
        <f t="shared" si="43"/>
        <v>6.089999999999999</v>
      </c>
      <c r="GS19" s="86">
        <v>6</v>
      </c>
      <c r="GT19" s="86">
        <f t="shared" si="44"/>
        <v>8.999999999999897</v>
      </c>
      <c r="GU19" s="98"/>
      <c r="GV19" s="86" t="s">
        <v>4</v>
      </c>
      <c r="GW19" s="86">
        <v>11</v>
      </c>
      <c r="GX19" s="58">
        <v>11.1</v>
      </c>
      <c r="GY19" s="96"/>
      <c r="GZ19" s="96"/>
      <c r="HA19" s="53">
        <v>25.49</v>
      </c>
      <c r="HB19" s="58">
        <f t="shared" si="45"/>
        <v>14.389999999999999</v>
      </c>
      <c r="HC19" s="97">
        <v>7.3</v>
      </c>
      <c r="HD19" s="58">
        <v>1</v>
      </c>
      <c r="HE19" s="59">
        <f t="shared" si="46"/>
        <v>6.089999999999999</v>
      </c>
      <c r="HF19" s="86">
        <v>6</v>
      </c>
      <c r="HG19" s="86">
        <f t="shared" si="47"/>
        <v>8.999999999999897</v>
      </c>
      <c r="HH19" s="98"/>
      <c r="HJ19" s="86" t="s">
        <v>4</v>
      </c>
      <c r="HK19" s="86">
        <v>11</v>
      </c>
      <c r="HL19" s="58">
        <v>11.1</v>
      </c>
      <c r="HM19" s="96"/>
      <c r="HN19" s="96"/>
      <c r="HO19" s="53">
        <v>25.49</v>
      </c>
      <c r="HP19" s="58">
        <f t="shared" si="48"/>
        <v>14.389999999999999</v>
      </c>
      <c r="HQ19" s="97">
        <v>7.3</v>
      </c>
      <c r="HR19" s="58">
        <v>1</v>
      </c>
      <c r="HS19" s="59">
        <f t="shared" si="49"/>
        <v>6.089999999999999</v>
      </c>
      <c r="HT19" s="86">
        <v>6</v>
      </c>
      <c r="HU19" s="86">
        <f t="shared" si="50"/>
        <v>8.999999999999897</v>
      </c>
      <c r="HV19" s="98"/>
      <c r="HW19" s="86" t="s">
        <v>4</v>
      </c>
      <c r="HX19" s="86">
        <v>11</v>
      </c>
      <c r="HY19" s="58">
        <v>11.1</v>
      </c>
      <c r="HZ19" s="96"/>
      <c r="IA19" s="96"/>
      <c r="IB19" s="53">
        <v>25.49</v>
      </c>
      <c r="IC19" s="58">
        <f t="shared" si="51"/>
        <v>14.389999999999999</v>
      </c>
      <c r="ID19" s="97">
        <v>7.3</v>
      </c>
      <c r="IE19" s="58">
        <v>1</v>
      </c>
      <c r="IF19" s="59">
        <f t="shared" si="52"/>
        <v>6.089999999999999</v>
      </c>
      <c r="IG19" s="86">
        <v>6</v>
      </c>
      <c r="IH19" s="86">
        <f t="shared" si="53"/>
        <v>8.999999999999897</v>
      </c>
      <c r="II19" s="98"/>
      <c r="IJ19" s="1"/>
      <c r="IK19" s="86" t="s">
        <v>4</v>
      </c>
      <c r="IL19" s="86">
        <v>11</v>
      </c>
      <c r="IM19" s="58">
        <v>11.25</v>
      </c>
      <c r="IN19" s="96"/>
      <c r="IO19" s="96"/>
      <c r="IP19" s="53">
        <v>25.49</v>
      </c>
      <c r="IQ19" s="58">
        <f t="shared" si="54"/>
        <v>14.239999999999998</v>
      </c>
      <c r="IR19" s="97">
        <v>7.3</v>
      </c>
      <c r="IS19" s="58">
        <v>1.4</v>
      </c>
      <c r="IT19" s="59">
        <f t="shared" si="55"/>
        <v>5.5399999999999991</v>
      </c>
      <c r="IU19" s="86">
        <v>5</v>
      </c>
      <c r="IV19" s="86">
        <f t="shared" si="56"/>
        <v>53.999999999999915</v>
      </c>
      <c r="IW19" s="98"/>
      <c r="IX19" s="86" t="s">
        <v>4</v>
      </c>
      <c r="IY19" s="86">
        <v>11</v>
      </c>
      <c r="IZ19" s="58">
        <v>11.1</v>
      </c>
      <c r="JA19" s="96"/>
      <c r="JB19" s="96"/>
      <c r="JC19" s="53">
        <v>25.49</v>
      </c>
      <c r="JD19" s="58">
        <f t="shared" si="57"/>
        <v>14.389999999999999</v>
      </c>
      <c r="JE19" s="97">
        <v>7.3</v>
      </c>
      <c r="JF19" s="58">
        <v>1</v>
      </c>
      <c r="JG19" s="59">
        <f t="shared" si="58"/>
        <v>6.089999999999999</v>
      </c>
      <c r="JH19" s="86">
        <v>6</v>
      </c>
      <c r="JI19" s="86">
        <f t="shared" si="59"/>
        <v>8.999999999999897</v>
      </c>
      <c r="JJ19" s="98"/>
    </row>
    <row r="20" spans="1:270" ht="17.149999999999999" customHeight="1" x14ac:dyDescent="0.35">
      <c r="A20" s="86" t="s">
        <v>5</v>
      </c>
      <c r="B20" s="86">
        <v>12</v>
      </c>
      <c r="C20" s="58">
        <v>10.1</v>
      </c>
      <c r="D20" s="96"/>
      <c r="E20" s="96"/>
      <c r="F20" s="53">
        <v>25.63</v>
      </c>
      <c r="G20" s="58">
        <f t="shared" si="0"/>
        <v>15.53</v>
      </c>
      <c r="H20" s="97">
        <v>7.3</v>
      </c>
      <c r="I20" s="58">
        <v>1</v>
      </c>
      <c r="J20" s="59">
        <f t="shared" si="1"/>
        <v>7.23</v>
      </c>
      <c r="K20" s="86">
        <v>7</v>
      </c>
      <c r="L20" s="86">
        <f t="shared" si="2"/>
        <v>23.000000000000043</v>
      </c>
      <c r="M20" s="98"/>
      <c r="O20" s="86" t="s">
        <v>5</v>
      </c>
      <c r="P20" s="86">
        <v>12</v>
      </c>
      <c r="Q20" s="58">
        <v>11.1</v>
      </c>
      <c r="R20" s="96"/>
      <c r="S20" s="96"/>
      <c r="T20" s="53">
        <v>25.63</v>
      </c>
      <c r="U20" s="58">
        <f t="shared" si="3"/>
        <v>14.53</v>
      </c>
      <c r="V20" s="97">
        <v>7.3</v>
      </c>
      <c r="W20" s="58">
        <v>1</v>
      </c>
      <c r="X20" s="59">
        <f t="shared" si="4"/>
        <v>6.2299999999999995</v>
      </c>
      <c r="Y20" s="86">
        <v>6</v>
      </c>
      <c r="Z20" s="86">
        <f t="shared" si="5"/>
        <v>22.999999999999954</v>
      </c>
      <c r="AA20" s="98"/>
      <c r="AB20" s="93"/>
      <c r="AC20" s="86" t="s">
        <v>5</v>
      </c>
      <c r="AD20" s="86">
        <v>12</v>
      </c>
      <c r="AE20" s="58">
        <v>11.1</v>
      </c>
      <c r="AF20" s="96"/>
      <c r="AG20" s="96"/>
      <c r="AH20" s="53">
        <v>25.63</v>
      </c>
      <c r="AI20" s="58">
        <f t="shared" si="6"/>
        <v>14.53</v>
      </c>
      <c r="AJ20" s="97">
        <v>7.3</v>
      </c>
      <c r="AK20" s="58">
        <v>1</v>
      </c>
      <c r="AL20" s="59">
        <f t="shared" si="7"/>
        <v>6.2299999999999995</v>
      </c>
      <c r="AM20" s="86">
        <v>6</v>
      </c>
      <c r="AN20" s="86">
        <f t="shared" si="8"/>
        <v>22.999999999999954</v>
      </c>
      <c r="AO20" s="98"/>
      <c r="AP20" s="86" t="s">
        <v>5</v>
      </c>
      <c r="AQ20" s="86">
        <v>12</v>
      </c>
      <c r="AR20" s="58">
        <v>10.35</v>
      </c>
      <c r="AS20" s="96"/>
      <c r="AT20" s="96"/>
      <c r="AU20" s="53">
        <v>25.63</v>
      </c>
      <c r="AV20" s="58">
        <f t="shared" si="9"/>
        <v>15.28</v>
      </c>
      <c r="AW20" s="97">
        <v>7.3</v>
      </c>
      <c r="AX20" s="58">
        <v>1.4</v>
      </c>
      <c r="AY20" s="59">
        <f t="shared" si="10"/>
        <v>6.58</v>
      </c>
      <c r="AZ20" s="86">
        <v>6</v>
      </c>
      <c r="BA20" s="86">
        <f t="shared" si="11"/>
        <v>58.000000000000007</v>
      </c>
      <c r="BB20" s="98"/>
      <c r="BC20" s="93"/>
      <c r="BD20" s="86" t="s">
        <v>5</v>
      </c>
      <c r="BE20" s="86">
        <v>12</v>
      </c>
      <c r="BF20" s="58">
        <v>10.35</v>
      </c>
      <c r="BG20" s="96"/>
      <c r="BH20" s="96"/>
      <c r="BI20" s="53">
        <v>25.63</v>
      </c>
      <c r="BJ20" s="58">
        <f t="shared" si="12"/>
        <v>15.28</v>
      </c>
      <c r="BK20" s="97">
        <v>7.3</v>
      </c>
      <c r="BL20" s="58">
        <v>1.4</v>
      </c>
      <c r="BM20" s="59">
        <f t="shared" si="13"/>
        <v>6.58</v>
      </c>
      <c r="BN20" s="86">
        <v>6</v>
      </c>
      <c r="BO20" s="86">
        <f t="shared" si="14"/>
        <v>58.000000000000007</v>
      </c>
      <c r="BP20" s="98"/>
      <c r="BQ20" s="86" t="s">
        <v>5</v>
      </c>
      <c r="BR20" s="86">
        <v>12</v>
      </c>
      <c r="BS20" s="58">
        <v>11.15</v>
      </c>
      <c r="BT20" s="96"/>
      <c r="BU20" s="96"/>
      <c r="BV20" s="53">
        <v>25.63</v>
      </c>
      <c r="BW20" s="58">
        <f t="shared" si="15"/>
        <v>14.479999999999999</v>
      </c>
      <c r="BX20" s="97">
        <v>7.3</v>
      </c>
      <c r="BY20" s="58">
        <v>1</v>
      </c>
      <c r="BZ20" s="59">
        <f t="shared" si="16"/>
        <v>6.1799999999999988</v>
      </c>
      <c r="CA20" s="86">
        <v>6</v>
      </c>
      <c r="CB20" s="86">
        <f t="shared" si="17"/>
        <v>17.999999999999883</v>
      </c>
      <c r="CC20" s="98"/>
      <c r="CD20" s="93"/>
      <c r="CE20" s="86" t="s">
        <v>5</v>
      </c>
      <c r="CF20" s="86">
        <v>12</v>
      </c>
      <c r="CG20" s="58">
        <v>11.1</v>
      </c>
      <c r="CH20" s="96"/>
      <c r="CI20" s="96"/>
      <c r="CJ20" s="53">
        <v>25.63</v>
      </c>
      <c r="CK20" s="58">
        <f t="shared" si="18"/>
        <v>14.53</v>
      </c>
      <c r="CL20" s="97">
        <v>7.3</v>
      </c>
      <c r="CM20" s="58">
        <v>1</v>
      </c>
      <c r="CN20" s="59">
        <f t="shared" si="19"/>
        <v>6.2299999999999995</v>
      </c>
      <c r="CO20" s="86">
        <v>6</v>
      </c>
      <c r="CP20" s="86">
        <f t="shared" si="20"/>
        <v>22.999999999999954</v>
      </c>
      <c r="CQ20" s="98"/>
      <c r="CR20" s="86" t="s">
        <v>5</v>
      </c>
      <c r="CS20" s="86">
        <v>12</v>
      </c>
      <c r="CT20" s="58">
        <v>11.1</v>
      </c>
      <c r="CU20" s="96"/>
      <c r="CV20" s="96"/>
      <c r="CW20" s="53">
        <v>25.63</v>
      </c>
      <c r="CX20" s="58">
        <f t="shared" si="21"/>
        <v>14.53</v>
      </c>
      <c r="CY20" s="97">
        <v>7.3</v>
      </c>
      <c r="CZ20" s="58">
        <v>1</v>
      </c>
      <c r="DA20" s="59">
        <f t="shared" si="22"/>
        <v>6.2299999999999995</v>
      </c>
      <c r="DB20" s="86">
        <v>6</v>
      </c>
      <c r="DC20" s="86">
        <f t="shared" si="23"/>
        <v>22.999999999999954</v>
      </c>
      <c r="DD20" s="98"/>
      <c r="DE20" s="93"/>
      <c r="DF20" s="86" t="s">
        <v>5</v>
      </c>
      <c r="DG20" s="86">
        <v>12</v>
      </c>
      <c r="DH20" s="58">
        <v>11.1</v>
      </c>
      <c r="DI20" s="96"/>
      <c r="DJ20" s="96"/>
      <c r="DK20" s="53">
        <v>25.63</v>
      </c>
      <c r="DL20" s="58">
        <f t="shared" si="24"/>
        <v>14.53</v>
      </c>
      <c r="DM20" s="97">
        <v>7.3</v>
      </c>
      <c r="DN20" s="58">
        <v>1</v>
      </c>
      <c r="DO20" s="59">
        <f t="shared" si="25"/>
        <v>6.2299999999999995</v>
      </c>
      <c r="DP20" s="86">
        <v>6</v>
      </c>
      <c r="DQ20" s="86">
        <f t="shared" si="26"/>
        <v>22.999999999999954</v>
      </c>
      <c r="DR20" s="98"/>
      <c r="DS20" s="86" t="s">
        <v>5</v>
      </c>
      <c r="DT20" s="86">
        <v>12</v>
      </c>
      <c r="DU20" s="58">
        <v>11.15</v>
      </c>
      <c r="DV20" s="96"/>
      <c r="DW20" s="96"/>
      <c r="DX20" s="53">
        <v>25.63</v>
      </c>
      <c r="DY20" s="58">
        <f t="shared" si="27"/>
        <v>14.479999999999999</v>
      </c>
      <c r="DZ20" s="97">
        <v>7.3</v>
      </c>
      <c r="EA20" s="58">
        <v>1</v>
      </c>
      <c r="EB20" s="59">
        <f t="shared" si="28"/>
        <v>6.1799999999999988</v>
      </c>
      <c r="EC20" s="86">
        <v>6</v>
      </c>
      <c r="ED20" s="86">
        <f t="shared" si="29"/>
        <v>17.999999999999883</v>
      </c>
      <c r="EE20" s="98"/>
      <c r="EF20" s="93"/>
      <c r="EG20" s="86" t="s">
        <v>5</v>
      </c>
      <c r="EH20" s="86">
        <v>12</v>
      </c>
      <c r="EI20" s="58">
        <v>11.1</v>
      </c>
      <c r="EJ20" s="96"/>
      <c r="EK20" s="96"/>
      <c r="EL20" s="53">
        <v>25.63</v>
      </c>
      <c r="EM20" s="58">
        <f t="shared" si="30"/>
        <v>14.53</v>
      </c>
      <c r="EN20" s="97">
        <v>7.3</v>
      </c>
      <c r="EO20" s="58">
        <v>1</v>
      </c>
      <c r="EP20" s="59">
        <f t="shared" si="31"/>
        <v>6.2299999999999995</v>
      </c>
      <c r="EQ20" s="86">
        <v>6</v>
      </c>
      <c r="ER20" s="86">
        <f t="shared" si="32"/>
        <v>22.999999999999954</v>
      </c>
      <c r="ES20" s="98"/>
      <c r="ET20" s="86" t="s">
        <v>5</v>
      </c>
      <c r="EU20" s="86">
        <v>12</v>
      </c>
      <c r="EV20" s="58">
        <v>11.1</v>
      </c>
      <c r="EW20" s="96"/>
      <c r="EX20" s="96"/>
      <c r="EY20" s="53">
        <v>25.63</v>
      </c>
      <c r="EZ20" s="58">
        <f t="shared" si="33"/>
        <v>14.53</v>
      </c>
      <c r="FA20" s="97">
        <v>7.3</v>
      </c>
      <c r="FB20" s="58">
        <v>1</v>
      </c>
      <c r="FC20" s="59">
        <f t="shared" si="34"/>
        <v>6.2299999999999995</v>
      </c>
      <c r="FD20" s="86">
        <v>6</v>
      </c>
      <c r="FE20" s="86">
        <f t="shared" si="35"/>
        <v>22.999999999999954</v>
      </c>
      <c r="FF20" s="98"/>
      <c r="FG20" s="93"/>
      <c r="FH20" s="86" t="s">
        <v>5</v>
      </c>
      <c r="FI20" s="86">
        <v>12</v>
      </c>
      <c r="FJ20" s="58">
        <v>11.1</v>
      </c>
      <c r="FK20" s="96"/>
      <c r="FL20" s="96"/>
      <c r="FM20" s="53">
        <v>25.63</v>
      </c>
      <c r="FN20" s="58">
        <f t="shared" si="36"/>
        <v>14.53</v>
      </c>
      <c r="FO20" s="97">
        <v>7.3</v>
      </c>
      <c r="FP20" s="58">
        <v>1</v>
      </c>
      <c r="FQ20" s="59">
        <f t="shared" si="37"/>
        <v>6.2299999999999995</v>
      </c>
      <c r="FR20" s="86">
        <v>6</v>
      </c>
      <c r="FS20" s="86">
        <f t="shared" si="38"/>
        <v>22.999999999999954</v>
      </c>
      <c r="FT20" s="98"/>
      <c r="FU20" s="86" t="s">
        <v>5</v>
      </c>
      <c r="FV20" s="86">
        <v>12</v>
      </c>
      <c r="FW20" s="58">
        <v>11.1</v>
      </c>
      <c r="FX20" s="96"/>
      <c r="FY20" s="96"/>
      <c r="FZ20" s="53">
        <v>25.63</v>
      </c>
      <c r="GA20" s="58">
        <f t="shared" si="39"/>
        <v>14.53</v>
      </c>
      <c r="GB20" s="97">
        <v>7.3</v>
      </c>
      <c r="GC20" s="58">
        <v>1</v>
      </c>
      <c r="GD20" s="59">
        <f t="shared" si="40"/>
        <v>6.2299999999999995</v>
      </c>
      <c r="GE20" s="86">
        <v>6</v>
      </c>
      <c r="GF20" s="86">
        <f t="shared" si="41"/>
        <v>22.999999999999954</v>
      </c>
      <c r="GG20" s="98"/>
      <c r="GH20" s="93"/>
      <c r="GI20" s="86" t="s">
        <v>5</v>
      </c>
      <c r="GJ20" s="86">
        <v>12</v>
      </c>
      <c r="GK20" s="58">
        <v>11.1</v>
      </c>
      <c r="GL20" s="96"/>
      <c r="GM20" s="96"/>
      <c r="GN20" s="53">
        <v>25.63</v>
      </c>
      <c r="GO20" s="58">
        <f t="shared" si="42"/>
        <v>14.53</v>
      </c>
      <c r="GP20" s="97">
        <v>7.3</v>
      </c>
      <c r="GQ20" s="58">
        <v>1</v>
      </c>
      <c r="GR20" s="59">
        <f t="shared" si="43"/>
        <v>6.2299999999999995</v>
      </c>
      <c r="GS20" s="86">
        <v>6</v>
      </c>
      <c r="GT20" s="86">
        <f t="shared" si="44"/>
        <v>22.999999999999954</v>
      </c>
      <c r="GU20" s="98"/>
      <c r="GV20" s="86" t="s">
        <v>5</v>
      </c>
      <c r="GW20" s="86">
        <v>12</v>
      </c>
      <c r="GX20" s="58">
        <v>11.1</v>
      </c>
      <c r="GY20" s="96"/>
      <c r="GZ20" s="96"/>
      <c r="HA20" s="53">
        <v>25.63</v>
      </c>
      <c r="HB20" s="58">
        <f t="shared" si="45"/>
        <v>14.53</v>
      </c>
      <c r="HC20" s="97">
        <v>7.3</v>
      </c>
      <c r="HD20" s="58">
        <v>1</v>
      </c>
      <c r="HE20" s="59">
        <f t="shared" si="46"/>
        <v>6.2299999999999995</v>
      </c>
      <c r="HF20" s="86">
        <v>6</v>
      </c>
      <c r="HG20" s="86">
        <f t="shared" si="47"/>
        <v>22.999999999999954</v>
      </c>
      <c r="HH20" s="98"/>
      <c r="HJ20" s="86" t="s">
        <v>5</v>
      </c>
      <c r="HK20" s="86">
        <v>12</v>
      </c>
      <c r="HL20" s="58">
        <v>11.1</v>
      </c>
      <c r="HM20" s="96"/>
      <c r="HN20" s="96"/>
      <c r="HO20" s="53">
        <v>25.63</v>
      </c>
      <c r="HP20" s="58">
        <f t="shared" si="48"/>
        <v>14.53</v>
      </c>
      <c r="HQ20" s="97">
        <v>7.3</v>
      </c>
      <c r="HR20" s="58">
        <v>1</v>
      </c>
      <c r="HS20" s="59">
        <f t="shared" si="49"/>
        <v>6.2299999999999995</v>
      </c>
      <c r="HT20" s="86">
        <v>6</v>
      </c>
      <c r="HU20" s="86">
        <f t="shared" si="50"/>
        <v>22.999999999999954</v>
      </c>
      <c r="HV20" s="98"/>
      <c r="HW20" s="86" t="s">
        <v>5</v>
      </c>
      <c r="HX20" s="86">
        <v>12</v>
      </c>
      <c r="HY20" s="58">
        <v>11.1</v>
      </c>
      <c r="HZ20" s="96"/>
      <c r="IA20" s="96"/>
      <c r="IB20" s="53">
        <v>25.63</v>
      </c>
      <c r="IC20" s="58">
        <f t="shared" si="51"/>
        <v>14.53</v>
      </c>
      <c r="ID20" s="97">
        <v>7.3</v>
      </c>
      <c r="IE20" s="58">
        <v>1</v>
      </c>
      <c r="IF20" s="59">
        <f t="shared" si="52"/>
        <v>6.2299999999999995</v>
      </c>
      <c r="IG20" s="86">
        <v>6</v>
      </c>
      <c r="IH20" s="86">
        <f t="shared" si="53"/>
        <v>22.999999999999954</v>
      </c>
      <c r="II20" s="98"/>
      <c r="IK20" s="86" t="s">
        <v>5</v>
      </c>
      <c r="IL20" s="86">
        <v>12</v>
      </c>
      <c r="IM20" s="58">
        <v>11.25</v>
      </c>
      <c r="IN20" s="96"/>
      <c r="IO20" s="96"/>
      <c r="IP20" s="53">
        <v>25.63</v>
      </c>
      <c r="IQ20" s="58">
        <f t="shared" si="54"/>
        <v>14.379999999999999</v>
      </c>
      <c r="IR20" s="97">
        <v>7.3</v>
      </c>
      <c r="IS20" s="58">
        <v>1</v>
      </c>
      <c r="IT20" s="59">
        <f t="shared" si="55"/>
        <v>6.0799999999999992</v>
      </c>
      <c r="IU20" s="86">
        <v>6</v>
      </c>
      <c r="IV20" s="86">
        <f t="shared" si="56"/>
        <v>7.9999999999999183</v>
      </c>
      <c r="IW20" s="98"/>
      <c r="IX20" s="86" t="s">
        <v>5</v>
      </c>
      <c r="IY20" s="86">
        <v>12</v>
      </c>
      <c r="IZ20" s="58">
        <v>11.1</v>
      </c>
      <c r="JA20" s="96"/>
      <c r="JB20" s="96"/>
      <c r="JC20" s="53">
        <v>25.63</v>
      </c>
      <c r="JD20" s="58">
        <f t="shared" si="57"/>
        <v>14.53</v>
      </c>
      <c r="JE20" s="97">
        <v>7.3</v>
      </c>
      <c r="JF20" s="58">
        <v>1</v>
      </c>
      <c r="JG20" s="59">
        <f t="shared" si="58"/>
        <v>6.2299999999999995</v>
      </c>
      <c r="JH20" s="86">
        <v>6</v>
      </c>
      <c r="JI20" s="86">
        <f t="shared" si="59"/>
        <v>22.999999999999954</v>
      </c>
      <c r="JJ20" s="98"/>
    </row>
    <row r="21" spans="1:270" ht="17.149999999999999" customHeight="1" x14ac:dyDescent="0.35">
      <c r="A21" s="55" t="s">
        <v>6</v>
      </c>
      <c r="B21" s="55">
        <v>13</v>
      </c>
      <c r="C21" s="136"/>
      <c r="D21" s="52"/>
      <c r="E21" s="52">
        <v>9.15</v>
      </c>
      <c r="F21" s="52">
        <v>13.63</v>
      </c>
      <c r="G21" s="52">
        <f t="shared" si="0"/>
        <v>4.4800000000000004</v>
      </c>
      <c r="H21" s="56"/>
      <c r="I21" s="52"/>
      <c r="J21" s="57">
        <f t="shared" si="1"/>
        <v>4.4800000000000004</v>
      </c>
      <c r="K21" s="55">
        <v>4</v>
      </c>
      <c r="L21" s="55">
        <f t="shared" si="2"/>
        <v>48.000000000000043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/>
      <c r="Z21" s="55">
        <f t="shared" si="5"/>
        <v>0</v>
      </c>
      <c r="AA21" s="137"/>
      <c r="AC21" s="55" t="s">
        <v>6</v>
      </c>
      <c r="AD21" s="55">
        <v>13</v>
      </c>
      <c r="AE21" s="136"/>
      <c r="AF21" s="52"/>
      <c r="AG21" s="52"/>
      <c r="AH21" s="52"/>
      <c r="AI21" s="52">
        <f t="shared" si="6"/>
        <v>0</v>
      </c>
      <c r="AJ21" s="56"/>
      <c r="AK21" s="52"/>
      <c r="AL21" s="57">
        <f t="shared" si="7"/>
        <v>0</v>
      </c>
      <c r="AM21" s="55"/>
      <c r="AN21" s="55">
        <f t="shared" si="8"/>
        <v>0</v>
      </c>
      <c r="AO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/>
      <c r="BA21" s="55">
        <f t="shared" si="11"/>
        <v>0</v>
      </c>
      <c r="BB21" s="137"/>
      <c r="BD21" s="55" t="s">
        <v>6</v>
      </c>
      <c r="BE21" s="55">
        <v>13</v>
      </c>
      <c r="BF21" s="136"/>
      <c r="BG21" s="52"/>
      <c r="BH21" s="52"/>
      <c r="BI21" s="52"/>
      <c r="BJ21" s="52">
        <f t="shared" si="12"/>
        <v>0</v>
      </c>
      <c r="BK21" s="56"/>
      <c r="BL21" s="52"/>
      <c r="BM21" s="57">
        <f t="shared" si="13"/>
        <v>0</v>
      </c>
      <c r="BN21" s="55"/>
      <c r="BO21" s="55">
        <f t="shared" si="14"/>
        <v>0</v>
      </c>
      <c r="BP21" s="137"/>
      <c r="BQ21" s="55" t="s">
        <v>6</v>
      </c>
      <c r="BR21" s="55">
        <v>13</v>
      </c>
      <c r="BS21" s="136"/>
      <c r="BT21" s="52"/>
      <c r="BU21" s="52"/>
      <c r="BV21" s="52"/>
      <c r="BW21" s="52">
        <f t="shared" si="15"/>
        <v>0</v>
      </c>
      <c r="BX21" s="56"/>
      <c r="BY21" s="52"/>
      <c r="BZ21" s="57">
        <f t="shared" si="16"/>
        <v>0</v>
      </c>
      <c r="CA21" s="55"/>
      <c r="CB21" s="55">
        <f t="shared" si="17"/>
        <v>0</v>
      </c>
      <c r="CC21" s="137"/>
      <c r="CE21" s="55" t="s">
        <v>6</v>
      </c>
      <c r="CF21" s="55">
        <v>13</v>
      </c>
      <c r="CG21" s="136"/>
      <c r="CH21" s="52"/>
      <c r="CI21" s="52"/>
      <c r="CJ21" s="52"/>
      <c r="CK21" s="52">
        <f t="shared" si="18"/>
        <v>0</v>
      </c>
      <c r="CL21" s="56"/>
      <c r="CM21" s="52"/>
      <c r="CN21" s="57">
        <f t="shared" si="19"/>
        <v>0</v>
      </c>
      <c r="CO21" s="55"/>
      <c r="CP21" s="55">
        <f t="shared" si="20"/>
        <v>0</v>
      </c>
      <c r="CQ21" s="137"/>
      <c r="CR21" s="55" t="s">
        <v>6</v>
      </c>
      <c r="CS21" s="55">
        <v>13</v>
      </c>
      <c r="CT21" s="136"/>
      <c r="CU21" s="52"/>
      <c r="CV21" s="52"/>
      <c r="CW21" s="52"/>
      <c r="CX21" s="52">
        <f t="shared" si="21"/>
        <v>0</v>
      </c>
      <c r="CY21" s="56"/>
      <c r="CZ21" s="52"/>
      <c r="DA21" s="57">
        <f t="shared" si="22"/>
        <v>0</v>
      </c>
      <c r="DB21" s="55"/>
      <c r="DC21" s="55">
        <f t="shared" si="23"/>
        <v>0</v>
      </c>
      <c r="DD21" s="137"/>
      <c r="DF21" s="55" t="s">
        <v>6</v>
      </c>
      <c r="DG21" s="55">
        <v>13</v>
      </c>
      <c r="DH21" s="136"/>
      <c r="DI21" s="52"/>
      <c r="DJ21" s="52"/>
      <c r="DK21" s="52"/>
      <c r="DL21" s="52">
        <f t="shared" si="24"/>
        <v>0</v>
      </c>
      <c r="DM21" s="56"/>
      <c r="DN21" s="52"/>
      <c r="DO21" s="57">
        <f t="shared" si="25"/>
        <v>0</v>
      </c>
      <c r="DP21" s="55"/>
      <c r="DQ21" s="55">
        <f t="shared" si="26"/>
        <v>0</v>
      </c>
      <c r="DR21" s="137"/>
      <c r="DS21" s="55" t="s">
        <v>6</v>
      </c>
      <c r="DT21" s="55">
        <v>13</v>
      </c>
      <c r="DU21" s="136"/>
      <c r="DV21" s="52"/>
      <c r="DW21" s="52"/>
      <c r="DX21" s="52"/>
      <c r="DY21" s="52">
        <f t="shared" si="27"/>
        <v>0</v>
      </c>
      <c r="DZ21" s="56"/>
      <c r="EA21" s="52"/>
      <c r="EB21" s="57">
        <f t="shared" si="28"/>
        <v>0</v>
      </c>
      <c r="EC21" s="55"/>
      <c r="ED21" s="55">
        <f t="shared" si="29"/>
        <v>0</v>
      </c>
      <c r="EE21" s="137"/>
      <c r="EG21" s="55" t="s">
        <v>6</v>
      </c>
      <c r="EH21" s="55">
        <v>13</v>
      </c>
      <c r="EI21" s="136"/>
      <c r="EJ21" s="52"/>
      <c r="EK21" s="52"/>
      <c r="EL21" s="52"/>
      <c r="EM21" s="52">
        <f t="shared" si="30"/>
        <v>0</v>
      </c>
      <c r="EN21" s="56"/>
      <c r="EO21" s="52"/>
      <c r="EP21" s="57">
        <f t="shared" si="31"/>
        <v>0</v>
      </c>
      <c r="EQ21" s="55"/>
      <c r="ER21" s="55">
        <f t="shared" si="32"/>
        <v>0</v>
      </c>
      <c r="ES21" s="137"/>
      <c r="ET21" s="55" t="s">
        <v>6</v>
      </c>
      <c r="EU21" s="55">
        <v>13</v>
      </c>
      <c r="EV21" s="136"/>
      <c r="EW21" s="52"/>
      <c r="EX21" s="52"/>
      <c r="EY21" s="52"/>
      <c r="EZ21" s="52">
        <f t="shared" si="33"/>
        <v>0</v>
      </c>
      <c r="FA21" s="56"/>
      <c r="FB21" s="52"/>
      <c r="FC21" s="57">
        <f t="shared" si="34"/>
        <v>0</v>
      </c>
      <c r="FD21" s="55"/>
      <c r="FE21" s="55">
        <f t="shared" si="35"/>
        <v>0</v>
      </c>
      <c r="FF21" s="137"/>
      <c r="FH21" s="55" t="s">
        <v>6</v>
      </c>
      <c r="FI21" s="55">
        <v>13</v>
      </c>
      <c r="FJ21" s="136"/>
      <c r="FK21" s="52"/>
      <c r="FL21" s="52"/>
      <c r="FM21" s="52"/>
      <c r="FN21" s="52">
        <f t="shared" si="36"/>
        <v>0</v>
      </c>
      <c r="FO21" s="56"/>
      <c r="FP21" s="52"/>
      <c r="FQ21" s="57">
        <f t="shared" si="37"/>
        <v>0</v>
      </c>
      <c r="FR21" s="55"/>
      <c r="FS21" s="55">
        <f t="shared" si="38"/>
        <v>0</v>
      </c>
      <c r="FT21" s="137"/>
      <c r="FU21" s="55" t="s">
        <v>6</v>
      </c>
      <c r="FV21" s="55">
        <v>13</v>
      </c>
      <c r="FW21" s="136"/>
      <c r="FX21" s="52"/>
      <c r="FY21" s="52"/>
      <c r="FZ21" s="52"/>
      <c r="GA21" s="52">
        <f t="shared" si="39"/>
        <v>0</v>
      </c>
      <c r="GB21" s="56"/>
      <c r="GC21" s="52"/>
      <c r="GD21" s="57">
        <f t="shared" si="40"/>
        <v>0</v>
      </c>
      <c r="GE21" s="55"/>
      <c r="GF21" s="55">
        <f t="shared" si="41"/>
        <v>0</v>
      </c>
      <c r="GG21" s="137"/>
      <c r="GI21" s="55" t="s">
        <v>6</v>
      </c>
      <c r="GJ21" s="55">
        <v>13</v>
      </c>
      <c r="GK21" s="136"/>
      <c r="GL21" s="52"/>
      <c r="GM21" s="52">
        <v>13.05</v>
      </c>
      <c r="GN21" s="52">
        <v>16.09</v>
      </c>
      <c r="GO21" s="52">
        <f t="shared" si="42"/>
        <v>3.0399999999999991</v>
      </c>
      <c r="GP21" s="56"/>
      <c r="GQ21" s="52"/>
      <c r="GR21" s="57">
        <f t="shared" si="43"/>
        <v>3.0399999999999991</v>
      </c>
      <c r="GS21" s="55">
        <v>3</v>
      </c>
      <c r="GT21" s="55">
        <f t="shared" si="44"/>
        <v>3.9999999999999147</v>
      </c>
      <c r="GU21" s="137"/>
      <c r="GV21" s="55" t="s">
        <v>6</v>
      </c>
      <c r="GW21" s="55">
        <v>13</v>
      </c>
      <c r="GX21" s="136"/>
      <c r="GY21" s="52"/>
      <c r="GZ21" s="52"/>
      <c r="HA21" s="52"/>
      <c r="HB21" s="52">
        <f t="shared" si="45"/>
        <v>0</v>
      </c>
      <c r="HC21" s="56"/>
      <c r="HD21" s="52"/>
      <c r="HE21" s="57">
        <f t="shared" si="46"/>
        <v>0</v>
      </c>
      <c r="HF21" s="55"/>
      <c r="HG21" s="55">
        <f t="shared" si="47"/>
        <v>0</v>
      </c>
      <c r="HH21" s="137"/>
      <c r="HJ21" s="55" t="s">
        <v>6</v>
      </c>
      <c r="HK21" s="55">
        <v>13</v>
      </c>
      <c r="HL21" s="136"/>
      <c r="HM21" s="52"/>
      <c r="HN21" s="52"/>
      <c r="HO21" s="52"/>
      <c r="HP21" s="52">
        <f t="shared" si="48"/>
        <v>0</v>
      </c>
      <c r="HQ21" s="56"/>
      <c r="HR21" s="52"/>
      <c r="HS21" s="57">
        <f t="shared" si="49"/>
        <v>0</v>
      </c>
      <c r="HT21" s="55"/>
      <c r="HU21" s="55">
        <f t="shared" si="50"/>
        <v>0</v>
      </c>
      <c r="HV21" s="137"/>
      <c r="HW21" s="55" t="s">
        <v>6</v>
      </c>
      <c r="HX21" s="55">
        <v>13</v>
      </c>
      <c r="HY21" s="136"/>
      <c r="HZ21" s="52"/>
      <c r="IA21" s="52">
        <v>9.25</v>
      </c>
      <c r="IB21" s="52">
        <v>13.28</v>
      </c>
      <c r="IC21" s="52">
        <f t="shared" si="51"/>
        <v>4.0299999999999994</v>
      </c>
      <c r="ID21" s="56"/>
      <c r="IE21" s="52"/>
      <c r="IF21" s="57">
        <f t="shared" si="52"/>
        <v>4.0299999999999994</v>
      </c>
      <c r="IG21" s="55">
        <v>4</v>
      </c>
      <c r="IH21" s="55">
        <f t="shared" si="53"/>
        <v>2.9999999999999361</v>
      </c>
      <c r="II21" s="137"/>
      <c r="IJ21" s="1"/>
      <c r="IK21" s="55" t="s">
        <v>6</v>
      </c>
      <c r="IL21" s="55">
        <v>13</v>
      </c>
      <c r="IM21" s="136"/>
      <c r="IN21" s="52"/>
      <c r="IO21" s="52"/>
      <c r="IP21" s="52"/>
      <c r="IQ21" s="52">
        <f t="shared" si="54"/>
        <v>0</v>
      </c>
      <c r="IR21" s="56"/>
      <c r="IS21" s="52"/>
      <c r="IT21" s="57">
        <f t="shared" si="55"/>
        <v>0</v>
      </c>
      <c r="IU21" s="55"/>
      <c r="IV21" s="55">
        <f t="shared" si="56"/>
        <v>0</v>
      </c>
      <c r="IW21" s="137"/>
      <c r="IX21" s="55" t="s">
        <v>6</v>
      </c>
      <c r="IY21" s="55">
        <v>13</v>
      </c>
      <c r="IZ21" s="136"/>
      <c r="JA21" s="52"/>
      <c r="JB21" s="52"/>
      <c r="JC21" s="52"/>
      <c r="JD21" s="52">
        <f t="shared" si="57"/>
        <v>0</v>
      </c>
      <c r="JE21" s="56"/>
      <c r="JF21" s="52"/>
      <c r="JG21" s="57">
        <f t="shared" si="58"/>
        <v>0</v>
      </c>
      <c r="JH21" s="55"/>
      <c r="JI21" s="55">
        <f t="shared" si="59"/>
        <v>0</v>
      </c>
      <c r="JJ21" s="137"/>
    </row>
    <row r="22" spans="1:270" ht="17.149999999999999" customHeight="1" x14ac:dyDescent="0.35">
      <c r="A22" s="86" t="s">
        <v>1</v>
      </c>
      <c r="B22" s="94">
        <v>14</v>
      </c>
      <c r="C22" s="58">
        <v>10.1</v>
      </c>
      <c r="D22" s="96"/>
      <c r="E22" s="96"/>
      <c r="F22" s="53">
        <v>23.98</v>
      </c>
      <c r="G22" s="58">
        <f t="shared" si="0"/>
        <v>13.88</v>
      </c>
      <c r="H22" s="97">
        <v>7.3</v>
      </c>
      <c r="I22" s="58">
        <v>1</v>
      </c>
      <c r="J22" s="59">
        <f t="shared" si="1"/>
        <v>5.580000000000001</v>
      </c>
      <c r="K22" s="86">
        <v>5</v>
      </c>
      <c r="L22" s="86">
        <f t="shared" si="2"/>
        <v>58.000000000000099</v>
      </c>
      <c r="M22" s="98"/>
      <c r="O22" s="86" t="s">
        <v>1</v>
      </c>
      <c r="P22" s="94">
        <v>14</v>
      </c>
      <c r="Q22" s="58">
        <v>11.1</v>
      </c>
      <c r="R22" s="96"/>
      <c r="S22" s="96"/>
      <c r="T22" s="53">
        <v>23.98</v>
      </c>
      <c r="U22" s="58">
        <f t="shared" si="3"/>
        <v>12.88</v>
      </c>
      <c r="V22" s="97">
        <v>7.3</v>
      </c>
      <c r="W22" s="58">
        <v>1</v>
      </c>
      <c r="X22" s="59">
        <f t="shared" si="4"/>
        <v>4.580000000000001</v>
      </c>
      <c r="Y22" s="86">
        <v>4</v>
      </c>
      <c r="Z22" s="86">
        <f t="shared" si="5"/>
        <v>58.000000000000099</v>
      </c>
      <c r="AA22" s="98"/>
      <c r="AC22" s="86" t="s">
        <v>1</v>
      </c>
      <c r="AD22" s="94">
        <v>14</v>
      </c>
      <c r="AE22" s="58">
        <v>11.1</v>
      </c>
      <c r="AF22" s="96"/>
      <c r="AG22" s="96"/>
      <c r="AH22" s="53">
        <v>23.98</v>
      </c>
      <c r="AI22" s="58">
        <f t="shared" si="6"/>
        <v>12.88</v>
      </c>
      <c r="AJ22" s="97">
        <v>7.3</v>
      </c>
      <c r="AK22" s="58">
        <v>1</v>
      </c>
      <c r="AL22" s="59">
        <f t="shared" si="7"/>
        <v>4.580000000000001</v>
      </c>
      <c r="AM22" s="86">
        <v>4</v>
      </c>
      <c r="AN22" s="86">
        <f t="shared" si="8"/>
        <v>58.000000000000099</v>
      </c>
      <c r="AO22" s="98"/>
      <c r="AP22" s="86" t="s">
        <v>1</v>
      </c>
      <c r="AQ22" s="94">
        <v>14</v>
      </c>
      <c r="AR22" s="58">
        <v>10.35</v>
      </c>
      <c r="AS22" s="96"/>
      <c r="AT22" s="96"/>
      <c r="AU22" s="53">
        <v>23.98</v>
      </c>
      <c r="AV22" s="58">
        <f t="shared" si="9"/>
        <v>13.63</v>
      </c>
      <c r="AW22" s="97">
        <v>7.3</v>
      </c>
      <c r="AX22" s="58">
        <v>1</v>
      </c>
      <c r="AY22" s="59">
        <f t="shared" si="10"/>
        <v>5.330000000000001</v>
      </c>
      <c r="AZ22" s="86">
        <v>5</v>
      </c>
      <c r="BA22" s="86">
        <f t="shared" si="11"/>
        <v>33.000000000000099</v>
      </c>
      <c r="BB22" s="98"/>
      <c r="BD22" s="86" t="s">
        <v>1</v>
      </c>
      <c r="BE22" s="94">
        <v>14</v>
      </c>
      <c r="BF22" s="58">
        <v>10.35</v>
      </c>
      <c r="BG22" s="96"/>
      <c r="BH22" s="96"/>
      <c r="BI22" s="53">
        <v>23.98</v>
      </c>
      <c r="BJ22" s="58">
        <f t="shared" si="12"/>
        <v>13.63</v>
      </c>
      <c r="BK22" s="97">
        <v>7.3</v>
      </c>
      <c r="BL22" s="58">
        <v>1</v>
      </c>
      <c r="BM22" s="59">
        <f t="shared" si="13"/>
        <v>5.330000000000001</v>
      </c>
      <c r="BN22" s="86">
        <v>5</v>
      </c>
      <c r="BO22" s="86">
        <f t="shared" si="14"/>
        <v>33.000000000000099</v>
      </c>
      <c r="BP22" s="98"/>
      <c r="BQ22" s="86" t="s">
        <v>1</v>
      </c>
      <c r="BR22" s="94">
        <v>14</v>
      </c>
      <c r="BS22" s="58">
        <v>11.15</v>
      </c>
      <c r="BT22" s="96"/>
      <c r="BU22" s="96"/>
      <c r="BV22" s="53">
        <v>23.98</v>
      </c>
      <c r="BW22" s="58">
        <f t="shared" si="15"/>
        <v>12.83</v>
      </c>
      <c r="BX22" s="97">
        <v>7.3</v>
      </c>
      <c r="BY22" s="58">
        <v>1</v>
      </c>
      <c r="BZ22" s="59">
        <f t="shared" si="16"/>
        <v>4.53</v>
      </c>
      <c r="CA22" s="86">
        <v>4</v>
      </c>
      <c r="CB22" s="86">
        <f t="shared" si="17"/>
        <v>53.000000000000028</v>
      </c>
      <c r="CC22" s="98"/>
      <c r="CE22" s="86" t="s">
        <v>1</v>
      </c>
      <c r="CF22" s="94">
        <v>14</v>
      </c>
      <c r="CG22" s="58">
        <v>11.1</v>
      </c>
      <c r="CH22" s="96"/>
      <c r="CI22" s="96"/>
      <c r="CJ22" s="53">
        <v>23.98</v>
      </c>
      <c r="CK22" s="58">
        <f t="shared" si="18"/>
        <v>12.88</v>
      </c>
      <c r="CL22" s="97">
        <v>7.3</v>
      </c>
      <c r="CM22" s="58">
        <v>1</v>
      </c>
      <c r="CN22" s="59">
        <f t="shared" si="19"/>
        <v>4.580000000000001</v>
      </c>
      <c r="CO22" s="86">
        <v>4</v>
      </c>
      <c r="CP22" s="86">
        <f t="shared" si="20"/>
        <v>58.000000000000099</v>
      </c>
      <c r="CQ22" s="98"/>
      <c r="CR22" s="86" t="s">
        <v>1</v>
      </c>
      <c r="CS22" s="94">
        <v>14</v>
      </c>
      <c r="CT22" s="58">
        <v>11.1</v>
      </c>
      <c r="CU22" s="96"/>
      <c r="CV22" s="96"/>
      <c r="CW22" s="53">
        <v>23.98</v>
      </c>
      <c r="CX22" s="58">
        <f t="shared" si="21"/>
        <v>12.88</v>
      </c>
      <c r="CY22" s="97">
        <v>7.3</v>
      </c>
      <c r="CZ22" s="58">
        <v>1</v>
      </c>
      <c r="DA22" s="59">
        <f t="shared" si="22"/>
        <v>4.580000000000001</v>
      </c>
      <c r="DB22" s="86">
        <v>4</v>
      </c>
      <c r="DC22" s="86">
        <f t="shared" si="23"/>
        <v>58.000000000000099</v>
      </c>
      <c r="DD22" s="98"/>
      <c r="DF22" s="86" t="s">
        <v>1</v>
      </c>
      <c r="DG22" s="94">
        <v>14</v>
      </c>
      <c r="DH22" s="58">
        <v>11.1</v>
      </c>
      <c r="DI22" s="96"/>
      <c r="DJ22" s="96"/>
      <c r="DK22" s="53">
        <v>23.98</v>
      </c>
      <c r="DL22" s="58">
        <f t="shared" si="24"/>
        <v>12.88</v>
      </c>
      <c r="DM22" s="97">
        <v>7.3</v>
      </c>
      <c r="DN22" s="58">
        <v>1</v>
      </c>
      <c r="DO22" s="59">
        <f t="shared" si="25"/>
        <v>4.580000000000001</v>
      </c>
      <c r="DP22" s="86">
        <v>4</v>
      </c>
      <c r="DQ22" s="86">
        <f t="shared" si="26"/>
        <v>58.000000000000099</v>
      </c>
      <c r="DR22" s="98"/>
      <c r="DS22" s="86" t="s">
        <v>1</v>
      </c>
      <c r="DT22" s="94">
        <v>14</v>
      </c>
      <c r="DU22" s="58">
        <v>11.15</v>
      </c>
      <c r="DV22" s="96"/>
      <c r="DW22" s="96"/>
      <c r="DX22" s="53">
        <v>23.98</v>
      </c>
      <c r="DY22" s="58">
        <f t="shared" si="27"/>
        <v>12.83</v>
      </c>
      <c r="DZ22" s="97">
        <v>7.3</v>
      </c>
      <c r="EA22" s="58">
        <v>1</v>
      </c>
      <c r="EB22" s="59">
        <f t="shared" si="28"/>
        <v>4.53</v>
      </c>
      <c r="EC22" s="86">
        <v>4</v>
      </c>
      <c r="ED22" s="86">
        <f t="shared" si="29"/>
        <v>53.000000000000028</v>
      </c>
      <c r="EE22" s="98"/>
      <c r="EG22" s="86" t="s">
        <v>1</v>
      </c>
      <c r="EH22" s="94">
        <v>14</v>
      </c>
      <c r="EI22" s="58">
        <v>11.1</v>
      </c>
      <c r="EJ22" s="96"/>
      <c r="EK22" s="96"/>
      <c r="EL22" s="53">
        <v>23.98</v>
      </c>
      <c r="EM22" s="58">
        <f t="shared" si="30"/>
        <v>12.88</v>
      </c>
      <c r="EN22" s="97">
        <v>7.3</v>
      </c>
      <c r="EO22" s="58">
        <v>1</v>
      </c>
      <c r="EP22" s="59">
        <f t="shared" si="31"/>
        <v>4.580000000000001</v>
      </c>
      <c r="EQ22" s="86">
        <v>4</v>
      </c>
      <c r="ER22" s="86">
        <f t="shared" si="32"/>
        <v>58.000000000000099</v>
      </c>
      <c r="ES22" s="98"/>
      <c r="ET22" s="86" t="s">
        <v>1</v>
      </c>
      <c r="EU22" s="94">
        <v>14</v>
      </c>
      <c r="EV22" s="58">
        <v>11.1</v>
      </c>
      <c r="EW22" s="96"/>
      <c r="EX22" s="96"/>
      <c r="EY22" s="53">
        <v>23.98</v>
      </c>
      <c r="EZ22" s="58">
        <f t="shared" si="33"/>
        <v>12.88</v>
      </c>
      <c r="FA22" s="97">
        <v>7.3</v>
      </c>
      <c r="FB22" s="58">
        <v>1</v>
      </c>
      <c r="FC22" s="59">
        <f t="shared" si="34"/>
        <v>4.580000000000001</v>
      </c>
      <c r="FD22" s="86">
        <v>4</v>
      </c>
      <c r="FE22" s="86">
        <f t="shared" si="35"/>
        <v>58.000000000000099</v>
      </c>
      <c r="FF22" s="98"/>
      <c r="FH22" s="86" t="s">
        <v>1</v>
      </c>
      <c r="FI22" s="94">
        <v>14</v>
      </c>
      <c r="FJ22" s="58">
        <v>11.1</v>
      </c>
      <c r="FK22" s="96"/>
      <c r="FL22" s="96"/>
      <c r="FM22" s="53">
        <v>23.98</v>
      </c>
      <c r="FN22" s="58">
        <f t="shared" si="36"/>
        <v>12.88</v>
      </c>
      <c r="FO22" s="97">
        <v>7.3</v>
      </c>
      <c r="FP22" s="58">
        <v>1</v>
      </c>
      <c r="FQ22" s="59">
        <f t="shared" si="37"/>
        <v>4.580000000000001</v>
      </c>
      <c r="FR22" s="86">
        <v>4</v>
      </c>
      <c r="FS22" s="86">
        <f t="shared" si="38"/>
        <v>58.000000000000099</v>
      </c>
      <c r="FT22" s="98"/>
      <c r="FU22" s="86" t="s">
        <v>1</v>
      </c>
      <c r="FV22" s="94">
        <v>14</v>
      </c>
      <c r="FW22" s="58">
        <v>11.15</v>
      </c>
      <c r="FX22" s="96"/>
      <c r="FY22" s="96"/>
      <c r="FZ22" s="53">
        <v>23.98</v>
      </c>
      <c r="GA22" s="58">
        <f t="shared" si="39"/>
        <v>12.83</v>
      </c>
      <c r="GB22" s="97">
        <v>7.3</v>
      </c>
      <c r="GC22" s="58">
        <v>1</v>
      </c>
      <c r="GD22" s="59">
        <f t="shared" si="40"/>
        <v>4.53</v>
      </c>
      <c r="GE22" s="86">
        <v>4</v>
      </c>
      <c r="GF22" s="86">
        <f t="shared" si="41"/>
        <v>53.000000000000028</v>
      </c>
      <c r="GG22" s="98"/>
      <c r="GI22" s="86" t="s">
        <v>1</v>
      </c>
      <c r="GJ22" s="94">
        <v>14</v>
      </c>
      <c r="GK22" s="58">
        <v>11.1</v>
      </c>
      <c r="GL22" s="96"/>
      <c r="GM22" s="96"/>
      <c r="GN22" s="53">
        <v>23.98</v>
      </c>
      <c r="GO22" s="58">
        <f t="shared" si="42"/>
        <v>12.88</v>
      </c>
      <c r="GP22" s="97">
        <v>7.3</v>
      </c>
      <c r="GQ22" s="58">
        <v>1</v>
      </c>
      <c r="GR22" s="59">
        <f t="shared" si="43"/>
        <v>4.580000000000001</v>
      </c>
      <c r="GS22" s="86">
        <v>4</v>
      </c>
      <c r="GT22" s="86">
        <f t="shared" si="44"/>
        <v>58.000000000000099</v>
      </c>
      <c r="GU22" s="98"/>
      <c r="GV22" s="86" t="s">
        <v>1</v>
      </c>
      <c r="GW22" s="94">
        <v>14</v>
      </c>
      <c r="GX22" s="58">
        <v>11.1</v>
      </c>
      <c r="GY22" s="96"/>
      <c r="GZ22" s="96"/>
      <c r="HA22" s="53">
        <v>23.98</v>
      </c>
      <c r="HB22" s="58">
        <f t="shared" si="45"/>
        <v>12.88</v>
      </c>
      <c r="HC22" s="97">
        <v>7.3</v>
      </c>
      <c r="HD22" s="58">
        <v>1</v>
      </c>
      <c r="HE22" s="59">
        <f t="shared" si="46"/>
        <v>4.580000000000001</v>
      </c>
      <c r="HF22" s="86">
        <v>4</v>
      </c>
      <c r="HG22" s="86">
        <f t="shared" si="47"/>
        <v>58.000000000000099</v>
      </c>
      <c r="HH22" s="98"/>
      <c r="HJ22" s="86" t="s">
        <v>1</v>
      </c>
      <c r="HK22" s="94">
        <v>14</v>
      </c>
      <c r="HL22" s="58">
        <v>11.1</v>
      </c>
      <c r="HM22" s="96"/>
      <c r="HN22" s="96"/>
      <c r="HO22" s="53">
        <v>23.98</v>
      </c>
      <c r="HP22" s="58">
        <f t="shared" si="48"/>
        <v>12.88</v>
      </c>
      <c r="HQ22" s="97">
        <v>7.3</v>
      </c>
      <c r="HR22" s="58">
        <v>1</v>
      </c>
      <c r="HS22" s="59">
        <f t="shared" si="49"/>
        <v>4.580000000000001</v>
      </c>
      <c r="HT22" s="86">
        <v>4</v>
      </c>
      <c r="HU22" s="86">
        <f t="shared" si="50"/>
        <v>58.000000000000099</v>
      </c>
      <c r="HV22" s="98"/>
      <c r="HW22" s="86" t="s">
        <v>1</v>
      </c>
      <c r="HX22" s="94">
        <v>14</v>
      </c>
      <c r="HY22" s="58">
        <v>11.1</v>
      </c>
      <c r="HZ22" s="96"/>
      <c r="IA22" s="96"/>
      <c r="IB22" s="53">
        <v>23.98</v>
      </c>
      <c r="IC22" s="58">
        <f t="shared" si="51"/>
        <v>12.88</v>
      </c>
      <c r="ID22" s="97">
        <v>7.3</v>
      </c>
      <c r="IE22" s="58">
        <v>1</v>
      </c>
      <c r="IF22" s="59">
        <f t="shared" si="52"/>
        <v>4.580000000000001</v>
      </c>
      <c r="IG22" s="86">
        <v>4</v>
      </c>
      <c r="IH22" s="86">
        <f t="shared" si="53"/>
        <v>58.000000000000099</v>
      </c>
      <c r="II22" s="98"/>
      <c r="IK22" s="86" t="s">
        <v>1</v>
      </c>
      <c r="IL22" s="94">
        <v>14</v>
      </c>
      <c r="IM22" s="58">
        <v>11.25</v>
      </c>
      <c r="IN22" s="96"/>
      <c r="IO22" s="96"/>
      <c r="IP22" s="53">
        <v>23.98</v>
      </c>
      <c r="IQ22" s="58">
        <f t="shared" si="54"/>
        <v>12.73</v>
      </c>
      <c r="IR22" s="97">
        <v>7.3</v>
      </c>
      <c r="IS22" s="58">
        <v>1</v>
      </c>
      <c r="IT22" s="59">
        <f t="shared" si="55"/>
        <v>4.4300000000000006</v>
      </c>
      <c r="IU22" s="86">
        <v>4</v>
      </c>
      <c r="IV22" s="86">
        <f t="shared" si="56"/>
        <v>43.000000000000057</v>
      </c>
      <c r="IW22" s="98"/>
      <c r="IX22" s="86" t="s">
        <v>1</v>
      </c>
      <c r="IY22" s="94">
        <v>14</v>
      </c>
      <c r="IZ22" s="58">
        <v>11.1</v>
      </c>
      <c r="JA22" s="96"/>
      <c r="JB22" s="96"/>
      <c r="JC22" s="53">
        <v>23.98</v>
      </c>
      <c r="JD22" s="58">
        <f t="shared" si="57"/>
        <v>12.88</v>
      </c>
      <c r="JE22" s="97">
        <v>7.3</v>
      </c>
      <c r="JF22" s="58">
        <v>1</v>
      </c>
      <c r="JG22" s="59">
        <f t="shared" si="58"/>
        <v>4.580000000000001</v>
      </c>
      <c r="JH22" s="86">
        <v>4</v>
      </c>
      <c r="JI22" s="86">
        <f t="shared" si="59"/>
        <v>58.000000000000099</v>
      </c>
      <c r="JJ22" s="98"/>
    </row>
    <row r="23" spans="1:270" ht="17.149999999999999" customHeight="1" x14ac:dyDescent="0.35">
      <c r="A23" s="86" t="s">
        <v>216</v>
      </c>
      <c r="B23" s="94">
        <v>15</v>
      </c>
      <c r="C23" s="58">
        <v>10.1</v>
      </c>
      <c r="D23" s="96"/>
      <c r="E23" s="96"/>
      <c r="F23" s="53">
        <v>21.87</v>
      </c>
      <c r="G23" s="58">
        <f t="shared" si="0"/>
        <v>11.770000000000001</v>
      </c>
      <c r="H23" s="97">
        <v>7.3</v>
      </c>
      <c r="I23" s="58">
        <v>1</v>
      </c>
      <c r="J23" s="59">
        <f t="shared" si="1"/>
        <v>3.4700000000000015</v>
      </c>
      <c r="K23" s="86">
        <v>3</v>
      </c>
      <c r="L23" s="86">
        <f t="shared" si="2"/>
        <v>47.000000000000156</v>
      </c>
      <c r="M23" s="103"/>
      <c r="O23" s="86" t="s">
        <v>216</v>
      </c>
      <c r="P23" s="94">
        <v>15</v>
      </c>
      <c r="Q23" s="58">
        <v>11.1</v>
      </c>
      <c r="R23" s="96"/>
      <c r="S23" s="96"/>
      <c r="T23" s="53">
        <v>21.87</v>
      </c>
      <c r="U23" s="58">
        <f t="shared" si="3"/>
        <v>10.770000000000001</v>
      </c>
      <c r="V23" s="97">
        <v>7.3</v>
      </c>
      <c r="W23" s="58">
        <v>1</v>
      </c>
      <c r="X23" s="59">
        <f t="shared" si="4"/>
        <v>2.4700000000000015</v>
      </c>
      <c r="Y23" s="86">
        <v>2</v>
      </c>
      <c r="Z23" s="86">
        <f t="shared" si="5"/>
        <v>47.000000000000156</v>
      </c>
      <c r="AA23" s="103"/>
      <c r="AC23" s="86" t="s">
        <v>216</v>
      </c>
      <c r="AD23" s="94">
        <v>15</v>
      </c>
      <c r="AE23" s="58">
        <v>11.1</v>
      </c>
      <c r="AF23" s="96"/>
      <c r="AG23" s="96"/>
      <c r="AH23" s="53">
        <v>21.87</v>
      </c>
      <c r="AI23" s="58">
        <f t="shared" si="6"/>
        <v>10.770000000000001</v>
      </c>
      <c r="AJ23" s="97">
        <v>7.3</v>
      </c>
      <c r="AK23" s="58">
        <v>1</v>
      </c>
      <c r="AL23" s="59">
        <f t="shared" si="7"/>
        <v>2.4700000000000015</v>
      </c>
      <c r="AM23" s="86">
        <v>2</v>
      </c>
      <c r="AN23" s="86">
        <f t="shared" si="8"/>
        <v>47.000000000000156</v>
      </c>
      <c r="AO23" s="103"/>
      <c r="AP23" s="86" t="s">
        <v>216</v>
      </c>
      <c r="AQ23" s="94">
        <v>15</v>
      </c>
      <c r="AR23" s="58">
        <v>10.35</v>
      </c>
      <c r="AS23" s="96"/>
      <c r="AT23" s="96"/>
      <c r="AU23" s="53">
        <v>21.87</v>
      </c>
      <c r="AV23" s="58">
        <f t="shared" si="9"/>
        <v>11.520000000000001</v>
      </c>
      <c r="AW23" s="97">
        <v>7.3</v>
      </c>
      <c r="AX23" s="58">
        <v>1</v>
      </c>
      <c r="AY23" s="59">
        <f t="shared" si="10"/>
        <v>3.2200000000000015</v>
      </c>
      <c r="AZ23" s="86">
        <v>3</v>
      </c>
      <c r="BA23" s="86">
        <f t="shared" si="11"/>
        <v>22.000000000000153</v>
      </c>
      <c r="BB23" s="103"/>
      <c r="BD23" s="86" t="s">
        <v>216</v>
      </c>
      <c r="BE23" s="94">
        <v>15</v>
      </c>
      <c r="BF23" s="58">
        <v>10.35</v>
      </c>
      <c r="BG23" s="96"/>
      <c r="BH23" s="96"/>
      <c r="BI23" s="53">
        <v>21.87</v>
      </c>
      <c r="BJ23" s="58">
        <f t="shared" si="12"/>
        <v>11.520000000000001</v>
      </c>
      <c r="BK23" s="97">
        <v>7.3</v>
      </c>
      <c r="BL23" s="58">
        <v>1</v>
      </c>
      <c r="BM23" s="59">
        <f t="shared" si="13"/>
        <v>3.2200000000000015</v>
      </c>
      <c r="BN23" s="86">
        <v>3</v>
      </c>
      <c r="BO23" s="86">
        <f t="shared" si="14"/>
        <v>22.000000000000153</v>
      </c>
      <c r="BP23" s="103"/>
      <c r="BQ23" s="86" t="s">
        <v>216</v>
      </c>
      <c r="BR23" s="94">
        <v>15</v>
      </c>
      <c r="BS23" s="58">
        <v>11.15</v>
      </c>
      <c r="BT23" s="96"/>
      <c r="BU23" s="96"/>
      <c r="BV23" s="53">
        <v>21.87</v>
      </c>
      <c r="BW23" s="58">
        <f t="shared" si="15"/>
        <v>10.72</v>
      </c>
      <c r="BX23" s="97">
        <v>7.3</v>
      </c>
      <c r="BY23" s="58">
        <v>1</v>
      </c>
      <c r="BZ23" s="59">
        <f t="shared" si="16"/>
        <v>2.4200000000000008</v>
      </c>
      <c r="CA23" s="86">
        <v>2</v>
      </c>
      <c r="CB23" s="86">
        <f t="shared" si="17"/>
        <v>42.000000000000085</v>
      </c>
      <c r="CC23" s="103"/>
      <c r="CE23" s="86" t="s">
        <v>216</v>
      </c>
      <c r="CF23" s="94">
        <v>15</v>
      </c>
      <c r="CG23" s="58">
        <v>11.1</v>
      </c>
      <c r="CH23" s="96"/>
      <c r="CI23" s="96"/>
      <c r="CJ23" s="53">
        <v>21.87</v>
      </c>
      <c r="CK23" s="58">
        <f t="shared" si="18"/>
        <v>10.770000000000001</v>
      </c>
      <c r="CL23" s="97">
        <v>7.3</v>
      </c>
      <c r="CM23" s="58">
        <v>1</v>
      </c>
      <c r="CN23" s="59">
        <f t="shared" si="19"/>
        <v>2.4700000000000015</v>
      </c>
      <c r="CO23" s="86">
        <v>2</v>
      </c>
      <c r="CP23" s="86">
        <f t="shared" si="20"/>
        <v>47.000000000000156</v>
      </c>
      <c r="CQ23" s="103"/>
      <c r="CR23" s="86" t="s">
        <v>216</v>
      </c>
      <c r="CS23" s="94">
        <v>15</v>
      </c>
      <c r="CT23" s="58">
        <v>11.1</v>
      </c>
      <c r="CU23" s="96"/>
      <c r="CV23" s="96"/>
      <c r="CW23" s="53">
        <v>21.87</v>
      </c>
      <c r="CX23" s="58">
        <f t="shared" si="21"/>
        <v>10.770000000000001</v>
      </c>
      <c r="CY23" s="97">
        <v>7.3</v>
      </c>
      <c r="CZ23" s="58">
        <v>1</v>
      </c>
      <c r="DA23" s="59">
        <f t="shared" si="22"/>
        <v>2.4700000000000015</v>
      </c>
      <c r="DB23" s="86">
        <v>2</v>
      </c>
      <c r="DC23" s="86">
        <f t="shared" si="23"/>
        <v>47.000000000000156</v>
      </c>
      <c r="DD23" s="103"/>
      <c r="DF23" s="86" t="s">
        <v>216</v>
      </c>
      <c r="DG23" s="94">
        <v>15</v>
      </c>
      <c r="DH23" s="58">
        <v>11.1</v>
      </c>
      <c r="DI23" s="96"/>
      <c r="DJ23" s="96"/>
      <c r="DK23" s="53">
        <v>21.87</v>
      </c>
      <c r="DL23" s="58">
        <f t="shared" si="24"/>
        <v>10.770000000000001</v>
      </c>
      <c r="DM23" s="97">
        <v>7.3</v>
      </c>
      <c r="DN23" s="58">
        <v>1</v>
      </c>
      <c r="DO23" s="59">
        <f t="shared" si="25"/>
        <v>2.4700000000000015</v>
      </c>
      <c r="DP23" s="86">
        <v>2</v>
      </c>
      <c r="DQ23" s="86">
        <f t="shared" si="26"/>
        <v>47.000000000000156</v>
      </c>
      <c r="DR23" s="103"/>
      <c r="DS23" s="86" t="s">
        <v>216</v>
      </c>
      <c r="DT23" s="94">
        <v>15</v>
      </c>
      <c r="DU23" s="58">
        <v>11.15</v>
      </c>
      <c r="DV23" s="96"/>
      <c r="DW23" s="96"/>
      <c r="DX23" s="53">
        <v>21.87</v>
      </c>
      <c r="DY23" s="58">
        <f t="shared" si="27"/>
        <v>10.72</v>
      </c>
      <c r="DZ23" s="97">
        <v>7.3</v>
      </c>
      <c r="EA23" s="58">
        <v>1</v>
      </c>
      <c r="EB23" s="59">
        <f t="shared" si="28"/>
        <v>2.4200000000000008</v>
      </c>
      <c r="EC23" s="86">
        <v>2</v>
      </c>
      <c r="ED23" s="86">
        <f t="shared" si="29"/>
        <v>42.000000000000085</v>
      </c>
      <c r="EE23" s="103"/>
      <c r="EG23" s="86" t="s">
        <v>216</v>
      </c>
      <c r="EH23" s="94">
        <v>15</v>
      </c>
      <c r="EI23" s="58">
        <v>11.1</v>
      </c>
      <c r="EJ23" s="96"/>
      <c r="EK23" s="96"/>
      <c r="EL23" s="53">
        <v>21.87</v>
      </c>
      <c r="EM23" s="58">
        <f t="shared" si="30"/>
        <v>10.770000000000001</v>
      </c>
      <c r="EN23" s="97">
        <v>7.3</v>
      </c>
      <c r="EO23" s="58">
        <v>1</v>
      </c>
      <c r="EP23" s="59">
        <f t="shared" si="31"/>
        <v>2.4700000000000015</v>
      </c>
      <c r="EQ23" s="86">
        <v>2</v>
      </c>
      <c r="ER23" s="86">
        <f t="shared" si="32"/>
        <v>47.000000000000156</v>
      </c>
      <c r="ES23" s="103"/>
      <c r="ET23" s="86" t="s">
        <v>216</v>
      </c>
      <c r="EU23" s="94">
        <v>15</v>
      </c>
      <c r="EV23" s="58">
        <v>11.1</v>
      </c>
      <c r="EW23" s="96"/>
      <c r="EX23" s="96"/>
      <c r="EY23" s="53">
        <v>21.87</v>
      </c>
      <c r="EZ23" s="58">
        <f t="shared" si="33"/>
        <v>10.770000000000001</v>
      </c>
      <c r="FA23" s="97">
        <v>7.3</v>
      </c>
      <c r="FB23" s="58">
        <v>1</v>
      </c>
      <c r="FC23" s="59">
        <f t="shared" si="34"/>
        <v>2.4700000000000015</v>
      </c>
      <c r="FD23" s="86">
        <v>2</v>
      </c>
      <c r="FE23" s="86">
        <f t="shared" si="35"/>
        <v>47.000000000000156</v>
      </c>
      <c r="FF23" s="103"/>
      <c r="FH23" s="86" t="s">
        <v>216</v>
      </c>
      <c r="FI23" s="94">
        <v>15</v>
      </c>
      <c r="FJ23" s="58">
        <v>11.1</v>
      </c>
      <c r="FK23" s="96"/>
      <c r="FL23" s="96"/>
      <c r="FM23" s="53">
        <v>21.87</v>
      </c>
      <c r="FN23" s="58">
        <f t="shared" si="36"/>
        <v>10.770000000000001</v>
      </c>
      <c r="FO23" s="97">
        <v>7.3</v>
      </c>
      <c r="FP23" s="58">
        <v>1</v>
      </c>
      <c r="FQ23" s="59">
        <f t="shared" si="37"/>
        <v>2.4700000000000015</v>
      </c>
      <c r="FR23" s="86">
        <v>2</v>
      </c>
      <c r="FS23" s="86">
        <f t="shared" si="38"/>
        <v>47.000000000000156</v>
      </c>
      <c r="FT23" s="103"/>
      <c r="FU23" s="86" t="s">
        <v>216</v>
      </c>
      <c r="FV23" s="94">
        <v>15</v>
      </c>
      <c r="FW23" s="58">
        <v>11.15</v>
      </c>
      <c r="FX23" s="96"/>
      <c r="FY23" s="96"/>
      <c r="FZ23" s="53">
        <v>21.87</v>
      </c>
      <c r="GA23" s="58">
        <f t="shared" si="39"/>
        <v>10.72</v>
      </c>
      <c r="GB23" s="97">
        <v>7.3</v>
      </c>
      <c r="GC23" s="58">
        <v>1</v>
      </c>
      <c r="GD23" s="59">
        <f t="shared" si="40"/>
        <v>2.4200000000000008</v>
      </c>
      <c r="GE23" s="86">
        <v>2</v>
      </c>
      <c r="GF23" s="86">
        <f t="shared" si="41"/>
        <v>42.000000000000085</v>
      </c>
      <c r="GG23" s="103"/>
      <c r="GI23" s="86" t="s">
        <v>216</v>
      </c>
      <c r="GJ23" s="94">
        <v>15</v>
      </c>
      <c r="GK23" s="58">
        <v>11.1</v>
      </c>
      <c r="GL23" s="96"/>
      <c r="GM23" s="96"/>
      <c r="GN23" s="53">
        <v>21.87</v>
      </c>
      <c r="GO23" s="58">
        <f t="shared" si="42"/>
        <v>10.770000000000001</v>
      </c>
      <c r="GP23" s="97">
        <v>7.3</v>
      </c>
      <c r="GQ23" s="58">
        <v>1</v>
      </c>
      <c r="GR23" s="59">
        <f t="shared" si="43"/>
        <v>2.4700000000000015</v>
      </c>
      <c r="GS23" s="86">
        <v>2</v>
      </c>
      <c r="GT23" s="86">
        <f t="shared" si="44"/>
        <v>47.000000000000156</v>
      </c>
      <c r="GU23" s="103"/>
      <c r="GV23" s="86" t="s">
        <v>216</v>
      </c>
      <c r="GW23" s="94">
        <v>15</v>
      </c>
      <c r="GX23" s="58">
        <v>11.1</v>
      </c>
      <c r="GY23" s="96"/>
      <c r="GZ23" s="96"/>
      <c r="HA23" s="53">
        <v>21.87</v>
      </c>
      <c r="HB23" s="58">
        <f t="shared" si="45"/>
        <v>10.770000000000001</v>
      </c>
      <c r="HC23" s="97">
        <v>7.3</v>
      </c>
      <c r="HD23" s="58">
        <v>1</v>
      </c>
      <c r="HE23" s="59">
        <f t="shared" si="46"/>
        <v>2.4700000000000015</v>
      </c>
      <c r="HF23" s="86">
        <v>2</v>
      </c>
      <c r="HG23" s="86">
        <f t="shared" si="47"/>
        <v>47.000000000000156</v>
      </c>
      <c r="HH23" s="103"/>
      <c r="HJ23" s="86" t="s">
        <v>216</v>
      </c>
      <c r="HK23" s="94">
        <v>15</v>
      </c>
      <c r="HL23" s="58">
        <v>11.1</v>
      </c>
      <c r="HM23" s="96"/>
      <c r="HN23" s="96"/>
      <c r="HO23" s="53">
        <v>21.87</v>
      </c>
      <c r="HP23" s="58">
        <f t="shared" si="48"/>
        <v>10.770000000000001</v>
      </c>
      <c r="HQ23" s="97">
        <v>7.3</v>
      </c>
      <c r="HR23" s="58">
        <v>1</v>
      </c>
      <c r="HS23" s="59">
        <f t="shared" si="49"/>
        <v>2.4700000000000015</v>
      </c>
      <c r="HT23" s="86">
        <v>2</v>
      </c>
      <c r="HU23" s="86">
        <f t="shared" si="50"/>
        <v>47.000000000000156</v>
      </c>
      <c r="HV23" s="103"/>
      <c r="HW23" s="86" t="s">
        <v>216</v>
      </c>
      <c r="HX23" s="94">
        <v>15</v>
      </c>
      <c r="HY23" s="58">
        <v>11.1</v>
      </c>
      <c r="HZ23" s="96"/>
      <c r="IA23" s="96"/>
      <c r="IB23" s="53">
        <v>21.87</v>
      </c>
      <c r="IC23" s="58">
        <f t="shared" si="51"/>
        <v>10.770000000000001</v>
      </c>
      <c r="ID23" s="97">
        <v>7.3</v>
      </c>
      <c r="IE23" s="58">
        <v>1</v>
      </c>
      <c r="IF23" s="59">
        <f t="shared" si="52"/>
        <v>2.4700000000000015</v>
      </c>
      <c r="IG23" s="86">
        <v>2</v>
      </c>
      <c r="IH23" s="86">
        <f t="shared" si="53"/>
        <v>47.000000000000156</v>
      </c>
      <c r="II23" s="103"/>
      <c r="IJ23" s="1"/>
      <c r="IK23" s="86" t="s">
        <v>216</v>
      </c>
      <c r="IL23" s="94">
        <v>15</v>
      </c>
      <c r="IM23" s="58">
        <v>11.25</v>
      </c>
      <c r="IN23" s="96"/>
      <c r="IO23" s="96"/>
      <c r="IP23" s="53">
        <v>21.87</v>
      </c>
      <c r="IQ23" s="58">
        <f t="shared" si="54"/>
        <v>10.620000000000001</v>
      </c>
      <c r="IR23" s="97">
        <v>7.3</v>
      </c>
      <c r="IS23" s="58">
        <v>1</v>
      </c>
      <c r="IT23" s="59">
        <f t="shared" si="55"/>
        <v>2.3200000000000012</v>
      </c>
      <c r="IU23" s="86">
        <v>2</v>
      </c>
      <c r="IV23" s="86">
        <f t="shared" si="56"/>
        <v>32.000000000000114</v>
      </c>
      <c r="IW23" s="103"/>
      <c r="IX23" s="86" t="s">
        <v>216</v>
      </c>
      <c r="IY23" s="94">
        <v>15</v>
      </c>
      <c r="IZ23" s="58">
        <v>11.1</v>
      </c>
      <c r="JA23" s="96"/>
      <c r="JB23" s="96"/>
      <c r="JC23" s="53">
        <v>21.87</v>
      </c>
      <c r="JD23" s="58">
        <f t="shared" si="57"/>
        <v>10.770000000000001</v>
      </c>
      <c r="JE23" s="97">
        <v>7.3</v>
      </c>
      <c r="JF23" s="58">
        <v>1</v>
      </c>
      <c r="JG23" s="59">
        <f t="shared" si="58"/>
        <v>2.4700000000000015</v>
      </c>
      <c r="JH23" s="86">
        <v>2</v>
      </c>
      <c r="JI23" s="86">
        <f t="shared" si="59"/>
        <v>47.000000000000156</v>
      </c>
      <c r="JJ23" s="103"/>
    </row>
    <row r="24" spans="1:270" ht="17.149999999999999" customHeight="1" x14ac:dyDescent="0.35">
      <c r="A24" s="86" t="s">
        <v>2</v>
      </c>
      <c r="B24" s="94">
        <v>16</v>
      </c>
      <c r="C24" s="58">
        <v>10.1</v>
      </c>
      <c r="D24" s="96"/>
      <c r="E24" s="96"/>
      <c r="F24" s="53">
        <v>23.88</v>
      </c>
      <c r="G24" s="58">
        <f t="shared" si="0"/>
        <v>13.78</v>
      </c>
      <c r="H24" s="97">
        <v>7.3</v>
      </c>
      <c r="I24" s="58">
        <v>1</v>
      </c>
      <c r="J24" s="59">
        <f t="shared" si="1"/>
        <v>5.4799999999999995</v>
      </c>
      <c r="K24" s="86">
        <v>5</v>
      </c>
      <c r="L24" s="86">
        <f t="shared" si="2"/>
        <v>47.999999999999957</v>
      </c>
      <c r="M24" s="98"/>
      <c r="O24" s="86" t="s">
        <v>2</v>
      </c>
      <c r="P24" s="94">
        <v>16</v>
      </c>
      <c r="Q24" s="58">
        <v>11.1</v>
      </c>
      <c r="R24" s="96"/>
      <c r="S24" s="96"/>
      <c r="T24" s="53">
        <v>23.88</v>
      </c>
      <c r="U24" s="58">
        <f t="shared" si="3"/>
        <v>12.78</v>
      </c>
      <c r="V24" s="97">
        <v>7.3</v>
      </c>
      <c r="W24" s="58">
        <v>1</v>
      </c>
      <c r="X24" s="59">
        <f t="shared" si="4"/>
        <v>4.4799999999999995</v>
      </c>
      <c r="Y24" s="86">
        <v>4</v>
      </c>
      <c r="Z24" s="86">
        <f t="shared" si="5"/>
        <v>47.999999999999957</v>
      </c>
      <c r="AA24" s="98"/>
      <c r="AC24" s="86" t="s">
        <v>2</v>
      </c>
      <c r="AD24" s="94">
        <v>16</v>
      </c>
      <c r="AE24" s="58">
        <v>11.1</v>
      </c>
      <c r="AF24" s="96"/>
      <c r="AG24" s="96"/>
      <c r="AH24" s="53">
        <v>23.88</v>
      </c>
      <c r="AI24" s="58">
        <f t="shared" si="6"/>
        <v>12.78</v>
      </c>
      <c r="AJ24" s="97">
        <v>7.3</v>
      </c>
      <c r="AK24" s="58">
        <v>1</v>
      </c>
      <c r="AL24" s="59">
        <f t="shared" si="7"/>
        <v>4.4799999999999995</v>
      </c>
      <c r="AM24" s="86">
        <v>4</v>
      </c>
      <c r="AN24" s="86">
        <f t="shared" si="8"/>
        <v>47.999999999999957</v>
      </c>
      <c r="AO24" s="98"/>
      <c r="AP24" s="86" t="s">
        <v>2</v>
      </c>
      <c r="AQ24" s="94">
        <v>16</v>
      </c>
      <c r="AR24" s="58">
        <v>10.35</v>
      </c>
      <c r="AS24" s="96"/>
      <c r="AT24" s="96"/>
      <c r="AU24" s="53">
        <v>23.88</v>
      </c>
      <c r="AV24" s="58">
        <f t="shared" si="9"/>
        <v>13.53</v>
      </c>
      <c r="AW24" s="97">
        <v>7.3</v>
      </c>
      <c r="AX24" s="58">
        <v>1</v>
      </c>
      <c r="AY24" s="59">
        <f t="shared" si="10"/>
        <v>5.2299999999999995</v>
      </c>
      <c r="AZ24" s="86">
        <v>5</v>
      </c>
      <c r="BA24" s="86">
        <f t="shared" si="11"/>
        <v>22.999999999999954</v>
      </c>
      <c r="BB24" s="98"/>
      <c r="BD24" s="86" t="s">
        <v>2</v>
      </c>
      <c r="BE24" s="94">
        <v>16</v>
      </c>
      <c r="BF24" s="58">
        <v>10.35</v>
      </c>
      <c r="BG24" s="96"/>
      <c r="BH24" s="96"/>
      <c r="BI24" s="53">
        <v>23.88</v>
      </c>
      <c r="BJ24" s="58">
        <f t="shared" si="12"/>
        <v>13.53</v>
      </c>
      <c r="BK24" s="97">
        <v>7.3</v>
      </c>
      <c r="BL24" s="58">
        <v>1</v>
      </c>
      <c r="BM24" s="59">
        <f t="shared" si="13"/>
        <v>5.2299999999999995</v>
      </c>
      <c r="BN24" s="86">
        <v>5</v>
      </c>
      <c r="BO24" s="86">
        <f t="shared" si="14"/>
        <v>22.999999999999954</v>
      </c>
      <c r="BP24" s="98"/>
      <c r="BQ24" s="86" t="s">
        <v>2</v>
      </c>
      <c r="BR24" s="94">
        <v>16</v>
      </c>
      <c r="BS24" s="58">
        <v>11.15</v>
      </c>
      <c r="BT24" s="96"/>
      <c r="BU24" s="96"/>
      <c r="BV24" s="53">
        <v>23.88</v>
      </c>
      <c r="BW24" s="58">
        <f t="shared" si="15"/>
        <v>12.729999999999999</v>
      </c>
      <c r="BX24" s="97">
        <v>7.3</v>
      </c>
      <c r="BY24" s="58">
        <v>1</v>
      </c>
      <c r="BZ24" s="59">
        <f t="shared" si="16"/>
        <v>4.4299999999999988</v>
      </c>
      <c r="CA24" s="86">
        <v>4</v>
      </c>
      <c r="CB24" s="86">
        <f t="shared" si="17"/>
        <v>42.999999999999886</v>
      </c>
      <c r="CC24" s="98"/>
      <c r="CE24" s="86" t="s">
        <v>2</v>
      </c>
      <c r="CF24" s="94">
        <v>16</v>
      </c>
      <c r="CG24" s="58">
        <v>11.1</v>
      </c>
      <c r="CH24" s="96"/>
      <c r="CI24" s="96"/>
      <c r="CJ24" s="53">
        <v>23.88</v>
      </c>
      <c r="CK24" s="58">
        <f t="shared" si="18"/>
        <v>12.78</v>
      </c>
      <c r="CL24" s="97">
        <v>7.3</v>
      </c>
      <c r="CM24" s="58">
        <v>1</v>
      </c>
      <c r="CN24" s="59">
        <f t="shared" si="19"/>
        <v>4.4799999999999995</v>
      </c>
      <c r="CO24" s="86">
        <v>4</v>
      </c>
      <c r="CP24" s="86">
        <f t="shared" si="20"/>
        <v>47.999999999999957</v>
      </c>
      <c r="CQ24" s="98"/>
      <c r="CR24" s="86" t="s">
        <v>2</v>
      </c>
      <c r="CS24" s="94">
        <v>16</v>
      </c>
      <c r="CT24" s="58">
        <v>11.1</v>
      </c>
      <c r="CU24" s="96"/>
      <c r="CV24" s="96"/>
      <c r="CW24" s="53">
        <v>23.88</v>
      </c>
      <c r="CX24" s="58">
        <f t="shared" si="21"/>
        <v>12.78</v>
      </c>
      <c r="CY24" s="97">
        <v>7.3</v>
      </c>
      <c r="CZ24" s="58">
        <v>1</v>
      </c>
      <c r="DA24" s="59">
        <f t="shared" si="22"/>
        <v>4.4799999999999995</v>
      </c>
      <c r="DB24" s="86">
        <v>4</v>
      </c>
      <c r="DC24" s="86">
        <f t="shared" si="23"/>
        <v>47.999999999999957</v>
      </c>
      <c r="DD24" s="98"/>
      <c r="DF24" s="86" t="s">
        <v>2</v>
      </c>
      <c r="DG24" s="94">
        <v>16</v>
      </c>
      <c r="DH24" s="58">
        <v>11.1</v>
      </c>
      <c r="DI24" s="96"/>
      <c r="DJ24" s="96"/>
      <c r="DK24" s="53">
        <v>23.88</v>
      </c>
      <c r="DL24" s="58">
        <f t="shared" si="24"/>
        <v>12.78</v>
      </c>
      <c r="DM24" s="97">
        <v>7.3</v>
      </c>
      <c r="DN24" s="58">
        <v>1</v>
      </c>
      <c r="DO24" s="59">
        <f t="shared" si="25"/>
        <v>4.4799999999999995</v>
      </c>
      <c r="DP24" s="86">
        <v>4</v>
      </c>
      <c r="DQ24" s="86">
        <f t="shared" si="26"/>
        <v>47.999999999999957</v>
      </c>
      <c r="DR24" s="98"/>
      <c r="DS24" s="86" t="s">
        <v>2</v>
      </c>
      <c r="DT24" s="94">
        <v>16</v>
      </c>
      <c r="DU24" s="58">
        <v>11.15</v>
      </c>
      <c r="DV24" s="96"/>
      <c r="DW24" s="96"/>
      <c r="DX24" s="53">
        <v>23.88</v>
      </c>
      <c r="DY24" s="58">
        <f t="shared" si="27"/>
        <v>12.729999999999999</v>
      </c>
      <c r="DZ24" s="97">
        <v>7.3</v>
      </c>
      <c r="EA24" s="58">
        <v>1</v>
      </c>
      <c r="EB24" s="59">
        <f t="shared" si="28"/>
        <v>4.4299999999999988</v>
      </c>
      <c r="EC24" s="86">
        <v>4</v>
      </c>
      <c r="ED24" s="86">
        <f t="shared" si="29"/>
        <v>42.999999999999886</v>
      </c>
      <c r="EE24" s="98"/>
      <c r="EG24" s="86" t="s">
        <v>2</v>
      </c>
      <c r="EH24" s="94">
        <v>16</v>
      </c>
      <c r="EI24" s="58">
        <v>11.1</v>
      </c>
      <c r="EJ24" s="96"/>
      <c r="EK24" s="96"/>
      <c r="EL24" s="53">
        <v>23.88</v>
      </c>
      <c r="EM24" s="58">
        <f t="shared" si="30"/>
        <v>12.78</v>
      </c>
      <c r="EN24" s="97">
        <v>7.3</v>
      </c>
      <c r="EO24" s="58">
        <v>1</v>
      </c>
      <c r="EP24" s="59">
        <f t="shared" si="31"/>
        <v>4.4799999999999995</v>
      </c>
      <c r="EQ24" s="86">
        <v>4</v>
      </c>
      <c r="ER24" s="86">
        <f t="shared" si="32"/>
        <v>47.999999999999957</v>
      </c>
      <c r="ES24" s="98"/>
      <c r="ET24" s="86" t="s">
        <v>2</v>
      </c>
      <c r="EU24" s="94">
        <v>16</v>
      </c>
      <c r="EV24" s="58">
        <v>11.1</v>
      </c>
      <c r="EW24" s="96"/>
      <c r="EX24" s="96"/>
      <c r="EY24" s="53">
        <v>23.88</v>
      </c>
      <c r="EZ24" s="58">
        <f t="shared" si="33"/>
        <v>12.78</v>
      </c>
      <c r="FA24" s="97">
        <v>7.3</v>
      </c>
      <c r="FB24" s="58">
        <v>1</v>
      </c>
      <c r="FC24" s="59">
        <f t="shared" si="34"/>
        <v>4.4799999999999995</v>
      </c>
      <c r="FD24" s="86">
        <v>4</v>
      </c>
      <c r="FE24" s="86">
        <f t="shared" si="35"/>
        <v>47.999999999999957</v>
      </c>
      <c r="FF24" s="98"/>
      <c r="FH24" s="86" t="s">
        <v>2</v>
      </c>
      <c r="FI24" s="94">
        <v>16</v>
      </c>
      <c r="FJ24" s="58">
        <v>11.1</v>
      </c>
      <c r="FK24" s="96"/>
      <c r="FL24" s="96"/>
      <c r="FM24" s="53">
        <v>23.88</v>
      </c>
      <c r="FN24" s="58">
        <f t="shared" si="36"/>
        <v>12.78</v>
      </c>
      <c r="FO24" s="97">
        <v>7.3</v>
      </c>
      <c r="FP24" s="58">
        <v>1</v>
      </c>
      <c r="FQ24" s="59">
        <f t="shared" si="37"/>
        <v>4.4799999999999995</v>
      </c>
      <c r="FR24" s="86">
        <v>4</v>
      </c>
      <c r="FS24" s="86">
        <f t="shared" si="38"/>
        <v>47.999999999999957</v>
      </c>
      <c r="FT24" s="98"/>
      <c r="FU24" s="86" t="s">
        <v>2</v>
      </c>
      <c r="FV24" s="94">
        <v>16</v>
      </c>
      <c r="FW24" s="58">
        <v>11.15</v>
      </c>
      <c r="FX24" s="96"/>
      <c r="FY24" s="96"/>
      <c r="FZ24" s="53">
        <v>23.88</v>
      </c>
      <c r="GA24" s="58">
        <f t="shared" si="39"/>
        <v>12.729999999999999</v>
      </c>
      <c r="GB24" s="97">
        <v>7.3</v>
      </c>
      <c r="GC24" s="58">
        <v>1</v>
      </c>
      <c r="GD24" s="59">
        <f t="shared" si="40"/>
        <v>4.4299999999999988</v>
      </c>
      <c r="GE24" s="86">
        <v>4</v>
      </c>
      <c r="GF24" s="86">
        <f t="shared" si="41"/>
        <v>42.999999999999886</v>
      </c>
      <c r="GG24" s="98"/>
      <c r="GI24" s="86" t="s">
        <v>2</v>
      </c>
      <c r="GJ24" s="94">
        <v>16</v>
      </c>
      <c r="GK24" s="58">
        <v>11.1</v>
      </c>
      <c r="GL24" s="96"/>
      <c r="GM24" s="96"/>
      <c r="GN24" s="53">
        <v>23.88</v>
      </c>
      <c r="GO24" s="58">
        <f t="shared" si="42"/>
        <v>12.78</v>
      </c>
      <c r="GP24" s="97">
        <v>7.3</v>
      </c>
      <c r="GQ24" s="58">
        <v>1</v>
      </c>
      <c r="GR24" s="59">
        <f t="shared" si="43"/>
        <v>4.4799999999999995</v>
      </c>
      <c r="GS24" s="86">
        <v>4</v>
      </c>
      <c r="GT24" s="86">
        <f t="shared" si="44"/>
        <v>47.999999999999957</v>
      </c>
      <c r="GU24" s="98"/>
      <c r="GV24" s="86" t="s">
        <v>2</v>
      </c>
      <c r="GW24" s="94">
        <v>16</v>
      </c>
      <c r="GX24" s="58">
        <v>11.1</v>
      </c>
      <c r="GY24" s="96"/>
      <c r="GZ24" s="96"/>
      <c r="HA24" s="53">
        <v>23.88</v>
      </c>
      <c r="HB24" s="58">
        <f t="shared" si="45"/>
        <v>12.78</v>
      </c>
      <c r="HC24" s="97">
        <v>7.3</v>
      </c>
      <c r="HD24" s="58">
        <v>1</v>
      </c>
      <c r="HE24" s="59">
        <f t="shared" si="46"/>
        <v>4.4799999999999995</v>
      </c>
      <c r="HF24" s="86">
        <v>4</v>
      </c>
      <c r="HG24" s="86">
        <f t="shared" si="47"/>
        <v>47.999999999999957</v>
      </c>
      <c r="HH24" s="98"/>
      <c r="HJ24" s="86" t="s">
        <v>2</v>
      </c>
      <c r="HK24" s="94">
        <v>16</v>
      </c>
      <c r="HL24" s="58">
        <v>11.1</v>
      </c>
      <c r="HM24" s="96"/>
      <c r="HN24" s="96"/>
      <c r="HO24" s="53">
        <v>23.88</v>
      </c>
      <c r="HP24" s="58">
        <f t="shared" si="48"/>
        <v>12.78</v>
      </c>
      <c r="HQ24" s="97">
        <v>7.3</v>
      </c>
      <c r="HR24" s="58">
        <v>1</v>
      </c>
      <c r="HS24" s="59">
        <f t="shared" si="49"/>
        <v>4.4799999999999995</v>
      </c>
      <c r="HT24" s="86">
        <v>4</v>
      </c>
      <c r="HU24" s="86">
        <f t="shared" si="50"/>
        <v>47.999999999999957</v>
      </c>
      <c r="HV24" s="98"/>
      <c r="HW24" s="86" t="s">
        <v>2</v>
      </c>
      <c r="HX24" s="94">
        <v>16</v>
      </c>
      <c r="HY24" s="58">
        <v>11.1</v>
      </c>
      <c r="HZ24" s="96"/>
      <c r="IA24" s="96"/>
      <c r="IB24" s="53">
        <v>23.88</v>
      </c>
      <c r="IC24" s="58">
        <f t="shared" si="51"/>
        <v>12.78</v>
      </c>
      <c r="ID24" s="97">
        <v>7.3</v>
      </c>
      <c r="IE24" s="58">
        <v>1</v>
      </c>
      <c r="IF24" s="59">
        <f t="shared" si="52"/>
        <v>4.4799999999999995</v>
      </c>
      <c r="IG24" s="86">
        <v>4</v>
      </c>
      <c r="IH24" s="86">
        <f t="shared" si="53"/>
        <v>47.999999999999957</v>
      </c>
      <c r="II24" s="98"/>
      <c r="IK24" s="86" t="s">
        <v>2</v>
      </c>
      <c r="IL24" s="94">
        <v>16</v>
      </c>
      <c r="IM24" s="58">
        <v>11.25</v>
      </c>
      <c r="IN24" s="96"/>
      <c r="IO24" s="96"/>
      <c r="IP24" s="53">
        <v>23.88</v>
      </c>
      <c r="IQ24" s="58">
        <f t="shared" si="54"/>
        <v>12.629999999999999</v>
      </c>
      <c r="IR24" s="97">
        <v>7.3</v>
      </c>
      <c r="IS24" s="58">
        <v>1</v>
      </c>
      <c r="IT24" s="59">
        <f t="shared" si="55"/>
        <v>4.3299999999999992</v>
      </c>
      <c r="IU24" s="86">
        <v>4</v>
      </c>
      <c r="IV24" s="86">
        <f t="shared" si="56"/>
        <v>32.999999999999915</v>
      </c>
      <c r="IW24" s="98"/>
      <c r="IX24" s="86" t="s">
        <v>2</v>
      </c>
      <c r="IY24" s="94">
        <v>16</v>
      </c>
      <c r="IZ24" s="58">
        <v>11.1</v>
      </c>
      <c r="JA24" s="96"/>
      <c r="JB24" s="96"/>
      <c r="JC24" s="53">
        <v>23.88</v>
      </c>
      <c r="JD24" s="58">
        <f t="shared" si="57"/>
        <v>12.78</v>
      </c>
      <c r="JE24" s="97">
        <v>7.3</v>
      </c>
      <c r="JF24" s="58">
        <v>1</v>
      </c>
      <c r="JG24" s="59">
        <f t="shared" si="58"/>
        <v>4.4799999999999995</v>
      </c>
      <c r="JH24" s="86">
        <v>4</v>
      </c>
      <c r="JI24" s="86">
        <f t="shared" si="59"/>
        <v>47.999999999999957</v>
      </c>
      <c r="JJ24" s="98"/>
    </row>
    <row r="25" spans="1:270" s="54" customFormat="1" ht="17.149999999999999" customHeight="1" x14ac:dyDescent="0.35">
      <c r="A25" s="86" t="s">
        <v>225</v>
      </c>
      <c r="B25" s="94">
        <v>17</v>
      </c>
      <c r="C25" s="58">
        <v>10.1</v>
      </c>
      <c r="D25" s="96"/>
      <c r="E25" s="96"/>
      <c r="F25" s="53">
        <v>23.62</v>
      </c>
      <c r="G25" s="58">
        <f t="shared" si="0"/>
        <v>13.520000000000001</v>
      </c>
      <c r="H25" s="97">
        <v>7.3</v>
      </c>
      <c r="I25" s="58">
        <v>1</v>
      </c>
      <c r="J25" s="59">
        <f t="shared" si="1"/>
        <v>5.2200000000000015</v>
      </c>
      <c r="K25" s="86">
        <v>5</v>
      </c>
      <c r="L25" s="86">
        <f t="shared" si="2"/>
        <v>22.000000000000153</v>
      </c>
      <c r="M25" s="86"/>
      <c r="N25"/>
      <c r="O25" s="86" t="s">
        <v>225</v>
      </c>
      <c r="P25" s="94">
        <v>17</v>
      </c>
      <c r="Q25" s="58">
        <v>11.1</v>
      </c>
      <c r="R25" s="96"/>
      <c r="S25" s="96"/>
      <c r="T25" s="53">
        <v>23.62</v>
      </c>
      <c r="U25" s="58">
        <f t="shared" si="3"/>
        <v>12.520000000000001</v>
      </c>
      <c r="V25" s="97">
        <v>7.3</v>
      </c>
      <c r="W25" s="58">
        <v>1</v>
      </c>
      <c r="X25" s="59">
        <f t="shared" si="4"/>
        <v>4.2200000000000015</v>
      </c>
      <c r="Y25" s="86">
        <v>4</v>
      </c>
      <c r="Z25" s="86">
        <f t="shared" si="5"/>
        <v>22.000000000000153</v>
      </c>
      <c r="AA25" s="86"/>
      <c r="AB25"/>
      <c r="AC25" s="86" t="s">
        <v>225</v>
      </c>
      <c r="AD25" s="94">
        <v>17</v>
      </c>
      <c r="AE25" s="58">
        <v>11.1</v>
      </c>
      <c r="AF25" s="96"/>
      <c r="AG25" s="96"/>
      <c r="AH25" s="53">
        <v>23.62</v>
      </c>
      <c r="AI25" s="58">
        <f t="shared" si="6"/>
        <v>12.520000000000001</v>
      </c>
      <c r="AJ25" s="97">
        <v>7.3</v>
      </c>
      <c r="AK25" s="58">
        <v>1</v>
      </c>
      <c r="AL25" s="59">
        <f t="shared" si="7"/>
        <v>4.2200000000000015</v>
      </c>
      <c r="AM25" s="86">
        <v>4</v>
      </c>
      <c r="AN25" s="86">
        <f t="shared" si="8"/>
        <v>22.000000000000153</v>
      </c>
      <c r="AO25" s="86"/>
      <c r="AP25" s="86" t="s">
        <v>225</v>
      </c>
      <c r="AQ25" s="94">
        <v>17</v>
      </c>
      <c r="AR25" s="58">
        <v>10.35</v>
      </c>
      <c r="AS25" s="96"/>
      <c r="AT25" s="96"/>
      <c r="AU25" s="53">
        <v>23.62</v>
      </c>
      <c r="AV25" s="58">
        <f t="shared" si="9"/>
        <v>13.270000000000001</v>
      </c>
      <c r="AW25" s="97">
        <v>7.3</v>
      </c>
      <c r="AX25" s="58">
        <v>1.4</v>
      </c>
      <c r="AY25" s="59">
        <f t="shared" si="10"/>
        <v>4.5700000000000021</v>
      </c>
      <c r="AZ25" s="86">
        <v>4</v>
      </c>
      <c r="BA25" s="86">
        <f t="shared" si="11"/>
        <v>57.000000000000206</v>
      </c>
      <c r="BB25" s="86"/>
      <c r="BC25"/>
      <c r="BD25" s="86" t="s">
        <v>225</v>
      </c>
      <c r="BE25" s="94">
        <v>17</v>
      </c>
      <c r="BF25" s="58">
        <v>10.35</v>
      </c>
      <c r="BG25" s="96"/>
      <c r="BH25" s="96"/>
      <c r="BI25" s="53">
        <v>23.62</v>
      </c>
      <c r="BJ25" s="58">
        <f t="shared" si="12"/>
        <v>13.270000000000001</v>
      </c>
      <c r="BK25" s="97">
        <v>7.3</v>
      </c>
      <c r="BL25" s="58">
        <v>1.4</v>
      </c>
      <c r="BM25" s="59">
        <f t="shared" si="13"/>
        <v>4.5700000000000021</v>
      </c>
      <c r="BN25" s="86">
        <v>4</v>
      </c>
      <c r="BO25" s="86">
        <f t="shared" si="14"/>
        <v>57.000000000000206</v>
      </c>
      <c r="BP25" s="86"/>
      <c r="BQ25" s="86" t="s">
        <v>225</v>
      </c>
      <c r="BR25" s="94">
        <v>17</v>
      </c>
      <c r="BS25" s="58">
        <v>11.15</v>
      </c>
      <c r="BT25" s="96"/>
      <c r="BU25" s="96"/>
      <c r="BV25" s="53">
        <v>23.62</v>
      </c>
      <c r="BW25" s="58">
        <f t="shared" si="15"/>
        <v>12.47</v>
      </c>
      <c r="BX25" s="97">
        <v>7.3</v>
      </c>
      <c r="BY25" s="58">
        <v>1</v>
      </c>
      <c r="BZ25" s="59">
        <f t="shared" si="16"/>
        <v>4.1700000000000008</v>
      </c>
      <c r="CA25" s="86">
        <v>4</v>
      </c>
      <c r="CB25" s="86">
        <f t="shared" si="17"/>
        <v>17.000000000000082</v>
      </c>
      <c r="CC25" s="86"/>
      <c r="CD25"/>
      <c r="CE25" s="86" t="s">
        <v>225</v>
      </c>
      <c r="CF25" s="94">
        <v>17</v>
      </c>
      <c r="CG25" s="58">
        <v>11.1</v>
      </c>
      <c r="CH25" s="96"/>
      <c r="CI25" s="96"/>
      <c r="CJ25" s="53">
        <v>23.62</v>
      </c>
      <c r="CK25" s="58">
        <f t="shared" si="18"/>
        <v>12.520000000000001</v>
      </c>
      <c r="CL25" s="97">
        <v>7.3</v>
      </c>
      <c r="CM25" s="58">
        <v>1</v>
      </c>
      <c r="CN25" s="59">
        <f t="shared" si="19"/>
        <v>4.2200000000000015</v>
      </c>
      <c r="CO25" s="86">
        <v>4</v>
      </c>
      <c r="CP25" s="86">
        <f t="shared" si="20"/>
        <v>22.000000000000153</v>
      </c>
      <c r="CQ25" s="86"/>
      <c r="CR25" s="86" t="s">
        <v>225</v>
      </c>
      <c r="CS25" s="94">
        <v>17</v>
      </c>
      <c r="CT25" s="58">
        <v>11.1</v>
      </c>
      <c r="CU25" s="96"/>
      <c r="CV25" s="96"/>
      <c r="CW25" s="53">
        <v>23.62</v>
      </c>
      <c r="CX25" s="58">
        <f t="shared" si="21"/>
        <v>12.520000000000001</v>
      </c>
      <c r="CY25" s="97">
        <v>7.3</v>
      </c>
      <c r="CZ25" s="58">
        <v>1</v>
      </c>
      <c r="DA25" s="59">
        <f t="shared" si="22"/>
        <v>4.2200000000000015</v>
      </c>
      <c r="DB25" s="86">
        <v>4</v>
      </c>
      <c r="DC25" s="86">
        <f t="shared" si="23"/>
        <v>22.000000000000153</v>
      </c>
      <c r="DD25" s="86"/>
      <c r="DE25"/>
      <c r="DF25" s="86" t="s">
        <v>225</v>
      </c>
      <c r="DG25" s="94">
        <v>17</v>
      </c>
      <c r="DH25" s="58">
        <v>11.1</v>
      </c>
      <c r="DI25" s="96"/>
      <c r="DJ25" s="96"/>
      <c r="DK25" s="53">
        <v>23.62</v>
      </c>
      <c r="DL25" s="58">
        <f t="shared" si="24"/>
        <v>12.520000000000001</v>
      </c>
      <c r="DM25" s="97">
        <v>7.3</v>
      </c>
      <c r="DN25" s="58">
        <v>1</v>
      </c>
      <c r="DO25" s="59">
        <f t="shared" si="25"/>
        <v>4.2200000000000015</v>
      </c>
      <c r="DP25" s="86">
        <v>4</v>
      </c>
      <c r="DQ25" s="86">
        <f t="shared" si="26"/>
        <v>22.000000000000153</v>
      </c>
      <c r="DR25" s="86"/>
      <c r="DS25" s="86" t="s">
        <v>225</v>
      </c>
      <c r="DT25" s="94">
        <v>17</v>
      </c>
      <c r="DU25" s="58">
        <v>11.15</v>
      </c>
      <c r="DV25" s="96"/>
      <c r="DW25" s="96"/>
      <c r="DX25" s="53">
        <v>23.62</v>
      </c>
      <c r="DY25" s="58">
        <f t="shared" si="27"/>
        <v>12.47</v>
      </c>
      <c r="DZ25" s="97">
        <v>7.3</v>
      </c>
      <c r="EA25" s="58">
        <v>1</v>
      </c>
      <c r="EB25" s="59">
        <f t="shared" si="28"/>
        <v>4.1700000000000008</v>
      </c>
      <c r="EC25" s="86">
        <v>4</v>
      </c>
      <c r="ED25" s="86">
        <f t="shared" si="29"/>
        <v>17.000000000000082</v>
      </c>
      <c r="EE25" s="86"/>
      <c r="EF25"/>
      <c r="EG25" s="86" t="s">
        <v>225</v>
      </c>
      <c r="EH25" s="94">
        <v>17</v>
      </c>
      <c r="EI25" s="58">
        <v>11.1</v>
      </c>
      <c r="EJ25" s="96"/>
      <c r="EK25" s="96"/>
      <c r="EL25" s="53">
        <v>23.62</v>
      </c>
      <c r="EM25" s="58">
        <f t="shared" si="30"/>
        <v>12.520000000000001</v>
      </c>
      <c r="EN25" s="97">
        <v>7.3</v>
      </c>
      <c r="EO25" s="58">
        <v>1</v>
      </c>
      <c r="EP25" s="59">
        <f t="shared" si="31"/>
        <v>4.2200000000000015</v>
      </c>
      <c r="EQ25" s="86">
        <v>4</v>
      </c>
      <c r="ER25" s="86">
        <f t="shared" si="32"/>
        <v>22.000000000000153</v>
      </c>
      <c r="ES25" s="86"/>
      <c r="ET25" s="86" t="s">
        <v>225</v>
      </c>
      <c r="EU25" s="94">
        <v>17</v>
      </c>
      <c r="EV25" s="58">
        <v>11.1</v>
      </c>
      <c r="EW25" s="96"/>
      <c r="EX25" s="96"/>
      <c r="EY25" s="53">
        <v>23.62</v>
      </c>
      <c r="EZ25" s="58">
        <f t="shared" si="33"/>
        <v>12.520000000000001</v>
      </c>
      <c r="FA25" s="97">
        <v>7.3</v>
      </c>
      <c r="FB25" s="58">
        <v>1</v>
      </c>
      <c r="FC25" s="59">
        <f t="shared" si="34"/>
        <v>4.2200000000000015</v>
      </c>
      <c r="FD25" s="86">
        <v>4</v>
      </c>
      <c r="FE25" s="86">
        <f t="shared" si="35"/>
        <v>22.000000000000153</v>
      </c>
      <c r="FF25" s="86"/>
      <c r="FG25"/>
      <c r="FH25" s="86" t="s">
        <v>225</v>
      </c>
      <c r="FI25" s="94">
        <v>17</v>
      </c>
      <c r="FJ25" s="58">
        <v>11.1</v>
      </c>
      <c r="FK25" s="96"/>
      <c r="FL25" s="96"/>
      <c r="FM25" s="53">
        <v>23.62</v>
      </c>
      <c r="FN25" s="58">
        <f t="shared" si="36"/>
        <v>12.520000000000001</v>
      </c>
      <c r="FO25" s="97">
        <v>7.3</v>
      </c>
      <c r="FP25" s="58">
        <v>1</v>
      </c>
      <c r="FQ25" s="59">
        <f t="shared" si="37"/>
        <v>4.2200000000000015</v>
      </c>
      <c r="FR25" s="86">
        <v>4</v>
      </c>
      <c r="FS25" s="86">
        <f t="shared" si="38"/>
        <v>22.000000000000153</v>
      </c>
      <c r="FT25" s="86"/>
      <c r="FU25" s="86" t="s">
        <v>225</v>
      </c>
      <c r="FV25" s="94">
        <v>17</v>
      </c>
      <c r="FW25" s="58">
        <v>11.15</v>
      </c>
      <c r="FX25" s="96"/>
      <c r="FY25" s="96"/>
      <c r="FZ25" s="53">
        <v>23.62</v>
      </c>
      <c r="GA25" s="58">
        <f t="shared" si="39"/>
        <v>12.47</v>
      </c>
      <c r="GB25" s="97">
        <v>7.3</v>
      </c>
      <c r="GC25" s="58">
        <v>1</v>
      </c>
      <c r="GD25" s="59">
        <f t="shared" si="40"/>
        <v>4.1700000000000008</v>
      </c>
      <c r="GE25" s="86">
        <v>4</v>
      </c>
      <c r="GF25" s="86">
        <f t="shared" si="41"/>
        <v>17.000000000000082</v>
      </c>
      <c r="GG25" s="86"/>
      <c r="GH25"/>
      <c r="GI25" s="86" t="s">
        <v>225</v>
      </c>
      <c r="GJ25" s="94">
        <v>17</v>
      </c>
      <c r="GK25" s="58">
        <v>11.1</v>
      </c>
      <c r="GL25" s="96"/>
      <c r="GM25" s="96"/>
      <c r="GN25" s="53">
        <v>23.62</v>
      </c>
      <c r="GO25" s="58">
        <f t="shared" si="42"/>
        <v>12.520000000000001</v>
      </c>
      <c r="GP25" s="97">
        <v>7.3</v>
      </c>
      <c r="GQ25" s="58">
        <v>1</v>
      </c>
      <c r="GR25" s="59">
        <f t="shared" si="43"/>
        <v>4.2200000000000015</v>
      </c>
      <c r="GS25" s="86">
        <v>4</v>
      </c>
      <c r="GT25" s="86">
        <f t="shared" si="44"/>
        <v>22.000000000000153</v>
      </c>
      <c r="GU25" s="86"/>
      <c r="GV25" s="86" t="s">
        <v>225</v>
      </c>
      <c r="GW25" s="94">
        <v>17</v>
      </c>
      <c r="GX25" s="58">
        <v>11.1</v>
      </c>
      <c r="GY25" s="96"/>
      <c r="GZ25" s="96"/>
      <c r="HA25" s="53">
        <v>23.62</v>
      </c>
      <c r="HB25" s="58">
        <f t="shared" si="45"/>
        <v>12.520000000000001</v>
      </c>
      <c r="HC25" s="97">
        <v>7.3</v>
      </c>
      <c r="HD25" s="58">
        <v>1</v>
      </c>
      <c r="HE25" s="59">
        <f t="shared" si="46"/>
        <v>4.2200000000000015</v>
      </c>
      <c r="HF25" s="86">
        <v>4</v>
      </c>
      <c r="HG25" s="86">
        <f t="shared" si="47"/>
        <v>22.000000000000153</v>
      </c>
      <c r="HH25" s="86"/>
      <c r="HI25"/>
      <c r="HJ25" s="86" t="s">
        <v>225</v>
      </c>
      <c r="HK25" s="94">
        <v>17</v>
      </c>
      <c r="HL25" s="58">
        <v>11.1</v>
      </c>
      <c r="HM25" s="96"/>
      <c r="HN25" s="96"/>
      <c r="HO25" s="53">
        <v>23.62</v>
      </c>
      <c r="HP25" s="58">
        <f t="shared" si="48"/>
        <v>12.520000000000001</v>
      </c>
      <c r="HQ25" s="97">
        <v>7.3</v>
      </c>
      <c r="HR25" s="58">
        <v>1</v>
      </c>
      <c r="HS25" s="59">
        <f t="shared" si="49"/>
        <v>4.2200000000000015</v>
      </c>
      <c r="HT25" s="86">
        <v>4</v>
      </c>
      <c r="HU25" s="86">
        <f t="shared" si="50"/>
        <v>22.000000000000153</v>
      </c>
      <c r="HV25" s="86"/>
      <c r="HW25" s="86" t="s">
        <v>225</v>
      </c>
      <c r="HX25" s="94">
        <v>17</v>
      </c>
      <c r="HY25" s="58">
        <v>11.1</v>
      </c>
      <c r="HZ25" s="96"/>
      <c r="IA25" s="96"/>
      <c r="IB25" s="53">
        <v>23.62</v>
      </c>
      <c r="IC25" s="58">
        <f t="shared" si="51"/>
        <v>12.520000000000001</v>
      </c>
      <c r="ID25" s="97">
        <v>7.3</v>
      </c>
      <c r="IE25" s="58">
        <v>1</v>
      </c>
      <c r="IF25" s="59">
        <f t="shared" si="52"/>
        <v>4.2200000000000015</v>
      </c>
      <c r="IG25" s="86">
        <v>4</v>
      </c>
      <c r="IH25" s="86">
        <f t="shared" si="53"/>
        <v>22.000000000000153</v>
      </c>
      <c r="II25" s="86"/>
      <c r="IJ25" s="1"/>
      <c r="IK25" s="86" t="s">
        <v>225</v>
      </c>
      <c r="IL25" s="94">
        <v>17</v>
      </c>
      <c r="IM25" s="58">
        <v>11.25</v>
      </c>
      <c r="IN25" s="96"/>
      <c r="IO25" s="96"/>
      <c r="IP25" s="53">
        <v>23.62</v>
      </c>
      <c r="IQ25" s="58">
        <f t="shared" si="54"/>
        <v>12.370000000000001</v>
      </c>
      <c r="IR25" s="97">
        <v>7.3</v>
      </c>
      <c r="IS25" s="58">
        <v>1</v>
      </c>
      <c r="IT25" s="59">
        <f t="shared" si="55"/>
        <v>4.0700000000000012</v>
      </c>
      <c r="IU25" s="86">
        <v>4</v>
      </c>
      <c r="IV25" s="86">
        <f t="shared" si="56"/>
        <v>7.0000000000001172</v>
      </c>
      <c r="IW25" s="86"/>
      <c r="IX25" s="86" t="s">
        <v>225</v>
      </c>
      <c r="IY25" s="94">
        <v>17</v>
      </c>
      <c r="IZ25" s="58">
        <v>11.1</v>
      </c>
      <c r="JA25" s="96"/>
      <c r="JB25" s="96"/>
      <c r="JC25" s="53">
        <v>23.62</v>
      </c>
      <c r="JD25" s="58">
        <f t="shared" si="57"/>
        <v>12.520000000000001</v>
      </c>
      <c r="JE25" s="97">
        <v>7.3</v>
      </c>
      <c r="JF25" s="58">
        <v>1</v>
      </c>
      <c r="JG25" s="59">
        <f t="shared" si="58"/>
        <v>4.2200000000000015</v>
      </c>
      <c r="JH25" s="86">
        <v>4</v>
      </c>
      <c r="JI25" s="86">
        <f t="shared" si="59"/>
        <v>22.000000000000153</v>
      </c>
      <c r="JJ25" s="86"/>
    </row>
    <row r="26" spans="1:270" ht="17.149999999999999" customHeight="1" x14ac:dyDescent="0.35">
      <c r="A26" s="86" t="s">
        <v>4</v>
      </c>
      <c r="B26" s="94">
        <v>18</v>
      </c>
      <c r="C26" s="58">
        <v>10.1</v>
      </c>
      <c r="D26" s="96"/>
      <c r="E26" s="96"/>
      <c r="F26" s="53">
        <v>23.7</v>
      </c>
      <c r="G26" s="58">
        <f t="shared" si="0"/>
        <v>13.6</v>
      </c>
      <c r="H26" s="97">
        <v>7.3</v>
      </c>
      <c r="I26" s="58">
        <v>1</v>
      </c>
      <c r="J26" s="59">
        <f t="shared" si="1"/>
        <v>5.3</v>
      </c>
      <c r="K26" s="86">
        <v>5</v>
      </c>
      <c r="L26" s="86">
        <f t="shared" si="2"/>
        <v>29.999999999999982</v>
      </c>
      <c r="M26" s="98"/>
      <c r="O26" s="86" t="s">
        <v>4</v>
      </c>
      <c r="P26" s="94">
        <v>18</v>
      </c>
      <c r="Q26" s="58">
        <v>11.1</v>
      </c>
      <c r="R26" s="96"/>
      <c r="S26" s="96"/>
      <c r="T26" s="53">
        <v>23.7</v>
      </c>
      <c r="U26" s="58">
        <f t="shared" si="3"/>
        <v>12.6</v>
      </c>
      <c r="V26" s="97">
        <v>7.3</v>
      </c>
      <c r="W26" s="58">
        <v>1</v>
      </c>
      <c r="X26" s="59">
        <f t="shared" si="4"/>
        <v>4.3</v>
      </c>
      <c r="Y26" s="86">
        <v>4</v>
      </c>
      <c r="Z26" s="86">
        <f t="shared" si="5"/>
        <v>29.999999999999982</v>
      </c>
      <c r="AA26" s="98"/>
      <c r="AC26" s="86" t="s">
        <v>4</v>
      </c>
      <c r="AD26" s="94">
        <v>18</v>
      </c>
      <c r="AE26" s="58">
        <v>11.1</v>
      </c>
      <c r="AF26" s="96"/>
      <c r="AG26" s="96"/>
      <c r="AH26" s="53">
        <v>23.7</v>
      </c>
      <c r="AI26" s="58">
        <f t="shared" si="6"/>
        <v>12.6</v>
      </c>
      <c r="AJ26" s="97">
        <v>7.3</v>
      </c>
      <c r="AK26" s="58">
        <v>1</v>
      </c>
      <c r="AL26" s="59">
        <f t="shared" si="7"/>
        <v>4.3</v>
      </c>
      <c r="AM26" s="86">
        <v>4</v>
      </c>
      <c r="AN26" s="86">
        <f t="shared" si="8"/>
        <v>29.999999999999982</v>
      </c>
      <c r="AO26" s="98"/>
      <c r="AP26" s="86" t="s">
        <v>4</v>
      </c>
      <c r="AQ26" s="94">
        <v>18</v>
      </c>
      <c r="AR26" s="58">
        <v>10.35</v>
      </c>
      <c r="AS26" s="96"/>
      <c r="AT26" s="96"/>
      <c r="AU26" s="53">
        <v>23.7</v>
      </c>
      <c r="AV26" s="58">
        <f t="shared" si="9"/>
        <v>13.35</v>
      </c>
      <c r="AW26" s="97">
        <v>7.3</v>
      </c>
      <c r="AX26" s="58">
        <v>1</v>
      </c>
      <c r="AY26" s="59">
        <f t="shared" si="10"/>
        <v>5.05</v>
      </c>
      <c r="AZ26" s="86">
        <v>5</v>
      </c>
      <c r="BA26" s="86">
        <f t="shared" si="11"/>
        <v>4.9999999999999822</v>
      </c>
      <c r="BB26" s="98"/>
      <c r="BD26" s="86" t="s">
        <v>4</v>
      </c>
      <c r="BE26" s="94">
        <v>18</v>
      </c>
      <c r="BF26" s="58">
        <v>10.35</v>
      </c>
      <c r="BG26" s="96"/>
      <c r="BH26" s="96"/>
      <c r="BI26" s="53">
        <v>23.7</v>
      </c>
      <c r="BJ26" s="58">
        <f t="shared" si="12"/>
        <v>13.35</v>
      </c>
      <c r="BK26" s="97">
        <v>7.3</v>
      </c>
      <c r="BL26" s="58">
        <v>1</v>
      </c>
      <c r="BM26" s="59">
        <f t="shared" si="13"/>
        <v>5.05</v>
      </c>
      <c r="BN26" s="86">
        <v>5</v>
      </c>
      <c r="BO26" s="86">
        <f t="shared" si="14"/>
        <v>4.9999999999999822</v>
      </c>
      <c r="BP26" s="98"/>
      <c r="BQ26" s="86" t="s">
        <v>4</v>
      </c>
      <c r="BR26" s="94">
        <v>18</v>
      </c>
      <c r="BS26" s="58">
        <v>11.15</v>
      </c>
      <c r="BT26" s="96"/>
      <c r="BU26" s="96"/>
      <c r="BV26" s="53">
        <v>23.7</v>
      </c>
      <c r="BW26" s="58">
        <f t="shared" si="15"/>
        <v>12.549999999999999</v>
      </c>
      <c r="BX26" s="97">
        <v>7.3</v>
      </c>
      <c r="BY26" s="58">
        <v>1</v>
      </c>
      <c r="BZ26" s="59">
        <f t="shared" si="16"/>
        <v>4.2499999999999991</v>
      </c>
      <c r="CA26" s="86">
        <v>4</v>
      </c>
      <c r="CB26" s="86">
        <f t="shared" si="17"/>
        <v>24.999999999999911</v>
      </c>
      <c r="CC26" s="98"/>
      <c r="CE26" s="86" t="s">
        <v>4</v>
      </c>
      <c r="CF26" s="94">
        <v>18</v>
      </c>
      <c r="CG26" s="58">
        <v>11.1</v>
      </c>
      <c r="CH26" s="96"/>
      <c r="CI26" s="96"/>
      <c r="CJ26" s="53">
        <v>23.7</v>
      </c>
      <c r="CK26" s="58">
        <f t="shared" si="18"/>
        <v>12.6</v>
      </c>
      <c r="CL26" s="97">
        <v>7.3</v>
      </c>
      <c r="CM26" s="58">
        <v>1</v>
      </c>
      <c r="CN26" s="59">
        <f t="shared" si="19"/>
        <v>4.3</v>
      </c>
      <c r="CO26" s="86">
        <v>4</v>
      </c>
      <c r="CP26" s="86">
        <f t="shared" si="20"/>
        <v>29.999999999999982</v>
      </c>
      <c r="CQ26" s="98"/>
      <c r="CR26" s="86" t="s">
        <v>4</v>
      </c>
      <c r="CS26" s="94">
        <v>18</v>
      </c>
      <c r="CT26" s="58">
        <v>11.1</v>
      </c>
      <c r="CU26" s="96"/>
      <c r="CV26" s="96"/>
      <c r="CW26" s="53">
        <v>23.7</v>
      </c>
      <c r="CX26" s="58">
        <f t="shared" si="21"/>
        <v>12.6</v>
      </c>
      <c r="CY26" s="97">
        <v>7.3</v>
      </c>
      <c r="CZ26" s="58">
        <v>1</v>
      </c>
      <c r="DA26" s="59">
        <f t="shared" si="22"/>
        <v>4.3</v>
      </c>
      <c r="DB26" s="86">
        <v>4</v>
      </c>
      <c r="DC26" s="86">
        <f t="shared" si="23"/>
        <v>29.999999999999982</v>
      </c>
      <c r="DD26" s="98"/>
      <c r="DF26" s="86" t="s">
        <v>4</v>
      </c>
      <c r="DG26" s="94">
        <v>18</v>
      </c>
      <c r="DH26" s="58">
        <v>11.1</v>
      </c>
      <c r="DI26" s="96"/>
      <c r="DJ26" s="96"/>
      <c r="DK26" s="53">
        <v>23.7</v>
      </c>
      <c r="DL26" s="58">
        <f t="shared" si="24"/>
        <v>12.6</v>
      </c>
      <c r="DM26" s="97">
        <v>7.3</v>
      </c>
      <c r="DN26" s="58">
        <v>1</v>
      </c>
      <c r="DO26" s="59">
        <f t="shared" si="25"/>
        <v>4.3</v>
      </c>
      <c r="DP26" s="86">
        <v>4</v>
      </c>
      <c r="DQ26" s="86">
        <f t="shared" si="26"/>
        <v>29.999999999999982</v>
      </c>
      <c r="DR26" s="98"/>
      <c r="DS26" s="86" t="s">
        <v>4</v>
      </c>
      <c r="DT26" s="94">
        <v>18</v>
      </c>
      <c r="DU26" s="58">
        <v>11.15</v>
      </c>
      <c r="DV26" s="96"/>
      <c r="DW26" s="96"/>
      <c r="DX26" s="53">
        <v>23.7</v>
      </c>
      <c r="DY26" s="58">
        <f t="shared" si="27"/>
        <v>12.549999999999999</v>
      </c>
      <c r="DZ26" s="97">
        <v>7.3</v>
      </c>
      <c r="EA26" s="58">
        <v>1</v>
      </c>
      <c r="EB26" s="59">
        <f t="shared" si="28"/>
        <v>4.2499999999999991</v>
      </c>
      <c r="EC26" s="86">
        <v>4</v>
      </c>
      <c r="ED26" s="86">
        <f t="shared" si="29"/>
        <v>24.999999999999911</v>
      </c>
      <c r="EE26" s="98"/>
      <c r="EG26" s="86" t="s">
        <v>4</v>
      </c>
      <c r="EH26" s="94">
        <v>18</v>
      </c>
      <c r="EI26" s="58">
        <v>11.1</v>
      </c>
      <c r="EJ26" s="96"/>
      <c r="EK26" s="96"/>
      <c r="EL26" s="53">
        <v>23.7</v>
      </c>
      <c r="EM26" s="58">
        <f t="shared" si="30"/>
        <v>12.6</v>
      </c>
      <c r="EN26" s="97">
        <v>7.3</v>
      </c>
      <c r="EO26" s="58">
        <v>1</v>
      </c>
      <c r="EP26" s="59">
        <f t="shared" si="31"/>
        <v>4.3</v>
      </c>
      <c r="EQ26" s="86">
        <v>4</v>
      </c>
      <c r="ER26" s="86">
        <f t="shared" si="32"/>
        <v>29.999999999999982</v>
      </c>
      <c r="ES26" s="98"/>
      <c r="ET26" s="86" t="s">
        <v>4</v>
      </c>
      <c r="EU26" s="94">
        <v>18</v>
      </c>
      <c r="EV26" s="58">
        <v>11.1</v>
      </c>
      <c r="EW26" s="96"/>
      <c r="EX26" s="96"/>
      <c r="EY26" s="53">
        <v>23.7</v>
      </c>
      <c r="EZ26" s="58">
        <f t="shared" si="33"/>
        <v>12.6</v>
      </c>
      <c r="FA26" s="97">
        <v>7.3</v>
      </c>
      <c r="FB26" s="58">
        <v>1</v>
      </c>
      <c r="FC26" s="59">
        <f t="shared" si="34"/>
        <v>4.3</v>
      </c>
      <c r="FD26" s="86">
        <v>4</v>
      </c>
      <c r="FE26" s="86">
        <f t="shared" si="35"/>
        <v>29.999999999999982</v>
      </c>
      <c r="FF26" s="98"/>
      <c r="FH26" s="86" t="s">
        <v>4</v>
      </c>
      <c r="FI26" s="94">
        <v>18</v>
      </c>
      <c r="FJ26" s="58">
        <v>11.1</v>
      </c>
      <c r="FK26" s="96"/>
      <c r="FL26" s="96"/>
      <c r="FM26" s="53">
        <v>23.7</v>
      </c>
      <c r="FN26" s="58">
        <f t="shared" si="36"/>
        <v>12.6</v>
      </c>
      <c r="FO26" s="97">
        <v>7.3</v>
      </c>
      <c r="FP26" s="58">
        <v>1</v>
      </c>
      <c r="FQ26" s="59">
        <f t="shared" si="37"/>
        <v>4.3</v>
      </c>
      <c r="FR26" s="86">
        <v>4</v>
      </c>
      <c r="FS26" s="86">
        <f t="shared" si="38"/>
        <v>29.999999999999982</v>
      </c>
      <c r="FT26" s="98"/>
      <c r="FU26" s="86" t="s">
        <v>4</v>
      </c>
      <c r="FV26" s="94">
        <v>18</v>
      </c>
      <c r="FW26" s="58">
        <v>11.15</v>
      </c>
      <c r="FX26" s="96"/>
      <c r="FY26" s="96"/>
      <c r="FZ26" s="53">
        <v>23.7</v>
      </c>
      <c r="GA26" s="58">
        <f t="shared" si="39"/>
        <v>12.549999999999999</v>
      </c>
      <c r="GB26" s="97">
        <v>7.3</v>
      </c>
      <c r="GC26" s="58">
        <v>1</v>
      </c>
      <c r="GD26" s="59">
        <f t="shared" si="40"/>
        <v>4.2499999999999991</v>
      </c>
      <c r="GE26" s="86">
        <v>4</v>
      </c>
      <c r="GF26" s="86">
        <f t="shared" si="41"/>
        <v>24.999999999999911</v>
      </c>
      <c r="GG26" s="98"/>
      <c r="GI26" s="86" t="s">
        <v>4</v>
      </c>
      <c r="GJ26" s="94">
        <v>18</v>
      </c>
      <c r="GK26" s="58">
        <v>11.1</v>
      </c>
      <c r="GL26" s="96"/>
      <c r="GM26" s="96"/>
      <c r="GN26" s="53">
        <v>23.7</v>
      </c>
      <c r="GO26" s="58">
        <f t="shared" si="42"/>
        <v>12.6</v>
      </c>
      <c r="GP26" s="97">
        <v>7.3</v>
      </c>
      <c r="GQ26" s="58">
        <v>1</v>
      </c>
      <c r="GR26" s="59">
        <f t="shared" si="43"/>
        <v>4.3</v>
      </c>
      <c r="GS26" s="86">
        <v>4</v>
      </c>
      <c r="GT26" s="86">
        <f t="shared" si="44"/>
        <v>29.999999999999982</v>
      </c>
      <c r="GU26" s="98"/>
      <c r="GV26" s="86" t="s">
        <v>4</v>
      </c>
      <c r="GW26" s="94">
        <v>18</v>
      </c>
      <c r="GX26" s="58">
        <v>11.1</v>
      </c>
      <c r="GY26" s="96"/>
      <c r="GZ26" s="96"/>
      <c r="HA26" s="53">
        <v>23.7</v>
      </c>
      <c r="HB26" s="58">
        <f t="shared" si="45"/>
        <v>12.6</v>
      </c>
      <c r="HC26" s="97">
        <v>7.3</v>
      </c>
      <c r="HD26" s="58">
        <v>1</v>
      </c>
      <c r="HE26" s="59">
        <f t="shared" si="46"/>
        <v>4.3</v>
      </c>
      <c r="HF26" s="86">
        <v>4</v>
      </c>
      <c r="HG26" s="86">
        <f t="shared" si="47"/>
        <v>29.999999999999982</v>
      </c>
      <c r="HH26" s="98"/>
      <c r="HJ26" s="86" t="s">
        <v>4</v>
      </c>
      <c r="HK26" s="94">
        <v>18</v>
      </c>
      <c r="HL26" s="58">
        <v>11.1</v>
      </c>
      <c r="HM26" s="96"/>
      <c r="HN26" s="96"/>
      <c r="HO26" s="53">
        <v>23.7</v>
      </c>
      <c r="HP26" s="58">
        <f t="shared" si="48"/>
        <v>12.6</v>
      </c>
      <c r="HQ26" s="97">
        <v>7.3</v>
      </c>
      <c r="HR26" s="58">
        <v>1</v>
      </c>
      <c r="HS26" s="59">
        <f t="shared" si="49"/>
        <v>4.3</v>
      </c>
      <c r="HT26" s="86">
        <v>4</v>
      </c>
      <c r="HU26" s="86">
        <f t="shared" si="50"/>
        <v>29.999999999999982</v>
      </c>
      <c r="HV26" s="98"/>
      <c r="HW26" s="86" t="s">
        <v>4</v>
      </c>
      <c r="HX26" s="94">
        <v>18</v>
      </c>
      <c r="HY26" s="58">
        <v>11.1</v>
      </c>
      <c r="HZ26" s="96"/>
      <c r="IA26" s="96"/>
      <c r="IB26" s="53">
        <v>23.7</v>
      </c>
      <c r="IC26" s="58">
        <f t="shared" si="51"/>
        <v>12.6</v>
      </c>
      <c r="ID26" s="97">
        <v>7.3</v>
      </c>
      <c r="IE26" s="58">
        <v>1</v>
      </c>
      <c r="IF26" s="59">
        <f t="shared" si="52"/>
        <v>4.3</v>
      </c>
      <c r="IG26" s="86">
        <v>4</v>
      </c>
      <c r="IH26" s="86">
        <f t="shared" si="53"/>
        <v>29.999999999999982</v>
      </c>
      <c r="II26" s="98"/>
      <c r="IK26" s="86" t="s">
        <v>4</v>
      </c>
      <c r="IL26" s="94">
        <v>18</v>
      </c>
      <c r="IM26" s="58">
        <v>11.25</v>
      </c>
      <c r="IN26" s="96"/>
      <c r="IO26" s="96"/>
      <c r="IP26" s="53">
        <v>23.7</v>
      </c>
      <c r="IQ26" s="58">
        <f t="shared" si="54"/>
        <v>12.45</v>
      </c>
      <c r="IR26" s="97">
        <v>7.3</v>
      </c>
      <c r="IS26" s="58">
        <v>1</v>
      </c>
      <c r="IT26" s="59">
        <f t="shared" si="55"/>
        <v>4.1499999999999995</v>
      </c>
      <c r="IU26" s="86">
        <v>4</v>
      </c>
      <c r="IV26" s="86">
        <f t="shared" si="56"/>
        <v>14.999999999999947</v>
      </c>
      <c r="IW26" s="98"/>
      <c r="IX26" s="86" t="s">
        <v>4</v>
      </c>
      <c r="IY26" s="94">
        <v>18</v>
      </c>
      <c r="IZ26" s="58">
        <v>11.1</v>
      </c>
      <c r="JA26" s="96"/>
      <c r="JB26" s="96"/>
      <c r="JC26" s="53">
        <v>23.7</v>
      </c>
      <c r="JD26" s="58">
        <f t="shared" si="57"/>
        <v>12.6</v>
      </c>
      <c r="JE26" s="97">
        <v>7.3</v>
      </c>
      <c r="JF26" s="58">
        <v>1</v>
      </c>
      <c r="JG26" s="59">
        <f t="shared" si="58"/>
        <v>4.3</v>
      </c>
      <c r="JH26" s="86">
        <v>4</v>
      </c>
      <c r="JI26" s="86">
        <f t="shared" si="59"/>
        <v>29.999999999999982</v>
      </c>
      <c r="JJ26" s="98"/>
    </row>
    <row r="27" spans="1:270" ht="17.149999999999999" customHeight="1" x14ac:dyDescent="0.35">
      <c r="A27" s="86" t="s">
        <v>5</v>
      </c>
      <c r="B27" s="86">
        <v>19</v>
      </c>
      <c r="C27" s="58">
        <v>10.1</v>
      </c>
      <c r="D27" s="96"/>
      <c r="E27" s="96"/>
      <c r="F27" s="53">
        <v>17.53</v>
      </c>
      <c r="G27" s="58">
        <f t="shared" si="0"/>
        <v>7.4300000000000015</v>
      </c>
      <c r="H27" s="97">
        <v>7.3</v>
      </c>
      <c r="I27" s="58">
        <v>1</v>
      </c>
      <c r="J27" s="59">
        <f t="shared" si="1"/>
        <v>-0.86999999999999833</v>
      </c>
      <c r="K27" s="86">
        <v>0</v>
      </c>
      <c r="L27" s="86">
        <f t="shared" si="2"/>
        <v>-86.999999999999829</v>
      </c>
      <c r="M27" s="98" t="s">
        <v>217</v>
      </c>
      <c r="O27" s="86" t="s">
        <v>5</v>
      </c>
      <c r="P27" s="86">
        <v>19</v>
      </c>
      <c r="Q27" s="58">
        <v>11.1</v>
      </c>
      <c r="R27" s="96"/>
      <c r="S27" s="96"/>
      <c r="T27" s="53">
        <v>23.94</v>
      </c>
      <c r="U27" s="58">
        <f t="shared" si="3"/>
        <v>12.840000000000002</v>
      </c>
      <c r="V27" s="97">
        <v>7.3</v>
      </c>
      <c r="W27" s="58">
        <v>1</v>
      </c>
      <c r="X27" s="59">
        <f t="shared" si="4"/>
        <v>4.5400000000000018</v>
      </c>
      <c r="Y27" s="86">
        <v>4</v>
      </c>
      <c r="Z27" s="86">
        <f t="shared" si="5"/>
        <v>54.000000000000185</v>
      </c>
      <c r="AA27" s="98"/>
      <c r="AC27" s="86" t="s">
        <v>5</v>
      </c>
      <c r="AD27" s="86">
        <v>19</v>
      </c>
      <c r="AE27" s="58">
        <v>11.1</v>
      </c>
      <c r="AF27" s="96"/>
      <c r="AG27" s="96"/>
      <c r="AH27" s="53">
        <v>23.94</v>
      </c>
      <c r="AI27" s="58">
        <f t="shared" si="6"/>
        <v>12.840000000000002</v>
      </c>
      <c r="AJ27" s="97">
        <v>7.3</v>
      </c>
      <c r="AK27" s="58">
        <v>1</v>
      </c>
      <c r="AL27" s="59">
        <f t="shared" si="7"/>
        <v>4.5400000000000018</v>
      </c>
      <c r="AM27" s="86">
        <v>4</v>
      </c>
      <c r="AN27" s="86">
        <f t="shared" si="8"/>
        <v>54.000000000000185</v>
      </c>
      <c r="AO27" s="98"/>
      <c r="AP27" s="86" t="s">
        <v>5</v>
      </c>
      <c r="AQ27" s="86">
        <v>19</v>
      </c>
      <c r="AR27" s="58">
        <v>10.35</v>
      </c>
      <c r="AS27" s="96"/>
      <c r="AT27" s="96"/>
      <c r="AU27" s="53">
        <v>23.98</v>
      </c>
      <c r="AV27" s="58">
        <f t="shared" si="9"/>
        <v>13.63</v>
      </c>
      <c r="AW27" s="97">
        <v>7.3</v>
      </c>
      <c r="AX27" s="58">
        <v>1</v>
      </c>
      <c r="AY27" s="59">
        <f t="shared" si="10"/>
        <v>5.330000000000001</v>
      </c>
      <c r="AZ27" s="86">
        <v>5</v>
      </c>
      <c r="BA27" s="86">
        <f t="shared" si="11"/>
        <v>33.000000000000099</v>
      </c>
      <c r="BB27" s="98"/>
      <c r="BD27" s="86" t="s">
        <v>5</v>
      </c>
      <c r="BE27" s="86">
        <v>19</v>
      </c>
      <c r="BF27" s="58">
        <v>10.35</v>
      </c>
      <c r="BG27" s="96"/>
      <c r="BH27" s="96"/>
      <c r="BI27" s="53">
        <v>23.98</v>
      </c>
      <c r="BJ27" s="58">
        <f t="shared" si="12"/>
        <v>13.63</v>
      </c>
      <c r="BK27" s="97">
        <v>7.3</v>
      </c>
      <c r="BL27" s="58">
        <v>1</v>
      </c>
      <c r="BM27" s="59">
        <f t="shared" si="13"/>
        <v>5.330000000000001</v>
      </c>
      <c r="BN27" s="86">
        <v>5</v>
      </c>
      <c r="BO27" s="86">
        <f t="shared" si="14"/>
        <v>33.000000000000099</v>
      </c>
      <c r="BP27" s="98"/>
      <c r="BQ27" s="86" t="s">
        <v>5</v>
      </c>
      <c r="BR27" s="86">
        <v>19</v>
      </c>
      <c r="BS27" s="58">
        <v>11.15</v>
      </c>
      <c r="BT27" s="96"/>
      <c r="BU27" s="96"/>
      <c r="BV27" s="53">
        <v>23.94</v>
      </c>
      <c r="BW27" s="58">
        <f t="shared" si="15"/>
        <v>12.790000000000001</v>
      </c>
      <c r="BX27" s="97">
        <v>7.3</v>
      </c>
      <c r="BY27" s="58">
        <v>1</v>
      </c>
      <c r="BZ27" s="59">
        <f t="shared" si="16"/>
        <v>4.4900000000000011</v>
      </c>
      <c r="CA27" s="86">
        <v>4</v>
      </c>
      <c r="CB27" s="86">
        <f t="shared" si="17"/>
        <v>49.000000000000114</v>
      </c>
      <c r="CC27" s="98"/>
      <c r="CE27" s="86" t="s">
        <v>5</v>
      </c>
      <c r="CF27" s="86">
        <v>19</v>
      </c>
      <c r="CG27" s="58">
        <v>11.1</v>
      </c>
      <c r="CH27" s="96"/>
      <c r="CI27" s="96"/>
      <c r="CJ27" s="53">
        <v>23.94</v>
      </c>
      <c r="CK27" s="58">
        <f t="shared" si="18"/>
        <v>12.840000000000002</v>
      </c>
      <c r="CL27" s="97">
        <v>7.3</v>
      </c>
      <c r="CM27" s="58">
        <v>1</v>
      </c>
      <c r="CN27" s="59">
        <f t="shared" si="19"/>
        <v>4.5400000000000018</v>
      </c>
      <c r="CO27" s="86">
        <v>4</v>
      </c>
      <c r="CP27" s="86">
        <f t="shared" si="20"/>
        <v>54.000000000000185</v>
      </c>
      <c r="CQ27" s="98"/>
      <c r="CR27" s="86" t="s">
        <v>5</v>
      </c>
      <c r="CS27" s="86">
        <v>19</v>
      </c>
      <c r="CT27" s="58">
        <v>11.1</v>
      </c>
      <c r="CU27" s="96"/>
      <c r="CV27" s="96"/>
      <c r="CW27" s="53">
        <v>23.94</v>
      </c>
      <c r="CX27" s="58">
        <f t="shared" si="21"/>
        <v>12.840000000000002</v>
      </c>
      <c r="CY27" s="97">
        <v>7.3</v>
      </c>
      <c r="CZ27" s="58">
        <v>1</v>
      </c>
      <c r="DA27" s="59">
        <f t="shared" si="22"/>
        <v>4.5400000000000018</v>
      </c>
      <c r="DB27" s="86">
        <v>4</v>
      </c>
      <c r="DC27" s="86">
        <f t="shared" si="23"/>
        <v>54.000000000000185</v>
      </c>
      <c r="DD27" s="98"/>
      <c r="DF27" s="86" t="s">
        <v>5</v>
      </c>
      <c r="DG27" s="86">
        <v>19</v>
      </c>
      <c r="DH27" s="58">
        <v>11.1</v>
      </c>
      <c r="DI27" s="96"/>
      <c r="DJ27" s="96"/>
      <c r="DK27" s="53">
        <v>23.94</v>
      </c>
      <c r="DL27" s="58">
        <f t="shared" si="24"/>
        <v>12.840000000000002</v>
      </c>
      <c r="DM27" s="97">
        <v>7.3</v>
      </c>
      <c r="DN27" s="58">
        <v>1</v>
      </c>
      <c r="DO27" s="59">
        <f t="shared" si="25"/>
        <v>4.5400000000000018</v>
      </c>
      <c r="DP27" s="86">
        <v>4</v>
      </c>
      <c r="DQ27" s="86">
        <f t="shared" si="26"/>
        <v>54.000000000000185</v>
      </c>
      <c r="DR27" s="98"/>
      <c r="DS27" s="86" t="s">
        <v>5</v>
      </c>
      <c r="DT27" s="86">
        <v>19</v>
      </c>
      <c r="DU27" s="58">
        <v>11.15</v>
      </c>
      <c r="DV27" s="96"/>
      <c r="DW27" s="96"/>
      <c r="DX27" s="53">
        <v>23.94</v>
      </c>
      <c r="DY27" s="58">
        <f t="shared" si="27"/>
        <v>12.790000000000001</v>
      </c>
      <c r="DZ27" s="97">
        <v>7.3</v>
      </c>
      <c r="EA27" s="58">
        <v>1</v>
      </c>
      <c r="EB27" s="59">
        <f t="shared" si="28"/>
        <v>4.4900000000000011</v>
      </c>
      <c r="EC27" s="86">
        <v>4</v>
      </c>
      <c r="ED27" s="86">
        <f t="shared" si="29"/>
        <v>49.000000000000114</v>
      </c>
      <c r="EE27" s="98"/>
      <c r="EG27" s="86" t="s">
        <v>5</v>
      </c>
      <c r="EH27" s="86">
        <v>19</v>
      </c>
      <c r="EI27" s="58">
        <v>11.1</v>
      </c>
      <c r="EJ27" s="96"/>
      <c r="EK27" s="96"/>
      <c r="EL27" s="53">
        <v>23.94</v>
      </c>
      <c r="EM27" s="58">
        <f t="shared" si="30"/>
        <v>12.840000000000002</v>
      </c>
      <c r="EN27" s="97">
        <v>7.3</v>
      </c>
      <c r="EO27" s="58">
        <v>1</v>
      </c>
      <c r="EP27" s="59">
        <f t="shared" si="31"/>
        <v>4.5400000000000018</v>
      </c>
      <c r="EQ27" s="86">
        <v>4</v>
      </c>
      <c r="ER27" s="86">
        <f t="shared" si="32"/>
        <v>54.000000000000185</v>
      </c>
      <c r="ES27" s="98"/>
      <c r="ET27" s="86" t="s">
        <v>5</v>
      </c>
      <c r="EU27" s="86">
        <v>19</v>
      </c>
      <c r="EV27" s="58">
        <v>11.1</v>
      </c>
      <c r="EW27" s="96"/>
      <c r="EX27" s="96"/>
      <c r="EY27" s="53">
        <v>23.94</v>
      </c>
      <c r="EZ27" s="58">
        <f t="shared" si="33"/>
        <v>12.840000000000002</v>
      </c>
      <c r="FA27" s="97">
        <v>7.3</v>
      </c>
      <c r="FB27" s="58">
        <v>1</v>
      </c>
      <c r="FC27" s="59">
        <f t="shared" si="34"/>
        <v>4.5400000000000018</v>
      </c>
      <c r="FD27" s="86">
        <v>4</v>
      </c>
      <c r="FE27" s="86">
        <f t="shared" si="35"/>
        <v>54.000000000000185</v>
      </c>
      <c r="FF27" s="98"/>
      <c r="FH27" s="86" t="s">
        <v>5</v>
      </c>
      <c r="FI27" s="86">
        <v>19</v>
      </c>
      <c r="FJ27" s="58">
        <v>11.1</v>
      </c>
      <c r="FK27" s="96"/>
      <c r="FL27" s="96"/>
      <c r="FM27" s="53">
        <v>23.94</v>
      </c>
      <c r="FN27" s="58">
        <f t="shared" si="36"/>
        <v>12.840000000000002</v>
      </c>
      <c r="FO27" s="97">
        <v>7.3</v>
      </c>
      <c r="FP27" s="58">
        <v>1</v>
      </c>
      <c r="FQ27" s="59">
        <f t="shared" si="37"/>
        <v>4.5400000000000018</v>
      </c>
      <c r="FR27" s="86">
        <v>4</v>
      </c>
      <c r="FS27" s="86">
        <f t="shared" si="38"/>
        <v>54.000000000000185</v>
      </c>
      <c r="FT27" s="98"/>
      <c r="FU27" s="86" t="s">
        <v>5</v>
      </c>
      <c r="FV27" s="86">
        <v>19</v>
      </c>
      <c r="FW27" s="58">
        <v>11.15</v>
      </c>
      <c r="FX27" s="96"/>
      <c r="FY27" s="96"/>
      <c r="FZ27" s="53">
        <v>23.94</v>
      </c>
      <c r="GA27" s="58">
        <f t="shared" si="39"/>
        <v>12.790000000000001</v>
      </c>
      <c r="GB27" s="97">
        <v>7.3</v>
      </c>
      <c r="GC27" s="58">
        <v>1</v>
      </c>
      <c r="GD27" s="59">
        <f t="shared" si="40"/>
        <v>4.4900000000000011</v>
      </c>
      <c r="GE27" s="86">
        <v>4</v>
      </c>
      <c r="GF27" s="86">
        <f t="shared" si="41"/>
        <v>49.000000000000114</v>
      </c>
      <c r="GG27" s="98"/>
      <c r="GI27" s="86" t="s">
        <v>5</v>
      </c>
      <c r="GJ27" s="86">
        <v>19</v>
      </c>
      <c r="GK27" s="58">
        <v>11.1</v>
      </c>
      <c r="GL27" s="96"/>
      <c r="GM27" s="96"/>
      <c r="GN27" s="53">
        <v>23.94</v>
      </c>
      <c r="GO27" s="58">
        <f t="shared" si="42"/>
        <v>12.840000000000002</v>
      </c>
      <c r="GP27" s="97">
        <v>7.3</v>
      </c>
      <c r="GQ27" s="58">
        <v>1</v>
      </c>
      <c r="GR27" s="59">
        <f t="shared" si="43"/>
        <v>4.5400000000000018</v>
      </c>
      <c r="GS27" s="86">
        <v>4</v>
      </c>
      <c r="GT27" s="86">
        <f t="shared" si="44"/>
        <v>54.000000000000185</v>
      </c>
      <c r="GU27" s="98"/>
      <c r="GV27" s="86" t="s">
        <v>5</v>
      </c>
      <c r="GW27" s="86">
        <v>19</v>
      </c>
      <c r="GX27" s="58">
        <v>11.1</v>
      </c>
      <c r="GY27" s="96"/>
      <c r="GZ27" s="96"/>
      <c r="HA27" s="53">
        <v>23.94</v>
      </c>
      <c r="HB27" s="58">
        <f t="shared" si="45"/>
        <v>12.840000000000002</v>
      </c>
      <c r="HC27" s="97">
        <v>7.3</v>
      </c>
      <c r="HD27" s="58">
        <v>1</v>
      </c>
      <c r="HE27" s="59">
        <f t="shared" si="46"/>
        <v>4.5400000000000018</v>
      </c>
      <c r="HF27" s="86">
        <v>4</v>
      </c>
      <c r="HG27" s="86">
        <f t="shared" si="47"/>
        <v>54.000000000000185</v>
      </c>
      <c r="HH27" s="98"/>
      <c r="HJ27" s="86" t="s">
        <v>5</v>
      </c>
      <c r="HK27" s="86">
        <v>19</v>
      </c>
      <c r="HL27" s="58">
        <v>11.1</v>
      </c>
      <c r="HM27" s="96"/>
      <c r="HN27" s="96"/>
      <c r="HO27" s="53">
        <v>23.94</v>
      </c>
      <c r="HP27" s="58">
        <f t="shared" si="48"/>
        <v>12.840000000000002</v>
      </c>
      <c r="HQ27" s="97">
        <v>7.3</v>
      </c>
      <c r="HR27" s="58">
        <v>1</v>
      </c>
      <c r="HS27" s="59">
        <f t="shared" si="49"/>
        <v>4.5400000000000018</v>
      </c>
      <c r="HT27" s="86">
        <v>4</v>
      </c>
      <c r="HU27" s="86">
        <f t="shared" si="50"/>
        <v>54.000000000000185</v>
      </c>
      <c r="HV27" s="98"/>
      <c r="HW27" s="86" t="s">
        <v>5</v>
      </c>
      <c r="HX27" s="86">
        <v>19</v>
      </c>
      <c r="HY27" s="58">
        <v>11.1</v>
      </c>
      <c r="HZ27" s="96"/>
      <c r="IA27" s="96"/>
      <c r="IB27" s="53">
        <v>23.94</v>
      </c>
      <c r="IC27" s="58">
        <f t="shared" si="51"/>
        <v>12.840000000000002</v>
      </c>
      <c r="ID27" s="97">
        <v>7.3</v>
      </c>
      <c r="IE27" s="58">
        <v>1</v>
      </c>
      <c r="IF27" s="59">
        <f t="shared" si="52"/>
        <v>4.5400000000000018</v>
      </c>
      <c r="IG27" s="86">
        <v>4</v>
      </c>
      <c r="IH27" s="86">
        <f t="shared" si="53"/>
        <v>54.000000000000185</v>
      </c>
      <c r="II27" s="98"/>
      <c r="IJ27" s="1"/>
      <c r="IK27" s="86" t="s">
        <v>5</v>
      </c>
      <c r="IL27" s="86">
        <v>19</v>
      </c>
      <c r="IM27" s="58">
        <v>11.25</v>
      </c>
      <c r="IN27" s="96"/>
      <c r="IO27" s="96"/>
      <c r="IP27" s="53">
        <v>23.94</v>
      </c>
      <c r="IQ27" s="58">
        <f t="shared" si="54"/>
        <v>12.690000000000001</v>
      </c>
      <c r="IR27" s="97">
        <v>7.3</v>
      </c>
      <c r="IS27" s="58">
        <v>1</v>
      </c>
      <c r="IT27" s="59">
        <f t="shared" si="55"/>
        <v>4.3900000000000015</v>
      </c>
      <c r="IU27" s="86">
        <v>4</v>
      </c>
      <c r="IV27" s="86">
        <f t="shared" si="56"/>
        <v>39.000000000000142</v>
      </c>
      <c r="IW27" s="98"/>
      <c r="IX27" s="86" t="s">
        <v>5</v>
      </c>
      <c r="IY27" s="86">
        <v>19</v>
      </c>
      <c r="IZ27" s="58">
        <v>11.1</v>
      </c>
      <c r="JA27" s="96"/>
      <c r="JB27" s="96"/>
      <c r="JC27" s="53">
        <v>23.94</v>
      </c>
      <c r="JD27" s="58">
        <f t="shared" si="57"/>
        <v>12.840000000000002</v>
      </c>
      <c r="JE27" s="97">
        <v>7.3</v>
      </c>
      <c r="JF27" s="58">
        <v>1</v>
      </c>
      <c r="JG27" s="59">
        <f t="shared" si="58"/>
        <v>4.5400000000000018</v>
      </c>
      <c r="JH27" s="86">
        <v>4</v>
      </c>
      <c r="JI27" s="86">
        <f t="shared" si="59"/>
        <v>54.000000000000185</v>
      </c>
      <c r="JJ27" s="98"/>
    </row>
    <row r="28" spans="1:270" ht="17.149999999999999" customHeight="1" x14ac:dyDescent="0.35">
      <c r="A28" s="55" t="s">
        <v>6</v>
      </c>
      <c r="B28" s="55">
        <v>20</v>
      </c>
      <c r="C28" s="52"/>
      <c r="D28" s="52"/>
      <c r="E28" s="52">
        <v>8.1</v>
      </c>
      <c r="F28" s="52">
        <v>15.33</v>
      </c>
      <c r="G28" s="52">
        <f t="shared" si="0"/>
        <v>7.23</v>
      </c>
      <c r="H28" s="56"/>
      <c r="I28" s="52"/>
      <c r="J28" s="57">
        <f t="shared" si="1"/>
        <v>7.23</v>
      </c>
      <c r="K28" s="55">
        <v>7</v>
      </c>
      <c r="L28" s="55">
        <f t="shared" si="2"/>
        <v>23.000000000000043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/>
      <c r="Z28" s="55">
        <f t="shared" si="5"/>
        <v>0</v>
      </c>
      <c r="AA28" s="95"/>
      <c r="AC28" s="55" t="s">
        <v>6</v>
      </c>
      <c r="AD28" s="55">
        <v>20</v>
      </c>
      <c r="AE28" s="52"/>
      <c r="AF28" s="52"/>
      <c r="AG28" s="52"/>
      <c r="AH28" s="52"/>
      <c r="AI28" s="52">
        <f t="shared" si="6"/>
        <v>0</v>
      </c>
      <c r="AJ28" s="56"/>
      <c r="AK28" s="52"/>
      <c r="AL28" s="57">
        <f t="shared" si="7"/>
        <v>0</v>
      </c>
      <c r="AM28" s="55"/>
      <c r="AN28" s="55">
        <f t="shared" si="8"/>
        <v>0</v>
      </c>
      <c r="AO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9"/>
        <v>0</v>
      </c>
      <c r="AW28" s="56"/>
      <c r="AX28" s="52"/>
      <c r="AY28" s="57">
        <f t="shared" si="10"/>
        <v>0</v>
      </c>
      <c r="AZ28" s="55"/>
      <c r="BA28" s="55">
        <f t="shared" si="11"/>
        <v>0</v>
      </c>
      <c r="BB28" s="95"/>
      <c r="BD28" s="55" t="s">
        <v>6</v>
      </c>
      <c r="BE28" s="55">
        <v>20</v>
      </c>
      <c r="BF28" s="52"/>
      <c r="BG28" s="52"/>
      <c r="BH28" s="52">
        <v>8.1</v>
      </c>
      <c r="BI28" s="52">
        <v>15.18</v>
      </c>
      <c r="BJ28" s="52">
        <f t="shared" si="12"/>
        <v>7.08</v>
      </c>
      <c r="BK28" s="56"/>
      <c r="BL28" s="52"/>
      <c r="BM28" s="57">
        <f t="shared" si="13"/>
        <v>7.08</v>
      </c>
      <c r="BN28" s="55">
        <v>7</v>
      </c>
      <c r="BO28" s="55">
        <f t="shared" si="14"/>
        <v>8.0000000000000071</v>
      </c>
      <c r="BP28" s="95"/>
      <c r="BQ28" s="55" t="s">
        <v>6</v>
      </c>
      <c r="BR28" s="55">
        <v>20</v>
      </c>
      <c r="BS28" s="52"/>
      <c r="BT28" s="52"/>
      <c r="BU28" s="52"/>
      <c r="BV28" s="52"/>
      <c r="BW28" s="52">
        <f t="shared" si="15"/>
        <v>0</v>
      </c>
      <c r="BX28" s="56"/>
      <c r="BY28" s="52"/>
      <c r="BZ28" s="57">
        <f t="shared" si="16"/>
        <v>0</v>
      </c>
      <c r="CA28" s="55"/>
      <c r="CB28" s="55">
        <f t="shared" si="17"/>
        <v>0</v>
      </c>
      <c r="CC28" s="95"/>
      <c r="CE28" s="55" t="s">
        <v>6</v>
      </c>
      <c r="CF28" s="55">
        <v>20</v>
      </c>
      <c r="CG28" s="52"/>
      <c r="CH28" s="52"/>
      <c r="CI28" s="52"/>
      <c r="CJ28" s="52"/>
      <c r="CK28" s="52">
        <f t="shared" si="18"/>
        <v>0</v>
      </c>
      <c r="CL28" s="56"/>
      <c r="CM28" s="52"/>
      <c r="CN28" s="57">
        <f t="shared" si="19"/>
        <v>0</v>
      </c>
      <c r="CO28" s="55"/>
      <c r="CP28" s="55">
        <f t="shared" si="20"/>
        <v>0</v>
      </c>
      <c r="CQ28" s="95"/>
      <c r="CR28" s="55" t="s">
        <v>6</v>
      </c>
      <c r="CS28" s="55">
        <v>20</v>
      </c>
      <c r="CT28" s="52"/>
      <c r="CU28" s="52"/>
      <c r="CV28" s="52"/>
      <c r="CW28" s="52"/>
      <c r="CX28" s="52">
        <f t="shared" si="21"/>
        <v>0</v>
      </c>
      <c r="CY28" s="56"/>
      <c r="CZ28" s="52"/>
      <c r="DA28" s="57">
        <f t="shared" si="22"/>
        <v>0</v>
      </c>
      <c r="DB28" s="55"/>
      <c r="DC28" s="55">
        <f t="shared" si="23"/>
        <v>0</v>
      </c>
      <c r="DD28" s="95"/>
      <c r="DF28" s="55" t="s">
        <v>6</v>
      </c>
      <c r="DG28" s="55">
        <v>20</v>
      </c>
      <c r="DH28" s="52"/>
      <c r="DI28" s="52"/>
      <c r="DJ28" s="52"/>
      <c r="DK28" s="52"/>
      <c r="DL28" s="52">
        <f t="shared" si="24"/>
        <v>0</v>
      </c>
      <c r="DM28" s="56"/>
      <c r="DN28" s="52"/>
      <c r="DO28" s="57">
        <f t="shared" si="25"/>
        <v>0</v>
      </c>
      <c r="DP28" s="55"/>
      <c r="DQ28" s="55">
        <f t="shared" si="26"/>
        <v>0</v>
      </c>
      <c r="DR28" s="95"/>
      <c r="DS28" s="55" t="s">
        <v>6</v>
      </c>
      <c r="DT28" s="55">
        <v>20</v>
      </c>
      <c r="DU28" s="52"/>
      <c r="DV28" s="52"/>
      <c r="DW28" s="52"/>
      <c r="DX28" s="52"/>
      <c r="DY28" s="52">
        <f t="shared" si="27"/>
        <v>0</v>
      </c>
      <c r="DZ28" s="56"/>
      <c r="EA28" s="52"/>
      <c r="EB28" s="57">
        <f t="shared" si="28"/>
        <v>0</v>
      </c>
      <c r="EC28" s="55"/>
      <c r="ED28" s="55">
        <f t="shared" si="29"/>
        <v>0</v>
      </c>
      <c r="EE28" s="95"/>
      <c r="EG28" s="55" t="s">
        <v>6</v>
      </c>
      <c r="EH28" s="55">
        <v>20</v>
      </c>
      <c r="EI28" s="52"/>
      <c r="EJ28" s="52"/>
      <c r="EK28" s="52"/>
      <c r="EL28" s="52"/>
      <c r="EM28" s="52">
        <f t="shared" si="30"/>
        <v>0</v>
      </c>
      <c r="EN28" s="56"/>
      <c r="EO28" s="52"/>
      <c r="EP28" s="57">
        <f t="shared" si="31"/>
        <v>0</v>
      </c>
      <c r="EQ28" s="55"/>
      <c r="ER28" s="55">
        <f t="shared" si="32"/>
        <v>0</v>
      </c>
      <c r="ES28" s="95"/>
      <c r="ET28" s="55" t="s">
        <v>6</v>
      </c>
      <c r="EU28" s="55">
        <v>20</v>
      </c>
      <c r="EV28" s="52"/>
      <c r="EW28" s="52"/>
      <c r="EX28" s="52"/>
      <c r="EY28" s="52"/>
      <c r="EZ28" s="52">
        <f t="shared" si="33"/>
        <v>0</v>
      </c>
      <c r="FA28" s="56"/>
      <c r="FB28" s="52"/>
      <c r="FC28" s="57">
        <f t="shared" si="34"/>
        <v>0</v>
      </c>
      <c r="FD28" s="55"/>
      <c r="FE28" s="55">
        <f t="shared" si="35"/>
        <v>0</v>
      </c>
      <c r="FF28" s="95"/>
      <c r="FH28" s="55" t="s">
        <v>6</v>
      </c>
      <c r="FI28" s="55">
        <v>20</v>
      </c>
      <c r="FJ28" s="52"/>
      <c r="FK28" s="52"/>
      <c r="FL28" s="52"/>
      <c r="FM28" s="52"/>
      <c r="FN28" s="52">
        <f t="shared" si="36"/>
        <v>0</v>
      </c>
      <c r="FO28" s="56"/>
      <c r="FP28" s="52"/>
      <c r="FQ28" s="57">
        <f t="shared" si="37"/>
        <v>0</v>
      </c>
      <c r="FR28" s="55"/>
      <c r="FS28" s="55">
        <f t="shared" si="38"/>
        <v>0</v>
      </c>
      <c r="FT28" s="95"/>
      <c r="FU28" s="55" t="s">
        <v>6</v>
      </c>
      <c r="FV28" s="55">
        <v>20</v>
      </c>
      <c r="FW28" s="52"/>
      <c r="FX28" s="52"/>
      <c r="FY28" s="52"/>
      <c r="FZ28" s="52"/>
      <c r="GA28" s="52">
        <f t="shared" si="39"/>
        <v>0</v>
      </c>
      <c r="GB28" s="56"/>
      <c r="GC28" s="52"/>
      <c r="GD28" s="57">
        <f t="shared" si="40"/>
        <v>0</v>
      </c>
      <c r="GE28" s="55"/>
      <c r="GF28" s="55">
        <f t="shared" si="41"/>
        <v>0</v>
      </c>
      <c r="GG28" s="95"/>
      <c r="GI28" s="55" t="s">
        <v>6</v>
      </c>
      <c r="GJ28" s="55">
        <v>20</v>
      </c>
      <c r="GK28" s="52"/>
      <c r="GL28" s="52"/>
      <c r="GM28" s="52">
        <v>8.5500000000000007</v>
      </c>
      <c r="GN28" s="52">
        <v>14.73</v>
      </c>
      <c r="GO28" s="52">
        <f t="shared" si="42"/>
        <v>6.18</v>
      </c>
      <c r="GP28" s="56"/>
      <c r="GQ28" s="52"/>
      <c r="GR28" s="57">
        <f t="shared" si="43"/>
        <v>6.18</v>
      </c>
      <c r="GS28" s="55">
        <v>6</v>
      </c>
      <c r="GT28" s="55">
        <f t="shared" si="44"/>
        <v>17.999999999999972</v>
      </c>
      <c r="GU28" s="95"/>
      <c r="GV28" s="55" t="s">
        <v>6</v>
      </c>
      <c r="GW28" s="55">
        <v>20</v>
      </c>
      <c r="GX28" s="52"/>
      <c r="GY28" s="52"/>
      <c r="GZ28" s="52"/>
      <c r="HA28" s="52"/>
      <c r="HB28" s="52">
        <f t="shared" si="45"/>
        <v>0</v>
      </c>
      <c r="HC28" s="56"/>
      <c r="HD28" s="52"/>
      <c r="HE28" s="57">
        <f t="shared" si="46"/>
        <v>0</v>
      </c>
      <c r="HF28" s="55"/>
      <c r="HG28" s="55">
        <f t="shared" si="47"/>
        <v>0</v>
      </c>
      <c r="HH28" s="95"/>
      <c r="HJ28" s="55" t="s">
        <v>6</v>
      </c>
      <c r="HK28" s="55">
        <v>20</v>
      </c>
      <c r="HL28" s="52"/>
      <c r="HM28" s="52"/>
      <c r="HN28" s="52"/>
      <c r="HO28" s="52"/>
      <c r="HP28" s="52">
        <f t="shared" si="48"/>
        <v>0</v>
      </c>
      <c r="HQ28" s="56"/>
      <c r="HR28" s="52"/>
      <c r="HS28" s="57">
        <f t="shared" si="49"/>
        <v>0</v>
      </c>
      <c r="HT28" s="55"/>
      <c r="HU28" s="55">
        <f t="shared" si="50"/>
        <v>0</v>
      </c>
      <c r="HV28" s="95"/>
      <c r="HW28" s="55" t="s">
        <v>6</v>
      </c>
      <c r="HX28" s="55">
        <v>20</v>
      </c>
      <c r="HY28" s="52"/>
      <c r="HZ28" s="52"/>
      <c r="IA28" s="52"/>
      <c r="IB28" s="52"/>
      <c r="IC28" s="52">
        <f t="shared" si="51"/>
        <v>0</v>
      </c>
      <c r="ID28" s="56"/>
      <c r="IE28" s="52"/>
      <c r="IF28" s="57">
        <f t="shared" si="52"/>
        <v>0</v>
      </c>
      <c r="IG28" s="55"/>
      <c r="IH28" s="55">
        <f t="shared" si="53"/>
        <v>0</v>
      </c>
      <c r="II28" s="95"/>
      <c r="IK28" s="55" t="s">
        <v>6</v>
      </c>
      <c r="IL28" s="55">
        <v>20</v>
      </c>
      <c r="IM28" s="52"/>
      <c r="IN28" s="52"/>
      <c r="IO28" s="52"/>
      <c r="IP28" s="52"/>
      <c r="IQ28" s="52">
        <f t="shared" si="54"/>
        <v>0</v>
      </c>
      <c r="IR28" s="56"/>
      <c r="IS28" s="52"/>
      <c r="IT28" s="57">
        <f t="shared" si="55"/>
        <v>0</v>
      </c>
      <c r="IU28" s="55"/>
      <c r="IV28" s="55">
        <f t="shared" si="56"/>
        <v>0</v>
      </c>
      <c r="IW28" s="95"/>
      <c r="IX28" s="55" t="s">
        <v>6</v>
      </c>
      <c r="IY28" s="55">
        <v>20</v>
      </c>
      <c r="IZ28" s="52"/>
      <c r="JA28" s="52"/>
      <c r="JB28" s="52"/>
      <c r="JC28" s="52"/>
      <c r="JD28" s="52">
        <f t="shared" si="57"/>
        <v>0</v>
      </c>
      <c r="JE28" s="56"/>
      <c r="JF28" s="52"/>
      <c r="JG28" s="57">
        <f t="shared" si="58"/>
        <v>0</v>
      </c>
      <c r="JH28" s="55"/>
      <c r="JI28" s="55">
        <f t="shared" si="59"/>
        <v>0</v>
      </c>
      <c r="JJ28" s="95"/>
    </row>
    <row r="29" spans="1:270" ht="17.149999999999999" customHeight="1" x14ac:dyDescent="0.35">
      <c r="A29" s="86" t="s">
        <v>1</v>
      </c>
      <c r="B29" s="86">
        <v>21</v>
      </c>
      <c r="C29" s="58">
        <v>10.1</v>
      </c>
      <c r="D29" s="96"/>
      <c r="E29" s="96"/>
      <c r="F29" s="53">
        <v>24.97</v>
      </c>
      <c r="G29" s="58">
        <f t="shared" si="0"/>
        <v>14.87</v>
      </c>
      <c r="H29" s="97">
        <v>7.3</v>
      </c>
      <c r="I29" s="58">
        <v>1</v>
      </c>
      <c r="J29" s="59">
        <f t="shared" si="1"/>
        <v>6.5699999999999994</v>
      </c>
      <c r="K29" s="86">
        <v>6</v>
      </c>
      <c r="L29" s="86">
        <f t="shared" si="2"/>
        <v>56.999999999999943</v>
      </c>
      <c r="M29" s="98"/>
      <c r="O29" s="86" t="s">
        <v>1</v>
      </c>
      <c r="P29" s="86">
        <v>21</v>
      </c>
      <c r="Q29" s="58">
        <v>11.1</v>
      </c>
      <c r="R29" s="96"/>
      <c r="S29" s="96"/>
      <c r="T29" s="53">
        <v>24.97</v>
      </c>
      <c r="U29" s="58">
        <f t="shared" si="3"/>
        <v>13.87</v>
      </c>
      <c r="V29" s="97">
        <v>7.3</v>
      </c>
      <c r="W29" s="58">
        <v>1</v>
      </c>
      <c r="X29" s="59">
        <f t="shared" si="4"/>
        <v>5.5699999999999994</v>
      </c>
      <c r="Y29" s="86">
        <v>5</v>
      </c>
      <c r="Z29" s="86">
        <f t="shared" si="5"/>
        <v>56.999999999999943</v>
      </c>
      <c r="AA29" s="98"/>
      <c r="AC29" s="86" t="s">
        <v>1</v>
      </c>
      <c r="AD29" s="86">
        <v>21</v>
      </c>
      <c r="AE29" s="58">
        <v>11.1</v>
      </c>
      <c r="AF29" s="96"/>
      <c r="AG29" s="96"/>
      <c r="AH29" s="53">
        <v>24.97</v>
      </c>
      <c r="AI29" s="58">
        <f t="shared" si="6"/>
        <v>13.87</v>
      </c>
      <c r="AJ29" s="97">
        <v>7.3</v>
      </c>
      <c r="AK29" s="58">
        <v>1</v>
      </c>
      <c r="AL29" s="59">
        <f t="shared" si="7"/>
        <v>5.5699999999999994</v>
      </c>
      <c r="AM29" s="86">
        <v>5</v>
      </c>
      <c r="AN29" s="86">
        <f t="shared" si="8"/>
        <v>56.999999999999943</v>
      </c>
      <c r="AO29" s="98"/>
      <c r="AP29" s="86" t="s">
        <v>1</v>
      </c>
      <c r="AQ29" s="86">
        <v>21</v>
      </c>
      <c r="AR29" s="58">
        <v>10.35</v>
      </c>
      <c r="AS29" s="96"/>
      <c r="AT29" s="96"/>
      <c r="AU29" s="53">
        <v>24.97</v>
      </c>
      <c r="AV29" s="58">
        <f t="shared" si="9"/>
        <v>14.62</v>
      </c>
      <c r="AW29" s="97">
        <v>7.3</v>
      </c>
      <c r="AX29" s="58">
        <v>1</v>
      </c>
      <c r="AY29" s="59">
        <f t="shared" si="10"/>
        <v>6.3199999999999994</v>
      </c>
      <c r="AZ29" s="86">
        <v>6</v>
      </c>
      <c r="BA29" s="86">
        <f t="shared" si="11"/>
        <v>31.99999999999994</v>
      </c>
      <c r="BB29" s="98"/>
      <c r="BD29" s="86" t="s">
        <v>1</v>
      </c>
      <c r="BE29" s="86">
        <v>21</v>
      </c>
      <c r="BF29" s="58">
        <v>10.35</v>
      </c>
      <c r="BG29" s="96"/>
      <c r="BH29" s="96"/>
      <c r="BI29" s="53">
        <v>24.97</v>
      </c>
      <c r="BJ29" s="58">
        <f t="shared" si="12"/>
        <v>14.62</v>
      </c>
      <c r="BK29" s="97">
        <v>7.3</v>
      </c>
      <c r="BL29" s="58">
        <v>1</v>
      </c>
      <c r="BM29" s="59">
        <f t="shared" si="13"/>
        <v>6.3199999999999994</v>
      </c>
      <c r="BN29" s="86">
        <v>6</v>
      </c>
      <c r="BO29" s="86">
        <f t="shared" si="14"/>
        <v>31.99999999999994</v>
      </c>
      <c r="BP29" s="98"/>
      <c r="BQ29" s="86" t="s">
        <v>1</v>
      </c>
      <c r="BR29" s="86">
        <v>21</v>
      </c>
      <c r="BS29" s="58">
        <v>11.15</v>
      </c>
      <c r="BT29" s="96"/>
      <c r="BU29" s="96"/>
      <c r="BV29" s="53">
        <v>24.97</v>
      </c>
      <c r="BW29" s="58">
        <f t="shared" si="15"/>
        <v>13.819999999999999</v>
      </c>
      <c r="BX29" s="97">
        <v>7.3</v>
      </c>
      <c r="BY29" s="58">
        <v>1</v>
      </c>
      <c r="BZ29" s="59">
        <f t="shared" si="16"/>
        <v>5.5199999999999987</v>
      </c>
      <c r="CA29" s="86">
        <v>5</v>
      </c>
      <c r="CB29" s="86">
        <f t="shared" si="17"/>
        <v>51.999999999999872</v>
      </c>
      <c r="CC29" s="98"/>
      <c r="CE29" s="86" t="s">
        <v>1</v>
      </c>
      <c r="CF29" s="86">
        <v>21</v>
      </c>
      <c r="CG29" s="58">
        <v>11.1</v>
      </c>
      <c r="CH29" s="96"/>
      <c r="CI29" s="96"/>
      <c r="CJ29" s="53">
        <v>24.97</v>
      </c>
      <c r="CK29" s="58">
        <f t="shared" si="18"/>
        <v>13.87</v>
      </c>
      <c r="CL29" s="97">
        <v>7.3</v>
      </c>
      <c r="CM29" s="58">
        <v>1</v>
      </c>
      <c r="CN29" s="59">
        <f t="shared" si="19"/>
        <v>5.5699999999999994</v>
      </c>
      <c r="CO29" s="86">
        <v>5</v>
      </c>
      <c r="CP29" s="86">
        <f t="shared" si="20"/>
        <v>56.999999999999943</v>
      </c>
      <c r="CQ29" s="98"/>
      <c r="CR29" s="86" t="s">
        <v>1</v>
      </c>
      <c r="CS29" s="86">
        <v>21</v>
      </c>
      <c r="CT29" s="58">
        <v>11.1</v>
      </c>
      <c r="CU29" s="96"/>
      <c r="CV29" s="96"/>
      <c r="CW29" s="53">
        <v>24.97</v>
      </c>
      <c r="CX29" s="58">
        <f t="shared" si="21"/>
        <v>13.87</v>
      </c>
      <c r="CY29" s="97">
        <v>7.3</v>
      </c>
      <c r="CZ29" s="58">
        <v>1</v>
      </c>
      <c r="DA29" s="59">
        <f t="shared" si="22"/>
        <v>5.5699999999999994</v>
      </c>
      <c r="DB29" s="86">
        <v>5</v>
      </c>
      <c r="DC29" s="86">
        <f t="shared" si="23"/>
        <v>56.999999999999943</v>
      </c>
      <c r="DD29" s="98"/>
      <c r="DF29" s="86" t="s">
        <v>1</v>
      </c>
      <c r="DG29" s="86">
        <v>21</v>
      </c>
      <c r="DH29" s="58">
        <v>11.1</v>
      </c>
      <c r="DI29" s="96"/>
      <c r="DJ29" s="96"/>
      <c r="DK29" s="53">
        <v>24.97</v>
      </c>
      <c r="DL29" s="58">
        <f t="shared" si="24"/>
        <v>13.87</v>
      </c>
      <c r="DM29" s="97">
        <v>7.3</v>
      </c>
      <c r="DN29" s="58">
        <v>1</v>
      </c>
      <c r="DO29" s="59">
        <f t="shared" si="25"/>
        <v>5.5699999999999994</v>
      </c>
      <c r="DP29" s="86">
        <v>5</v>
      </c>
      <c r="DQ29" s="86">
        <f t="shared" si="26"/>
        <v>56.999999999999943</v>
      </c>
      <c r="DR29" s="98"/>
      <c r="DS29" s="86" t="s">
        <v>1</v>
      </c>
      <c r="DT29" s="86">
        <v>21</v>
      </c>
      <c r="DU29" s="58">
        <v>11.2</v>
      </c>
      <c r="DV29" s="96"/>
      <c r="DW29" s="96"/>
      <c r="DX29" s="53">
        <v>24.97</v>
      </c>
      <c r="DY29" s="58">
        <f t="shared" si="27"/>
        <v>13.77</v>
      </c>
      <c r="DZ29" s="97">
        <v>7.3</v>
      </c>
      <c r="EA29" s="58">
        <v>1</v>
      </c>
      <c r="EB29" s="59">
        <f t="shared" si="28"/>
        <v>5.47</v>
      </c>
      <c r="EC29" s="86">
        <v>5</v>
      </c>
      <c r="ED29" s="86">
        <f t="shared" si="29"/>
        <v>46.999999999999972</v>
      </c>
      <c r="EE29" s="98"/>
      <c r="EG29" s="86" t="s">
        <v>1</v>
      </c>
      <c r="EH29" s="86">
        <v>21</v>
      </c>
      <c r="EI29" s="58">
        <v>11.1</v>
      </c>
      <c r="EJ29" s="96"/>
      <c r="EK29" s="96"/>
      <c r="EL29" s="53">
        <v>24.97</v>
      </c>
      <c r="EM29" s="58">
        <f t="shared" si="30"/>
        <v>13.87</v>
      </c>
      <c r="EN29" s="97">
        <v>7.3</v>
      </c>
      <c r="EO29" s="58">
        <v>1</v>
      </c>
      <c r="EP29" s="59">
        <f t="shared" si="31"/>
        <v>5.5699999999999994</v>
      </c>
      <c r="EQ29" s="86">
        <v>5</v>
      </c>
      <c r="ER29" s="86">
        <f t="shared" si="32"/>
        <v>56.999999999999943</v>
      </c>
      <c r="ES29" s="98"/>
      <c r="ET29" s="86" t="s">
        <v>1</v>
      </c>
      <c r="EU29" s="86">
        <v>21</v>
      </c>
      <c r="EV29" s="58">
        <v>11.1</v>
      </c>
      <c r="EW29" s="96"/>
      <c r="EX29" s="96"/>
      <c r="EY29" s="53">
        <v>24.97</v>
      </c>
      <c r="EZ29" s="58">
        <f t="shared" si="33"/>
        <v>13.87</v>
      </c>
      <c r="FA29" s="97">
        <v>7.3</v>
      </c>
      <c r="FB29" s="58">
        <v>1</v>
      </c>
      <c r="FC29" s="59">
        <f t="shared" si="34"/>
        <v>5.5699999999999994</v>
      </c>
      <c r="FD29" s="86">
        <v>5</v>
      </c>
      <c r="FE29" s="86">
        <f t="shared" si="35"/>
        <v>56.999999999999943</v>
      </c>
      <c r="FF29" s="98"/>
      <c r="FH29" s="86" t="s">
        <v>1</v>
      </c>
      <c r="FI29" s="86">
        <v>21</v>
      </c>
      <c r="FJ29" s="58">
        <v>11.1</v>
      </c>
      <c r="FK29" s="96"/>
      <c r="FL29" s="96"/>
      <c r="FM29" s="53">
        <v>24.97</v>
      </c>
      <c r="FN29" s="58">
        <f t="shared" si="36"/>
        <v>13.87</v>
      </c>
      <c r="FO29" s="97">
        <v>7.3</v>
      </c>
      <c r="FP29" s="58">
        <v>1</v>
      </c>
      <c r="FQ29" s="59">
        <f t="shared" si="37"/>
        <v>5.5699999999999994</v>
      </c>
      <c r="FR29" s="86">
        <v>5</v>
      </c>
      <c r="FS29" s="86">
        <f t="shared" si="38"/>
        <v>56.999999999999943</v>
      </c>
      <c r="FT29" s="98"/>
      <c r="FU29" s="86" t="s">
        <v>1</v>
      </c>
      <c r="FV29" s="86">
        <v>21</v>
      </c>
      <c r="FW29" s="58">
        <v>11.1</v>
      </c>
      <c r="FX29" s="96"/>
      <c r="FY29" s="96"/>
      <c r="FZ29" s="53">
        <v>24.97</v>
      </c>
      <c r="GA29" s="58">
        <f t="shared" si="39"/>
        <v>13.87</v>
      </c>
      <c r="GB29" s="97">
        <v>7.3</v>
      </c>
      <c r="GC29" s="58">
        <v>1</v>
      </c>
      <c r="GD29" s="59">
        <f t="shared" si="40"/>
        <v>5.5699999999999994</v>
      </c>
      <c r="GE29" s="86">
        <v>5</v>
      </c>
      <c r="GF29" s="86">
        <f t="shared" si="41"/>
        <v>56.999999999999943</v>
      </c>
      <c r="GG29" s="98"/>
      <c r="GI29" s="86" t="s">
        <v>1</v>
      </c>
      <c r="GJ29" s="86">
        <v>21</v>
      </c>
      <c r="GK29" s="58">
        <v>11.1</v>
      </c>
      <c r="GL29" s="96"/>
      <c r="GM29" s="96"/>
      <c r="GN29" s="53">
        <v>24.97</v>
      </c>
      <c r="GO29" s="58">
        <f t="shared" si="42"/>
        <v>13.87</v>
      </c>
      <c r="GP29" s="97">
        <v>7.3</v>
      </c>
      <c r="GQ29" s="58">
        <v>1</v>
      </c>
      <c r="GR29" s="59">
        <f t="shared" si="43"/>
        <v>5.5699999999999994</v>
      </c>
      <c r="GS29" s="86">
        <v>5</v>
      </c>
      <c r="GT29" s="86">
        <f t="shared" si="44"/>
        <v>56.999999999999943</v>
      </c>
      <c r="GU29" s="98"/>
      <c r="GV29" s="86" t="s">
        <v>1</v>
      </c>
      <c r="GW29" s="86">
        <v>21</v>
      </c>
      <c r="GX29" s="58">
        <v>11.1</v>
      </c>
      <c r="GY29" s="96"/>
      <c r="GZ29" s="96"/>
      <c r="HA29" s="53">
        <v>24.97</v>
      </c>
      <c r="HB29" s="58">
        <f t="shared" si="45"/>
        <v>13.87</v>
      </c>
      <c r="HC29" s="97">
        <v>7.3</v>
      </c>
      <c r="HD29" s="58">
        <v>1</v>
      </c>
      <c r="HE29" s="59">
        <f t="shared" si="46"/>
        <v>5.5699999999999994</v>
      </c>
      <c r="HF29" s="86">
        <v>5</v>
      </c>
      <c r="HG29" s="86">
        <f t="shared" si="47"/>
        <v>56.999999999999943</v>
      </c>
      <c r="HH29" s="98"/>
      <c r="HJ29" s="86" t="s">
        <v>1</v>
      </c>
      <c r="HK29" s="86">
        <v>21</v>
      </c>
      <c r="HL29" s="58">
        <v>11.1</v>
      </c>
      <c r="HM29" s="96"/>
      <c r="HN29" s="96"/>
      <c r="HO29" s="53">
        <v>24.97</v>
      </c>
      <c r="HP29" s="58">
        <f t="shared" si="48"/>
        <v>13.87</v>
      </c>
      <c r="HQ29" s="97">
        <v>7.3</v>
      </c>
      <c r="HR29" s="58">
        <v>1</v>
      </c>
      <c r="HS29" s="59">
        <f t="shared" si="49"/>
        <v>5.5699999999999994</v>
      </c>
      <c r="HT29" s="86">
        <v>5</v>
      </c>
      <c r="HU29" s="86">
        <f t="shared" si="50"/>
        <v>56.999999999999943</v>
      </c>
      <c r="HV29" s="98"/>
      <c r="HW29" s="86" t="s">
        <v>1</v>
      </c>
      <c r="HX29" s="86">
        <v>21</v>
      </c>
      <c r="HY29" s="58">
        <v>11.1</v>
      </c>
      <c r="HZ29" s="96"/>
      <c r="IA29" s="96"/>
      <c r="IB29" s="53">
        <v>24.97</v>
      </c>
      <c r="IC29" s="58">
        <f t="shared" si="51"/>
        <v>13.87</v>
      </c>
      <c r="ID29" s="97">
        <v>7.3</v>
      </c>
      <c r="IE29" s="58">
        <v>1</v>
      </c>
      <c r="IF29" s="59">
        <f t="shared" si="52"/>
        <v>5.5699999999999994</v>
      </c>
      <c r="IG29" s="86">
        <v>5</v>
      </c>
      <c r="IH29" s="86">
        <f t="shared" si="53"/>
        <v>56.999999999999943</v>
      </c>
      <c r="II29" s="98"/>
      <c r="IJ29" s="1"/>
      <c r="IK29" s="86" t="s">
        <v>1</v>
      </c>
      <c r="IL29" s="86">
        <v>21</v>
      </c>
      <c r="IM29" s="58">
        <v>11.25</v>
      </c>
      <c r="IN29" s="96"/>
      <c r="IO29" s="96"/>
      <c r="IP29" s="53">
        <v>24.97</v>
      </c>
      <c r="IQ29" s="58">
        <f t="shared" si="54"/>
        <v>13.719999999999999</v>
      </c>
      <c r="IR29" s="97">
        <v>7.3</v>
      </c>
      <c r="IS29" s="58">
        <v>1</v>
      </c>
      <c r="IT29" s="59">
        <f t="shared" si="55"/>
        <v>5.419999999999999</v>
      </c>
      <c r="IU29" s="86">
        <v>5</v>
      </c>
      <c r="IV29" s="86">
        <f t="shared" si="56"/>
        <v>41.999999999999901</v>
      </c>
      <c r="IW29" s="98"/>
      <c r="IX29" s="86" t="s">
        <v>1</v>
      </c>
      <c r="IY29" s="86">
        <v>21</v>
      </c>
      <c r="IZ29" s="58">
        <v>11.1</v>
      </c>
      <c r="JA29" s="96"/>
      <c r="JB29" s="96"/>
      <c r="JC29" s="53">
        <v>24.97</v>
      </c>
      <c r="JD29" s="58">
        <f t="shared" si="57"/>
        <v>13.87</v>
      </c>
      <c r="JE29" s="97">
        <v>7.3</v>
      </c>
      <c r="JF29" s="58">
        <v>1</v>
      </c>
      <c r="JG29" s="59">
        <f t="shared" si="58"/>
        <v>5.5699999999999994</v>
      </c>
      <c r="JH29" s="86">
        <v>5</v>
      </c>
      <c r="JI29" s="86">
        <f t="shared" si="59"/>
        <v>56.999999999999943</v>
      </c>
      <c r="JJ29" s="98"/>
    </row>
    <row r="30" spans="1:270" ht="17.149999999999999" customHeight="1" x14ac:dyDescent="0.35">
      <c r="A30" s="86" t="s">
        <v>216</v>
      </c>
      <c r="B30" s="86">
        <v>22</v>
      </c>
      <c r="C30" s="58">
        <v>10.1</v>
      </c>
      <c r="D30" s="96"/>
      <c r="E30" s="96"/>
      <c r="F30" s="53">
        <v>24.67</v>
      </c>
      <c r="G30" s="58">
        <f t="shared" si="0"/>
        <v>14.570000000000002</v>
      </c>
      <c r="H30" s="97">
        <v>7.3</v>
      </c>
      <c r="I30" s="58">
        <v>1</v>
      </c>
      <c r="J30" s="59">
        <f t="shared" si="1"/>
        <v>6.2700000000000022</v>
      </c>
      <c r="K30" s="86">
        <v>6</v>
      </c>
      <c r="L30" s="86">
        <f t="shared" si="2"/>
        <v>27.000000000000224</v>
      </c>
      <c r="M30" s="98"/>
      <c r="O30" s="86" t="s">
        <v>216</v>
      </c>
      <c r="P30" s="86">
        <v>22</v>
      </c>
      <c r="Q30" s="58">
        <v>11.1</v>
      </c>
      <c r="R30" s="96"/>
      <c r="S30" s="96"/>
      <c r="T30" s="53">
        <v>24.67</v>
      </c>
      <c r="U30" s="58">
        <f t="shared" si="3"/>
        <v>13.570000000000002</v>
      </c>
      <c r="V30" s="97">
        <v>7.3</v>
      </c>
      <c r="W30" s="58">
        <v>1</v>
      </c>
      <c r="X30" s="59">
        <f t="shared" si="4"/>
        <v>5.2700000000000022</v>
      </c>
      <c r="Y30" s="86">
        <v>5</v>
      </c>
      <c r="Z30" s="86">
        <f t="shared" si="5"/>
        <v>27.000000000000224</v>
      </c>
      <c r="AA30" s="98"/>
      <c r="AC30" s="86" t="s">
        <v>216</v>
      </c>
      <c r="AD30" s="86">
        <v>22</v>
      </c>
      <c r="AE30" s="58">
        <v>11.1</v>
      </c>
      <c r="AF30" s="96"/>
      <c r="AG30" s="96"/>
      <c r="AH30" s="53">
        <v>24.67</v>
      </c>
      <c r="AI30" s="58">
        <f t="shared" si="6"/>
        <v>13.570000000000002</v>
      </c>
      <c r="AJ30" s="97">
        <v>7.3</v>
      </c>
      <c r="AK30" s="58">
        <v>1</v>
      </c>
      <c r="AL30" s="59">
        <f t="shared" si="7"/>
        <v>5.2700000000000022</v>
      </c>
      <c r="AM30" s="86">
        <v>5</v>
      </c>
      <c r="AN30" s="86">
        <f t="shared" si="8"/>
        <v>27.000000000000224</v>
      </c>
      <c r="AO30" s="98"/>
      <c r="AP30" s="86" t="s">
        <v>216</v>
      </c>
      <c r="AQ30" s="86">
        <v>22</v>
      </c>
      <c r="AR30" s="58">
        <v>10.35</v>
      </c>
      <c r="AS30" s="96"/>
      <c r="AT30" s="96"/>
      <c r="AU30" s="53">
        <v>24.67</v>
      </c>
      <c r="AV30" s="58">
        <f t="shared" si="9"/>
        <v>14.320000000000002</v>
      </c>
      <c r="AW30" s="97">
        <v>7.3</v>
      </c>
      <c r="AX30" s="58">
        <v>1</v>
      </c>
      <c r="AY30" s="59">
        <f t="shared" si="10"/>
        <v>6.0200000000000022</v>
      </c>
      <c r="AZ30" s="86">
        <v>6</v>
      </c>
      <c r="BA30" s="86">
        <f t="shared" si="11"/>
        <v>2.0000000000002238</v>
      </c>
      <c r="BB30" s="98"/>
      <c r="BD30" s="86" t="s">
        <v>216</v>
      </c>
      <c r="BE30" s="86">
        <v>22</v>
      </c>
      <c r="BF30" s="58">
        <v>10.35</v>
      </c>
      <c r="BG30" s="96"/>
      <c r="BH30" s="96"/>
      <c r="BI30" s="53">
        <v>24.67</v>
      </c>
      <c r="BJ30" s="58">
        <f t="shared" si="12"/>
        <v>14.320000000000002</v>
      </c>
      <c r="BK30" s="97">
        <v>7.3</v>
      </c>
      <c r="BL30" s="58">
        <v>1</v>
      </c>
      <c r="BM30" s="59">
        <f t="shared" si="13"/>
        <v>6.0200000000000022</v>
      </c>
      <c r="BN30" s="86">
        <v>6</v>
      </c>
      <c r="BO30" s="86">
        <f t="shared" si="14"/>
        <v>2.0000000000002238</v>
      </c>
      <c r="BP30" s="98"/>
      <c r="BQ30" s="86" t="s">
        <v>216</v>
      </c>
      <c r="BR30" s="86">
        <v>22</v>
      </c>
      <c r="BS30" s="58">
        <v>11.15</v>
      </c>
      <c r="BT30" s="96"/>
      <c r="BU30" s="96"/>
      <c r="BV30" s="53">
        <v>24.67</v>
      </c>
      <c r="BW30" s="58">
        <f t="shared" si="15"/>
        <v>13.520000000000001</v>
      </c>
      <c r="BX30" s="97">
        <v>7.3</v>
      </c>
      <c r="BY30" s="58">
        <v>1</v>
      </c>
      <c r="BZ30" s="59">
        <f t="shared" si="16"/>
        <v>5.2200000000000015</v>
      </c>
      <c r="CA30" s="86">
        <v>5</v>
      </c>
      <c r="CB30" s="86">
        <f t="shared" si="17"/>
        <v>22.000000000000153</v>
      </c>
      <c r="CC30" s="98"/>
      <c r="CE30" s="86" t="s">
        <v>216</v>
      </c>
      <c r="CF30" s="86">
        <v>22</v>
      </c>
      <c r="CG30" s="58">
        <v>11.1</v>
      </c>
      <c r="CH30" s="96"/>
      <c r="CI30" s="96"/>
      <c r="CJ30" s="53">
        <v>24.67</v>
      </c>
      <c r="CK30" s="58">
        <f t="shared" si="18"/>
        <v>13.570000000000002</v>
      </c>
      <c r="CL30" s="97">
        <v>7.3</v>
      </c>
      <c r="CM30" s="58">
        <v>1</v>
      </c>
      <c r="CN30" s="59">
        <f t="shared" si="19"/>
        <v>5.2700000000000022</v>
      </c>
      <c r="CO30" s="86">
        <v>5</v>
      </c>
      <c r="CP30" s="86">
        <f t="shared" si="20"/>
        <v>27.000000000000224</v>
      </c>
      <c r="CQ30" s="98"/>
      <c r="CR30" s="86" t="s">
        <v>216</v>
      </c>
      <c r="CS30" s="86">
        <v>22</v>
      </c>
      <c r="CT30" s="58">
        <v>11.1</v>
      </c>
      <c r="CU30" s="96"/>
      <c r="CV30" s="96"/>
      <c r="CW30" s="53">
        <v>24.67</v>
      </c>
      <c r="CX30" s="58">
        <f t="shared" si="21"/>
        <v>13.570000000000002</v>
      </c>
      <c r="CY30" s="97">
        <v>7.3</v>
      </c>
      <c r="CZ30" s="58">
        <v>1</v>
      </c>
      <c r="DA30" s="59">
        <f t="shared" si="22"/>
        <v>5.2700000000000022</v>
      </c>
      <c r="DB30" s="86">
        <v>5</v>
      </c>
      <c r="DC30" s="86">
        <f t="shared" si="23"/>
        <v>27.000000000000224</v>
      </c>
      <c r="DD30" s="98"/>
      <c r="DF30" s="86" t="s">
        <v>216</v>
      </c>
      <c r="DG30" s="86">
        <v>22</v>
      </c>
      <c r="DH30" s="58">
        <v>11.1</v>
      </c>
      <c r="DI30" s="96"/>
      <c r="DJ30" s="96"/>
      <c r="DK30" s="53">
        <v>24.67</v>
      </c>
      <c r="DL30" s="58">
        <f t="shared" si="24"/>
        <v>13.570000000000002</v>
      </c>
      <c r="DM30" s="97">
        <v>7.3</v>
      </c>
      <c r="DN30" s="58">
        <v>1</v>
      </c>
      <c r="DO30" s="59">
        <f t="shared" si="25"/>
        <v>5.2700000000000022</v>
      </c>
      <c r="DP30" s="86">
        <v>5</v>
      </c>
      <c r="DQ30" s="86">
        <f t="shared" si="26"/>
        <v>27.000000000000224</v>
      </c>
      <c r="DR30" s="98"/>
      <c r="DS30" s="86" t="s">
        <v>216</v>
      </c>
      <c r="DT30" s="86">
        <v>22</v>
      </c>
      <c r="DU30" s="58">
        <v>11.2</v>
      </c>
      <c r="DV30" s="96"/>
      <c r="DW30" s="96"/>
      <c r="DX30" s="53">
        <v>24.67</v>
      </c>
      <c r="DY30" s="58">
        <f t="shared" si="27"/>
        <v>13.470000000000002</v>
      </c>
      <c r="DZ30" s="97">
        <v>7.3</v>
      </c>
      <c r="EA30" s="58">
        <v>1</v>
      </c>
      <c r="EB30" s="59">
        <f t="shared" si="28"/>
        <v>5.1700000000000026</v>
      </c>
      <c r="EC30" s="86">
        <v>5</v>
      </c>
      <c r="ED30" s="86">
        <f t="shared" si="29"/>
        <v>17.000000000000259</v>
      </c>
      <c r="EE30" s="98"/>
      <c r="EG30" s="86" t="s">
        <v>216</v>
      </c>
      <c r="EH30" s="86">
        <v>22</v>
      </c>
      <c r="EI30" s="58">
        <v>11.1</v>
      </c>
      <c r="EJ30" s="96"/>
      <c r="EK30" s="96"/>
      <c r="EL30" s="53">
        <v>24.67</v>
      </c>
      <c r="EM30" s="58">
        <f t="shared" si="30"/>
        <v>13.570000000000002</v>
      </c>
      <c r="EN30" s="97">
        <v>7.3</v>
      </c>
      <c r="EO30" s="58">
        <v>1</v>
      </c>
      <c r="EP30" s="59">
        <f t="shared" si="31"/>
        <v>5.2700000000000022</v>
      </c>
      <c r="EQ30" s="86">
        <v>5</v>
      </c>
      <c r="ER30" s="86">
        <f t="shared" si="32"/>
        <v>27.000000000000224</v>
      </c>
      <c r="ES30" s="98"/>
      <c r="ET30" s="86" t="s">
        <v>216</v>
      </c>
      <c r="EU30" s="86">
        <v>22</v>
      </c>
      <c r="EV30" s="58">
        <v>11.1</v>
      </c>
      <c r="EW30" s="96"/>
      <c r="EX30" s="96"/>
      <c r="EY30" s="53">
        <v>24.67</v>
      </c>
      <c r="EZ30" s="58">
        <f t="shared" si="33"/>
        <v>13.570000000000002</v>
      </c>
      <c r="FA30" s="97">
        <v>7.3</v>
      </c>
      <c r="FB30" s="58">
        <v>1</v>
      </c>
      <c r="FC30" s="59">
        <f t="shared" si="34"/>
        <v>5.2700000000000022</v>
      </c>
      <c r="FD30" s="86">
        <v>5</v>
      </c>
      <c r="FE30" s="86">
        <f t="shared" si="35"/>
        <v>27.000000000000224</v>
      </c>
      <c r="FF30" s="98"/>
      <c r="FH30" s="86" t="s">
        <v>216</v>
      </c>
      <c r="FI30" s="86">
        <v>22</v>
      </c>
      <c r="FJ30" s="58">
        <v>11.1</v>
      </c>
      <c r="FK30" s="96"/>
      <c r="FL30" s="96"/>
      <c r="FM30" s="53">
        <v>24.67</v>
      </c>
      <c r="FN30" s="58">
        <f t="shared" si="36"/>
        <v>13.570000000000002</v>
      </c>
      <c r="FO30" s="97">
        <v>7.3</v>
      </c>
      <c r="FP30" s="58">
        <v>1</v>
      </c>
      <c r="FQ30" s="59">
        <f t="shared" si="37"/>
        <v>5.2700000000000022</v>
      </c>
      <c r="FR30" s="86">
        <v>5</v>
      </c>
      <c r="FS30" s="86">
        <f t="shared" si="38"/>
        <v>27.000000000000224</v>
      </c>
      <c r="FT30" s="98"/>
      <c r="FU30" s="86" t="s">
        <v>216</v>
      </c>
      <c r="FV30" s="86">
        <v>22</v>
      </c>
      <c r="FW30" s="58">
        <v>11.1</v>
      </c>
      <c r="FX30" s="96"/>
      <c r="FY30" s="96"/>
      <c r="FZ30" s="53">
        <v>24.67</v>
      </c>
      <c r="GA30" s="58">
        <f t="shared" si="39"/>
        <v>13.570000000000002</v>
      </c>
      <c r="GB30" s="97">
        <v>7.3</v>
      </c>
      <c r="GC30" s="58">
        <v>1</v>
      </c>
      <c r="GD30" s="59">
        <f t="shared" si="40"/>
        <v>5.2700000000000022</v>
      </c>
      <c r="GE30" s="86">
        <v>5</v>
      </c>
      <c r="GF30" s="86">
        <f t="shared" si="41"/>
        <v>27.000000000000224</v>
      </c>
      <c r="GG30" s="98"/>
      <c r="GI30" s="86" t="s">
        <v>216</v>
      </c>
      <c r="GJ30" s="86">
        <v>22</v>
      </c>
      <c r="GK30" s="58">
        <v>11.1</v>
      </c>
      <c r="GL30" s="96"/>
      <c r="GM30" s="96"/>
      <c r="GN30" s="53">
        <v>24.67</v>
      </c>
      <c r="GO30" s="58">
        <f t="shared" si="42"/>
        <v>13.570000000000002</v>
      </c>
      <c r="GP30" s="97">
        <v>7.3</v>
      </c>
      <c r="GQ30" s="58">
        <v>1</v>
      </c>
      <c r="GR30" s="59">
        <f t="shared" si="43"/>
        <v>5.2700000000000022</v>
      </c>
      <c r="GS30" s="86">
        <v>5</v>
      </c>
      <c r="GT30" s="86">
        <f t="shared" si="44"/>
        <v>27.000000000000224</v>
      </c>
      <c r="GU30" s="98"/>
      <c r="GV30" s="86" t="s">
        <v>216</v>
      </c>
      <c r="GW30" s="86">
        <v>22</v>
      </c>
      <c r="GX30" s="58">
        <v>11.1</v>
      </c>
      <c r="GY30" s="96"/>
      <c r="GZ30" s="96"/>
      <c r="HA30" s="53">
        <v>24.67</v>
      </c>
      <c r="HB30" s="58">
        <f t="shared" si="45"/>
        <v>13.570000000000002</v>
      </c>
      <c r="HC30" s="97">
        <v>7.3</v>
      </c>
      <c r="HD30" s="58">
        <v>1</v>
      </c>
      <c r="HE30" s="59">
        <f t="shared" si="46"/>
        <v>5.2700000000000022</v>
      </c>
      <c r="HF30" s="86">
        <v>5</v>
      </c>
      <c r="HG30" s="86">
        <f t="shared" si="47"/>
        <v>27.000000000000224</v>
      </c>
      <c r="HH30" s="98"/>
      <c r="HJ30" s="86" t="s">
        <v>216</v>
      </c>
      <c r="HK30" s="86">
        <v>22</v>
      </c>
      <c r="HL30" s="58">
        <v>11.1</v>
      </c>
      <c r="HM30" s="96"/>
      <c r="HN30" s="96"/>
      <c r="HO30" s="53">
        <v>24.67</v>
      </c>
      <c r="HP30" s="58">
        <f t="shared" si="48"/>
        <v>13.570000000000002</v>
      </c>
      <c r="HQ30" s="97">
        <v>7.3</v>
      </c>
      <c r="HR30" s="58">
        <v>1</v>
      </c>
      <c r="HS30" s="59">
        <f t="shared" si="49"/>
        <v>5.2700000000000022</v>
      </c>
      <c r="HT30" s="86">
        <v>5</v>
      </c>
      <c r="HU30" s="86">
        <f t="shared" si="50"/>
        <v>27.000000000000224</v>
      </c>
      <c r="HV30" s="98"/>
      <c r="HW30" s="86" t="s">
        <v>216</v>
      </c>
      <c r="HX30" s="86">
        <v>22</v>
      </c>
      <c r="HY30" s="58">
        <v>11.1</v>
      </c>
      <c r="HZ30" s="96"/>
      <c r="IA30" s="96"/>
      <c r="IB30" s="53">
        <v>24.67</v>
      </c>
      <c r="IC30" s="58">
        <f t="shared" si="51"/>
        <v>13.570000000000002</v>
      </c>
      <c r="ID30" s="97">
        <v>7.3</v>
      </c>
      <c r="IE30" s="58">
        <v>1</v>
      </c>
      <c r="IF30" s="59">
        <f t="shared" si="52"/>
        <v>5.2700000000000022</v>
      </c>
      <c r="IG30" s="86">
        <v>5</v>
      </c>
      <c r="IH30" s="86">
        <f t="shared" si="53"/>
        <v>27.000000000000224</v>
      </c>
      <c r="II30" s="98"/>
      <c r="IK30" s="86" t="s">
        <v>216</v>
      </c>
      <c r="IL30" s="86">
        <v>22</v>
      </c>
      <c r="IM30" s="58">
        <v>11.25</v>
      </c>
      <c r="IN30" s="96"/>
      <c r="IO30" s="96"/>
      <c r="IP30" s="53">
        <v>24.67</v>
      </c>
      <c r="IQ30" s="58">
        <f t="shared" si="54"/>
        <v>13.420000000000002</v>
      </c>
      <c r="IR30" s="97">
        <v>7.3</v>
      </c>
      <c r="IS30" s="58">
        <v>1</v>
      </c>
      <c r="IT30" s="59">
        <f t="shared" si="55"/>
        <v>5.1200000000000019</v>
      </c>
      <c r="IU30" s="86">
        <v>5</v>
      </c>
      <c r="IV30" s="86">
        <f t="shared" si="56"/>
        <v>12.000000000000188</v>
      </c>
      <c r="IW30" s="98"/>
      <c r="IX30" s="86" t="s">
        <v>216</v>
      </c>
      <c r="IY30" s="86">
        <v>22</v>
      </c>
      <c r="IZ30" s="58">
        <v>11.1</v>
      </c>
      <c r="JA30" s="96"/>
      <c r="JB30" s="96"/>
      <c r="JC30" s="53">
        <v>24.67</v>
      </c>
      <c r="JD30" s="58">
        <f t="shared" si="57"/>
        <v>13.570000000000002</v>
      </c>
      <c r="JE30" s="97">
        <v>7.3</v>
      </c>
      <c r="JF30" s="58">
        <v>1</v>
      </c>
      <c r="JG30" s="59">
        <f t="shared" si="58"/>
        <v>5.2700000000000022</v>
      </c>
      <c r="JH30" s="86">
        <v>5</v>
      </c>
      <c r="JI30" s="86">
        <f t="shared" si="59"/>
        <v>27.000000000000224</v>
      </c>
      <c r="JJ30" s="98"/>
    </row>
    <row r="31" spans="1:270" ht="17.149999999999999" customHeight="1" x14ac:dyDescent="0.35">
      <c r="A31" s="86" t="s">
        <v>2</v>
      </c>
      <c r="B31" s="86">
        <v>23</v>
      </c>
      <c r="C31" s="58">
        <v>10.1</v>
      </c>
      <c r="D31" s="96"/>
      <c r="E31" s="96"/>
      <c r="F31" s="53">
        <v>24.91</v>
      </c>
      <c r="G31" s="58">
        <f t="shared" si="0"/>
        <v>14.81</v>
      </c>
      <c r="H31" s="97">
        <v>7.3</v>
      </c>
      <c r="I31" s="58">
        <v>1</v>
      </c>
      <c r="J31" s="59">
        <f t="shared" si="1"/>
        <v>6.5100000000000007</v>
      </c>
      <c r="K31" s="86">
        <v>6</v>
      </c>
      <c r="L31" s="86">
        <f t="shared" si="2"/>
        <v>51.000000000000071</v>
      </c>
      <c r="M31" s="98"/>
      <c r="O31" s="86" t="s">
        <v>2</v>
      </c>
      <c r="P31" s="86">
        <v>23</v>
      </c>
      <c r="Q31" s="58">
        <v>11.1</v>
      </c>
      <c r="R31" s="96"/>
      <c r="S31" s="96"/>
      <c r="T31" s="53">
        <v>24.91</v>
      </c>
      <c r="U31" s="58">
        <f t="shared" si="3"/>
        <v>13.81</v>
      </c>
      <c r="V31" s="97">
        <v>7.3</v>
      </c>
      <c r="W31" s="58">
        <v>1</v>
      </c>
      <c r="X31" s="59">
        <f t="shared" si="4"/>
        <v>5.5100000000000007</v>
      </c>
      <c r="Y31" s="86">
        <v>5</v>
      </c>
      <c r="Z31" s="86">
        <f t="shared" si="5"/>
        <v>51.000000000000071</v>
      </c>
      <c r="AA31" s="98"/>
      <c r="AC31" s="86" t="s">
        <v>2</v>
      </c>
      <c r="AD31" s="86">
        <v>23</v>
      </c>
      <c r="AE31" s="58">
        <v>11.1</v>
      </c>
      <c r="AF31" s="96"/>
      <c r="AG31" s="96"/>
      <c r="AH31" s="53">
        <v>24.91</v>
      </c>
      <c r="AI31" s="58">
        <f t="shared" si="6"/>
        <v>13.81</v>
      </c>
      <c r="AJ31" s="97">
        <v>7.3</v>
      </c>
      <c r="AK31" s="58">
        <v>1</v>
      </c>
      <c r="AL31" s="59">
        <f t="shared" si="7"/>
        <v>5.5100000000000007</v>
      </c>
      <c r="AM31" s="86">
        <v>5</v>
      </c>
      <c r="AN31" s="86">
        <f t="shared" si="8"/>
        <v>51.000000000000071</v>
      </c>
      <c r="AO31" s="98"/>
      <c r="AP31" s="86" t="s">
        <v>2</v>
      </c>
      <c r="AQ31" s="86">
        <v>23</v>
      </c>
      <c r="AR31" s="58">
        <v>10.35</v>
      </c>
      <c r="AS31" s="96"/>
      <c r="AT31" s="96"/>
      <c r="AU31" s="53">
        <v>24.91</v>
      </c>
      <c r="AV31" s="58">
        <f t="shared" si="9"/>
        <v>14.56</v>
      </c>
      <c r="AW31" s="97">
        <v>7.3</v>
      </c>
      <c r="AX31" s="58">
        <v>1</v>
      </c>
      <c r="AY31" s="59">
        <f t="shared" si="10"/>
        <v>6.2600000000000007</v>
      </c>
      <c r="AZ31" s="86">
        <v>6</v>
      </c>
      <c r="BA31" s="86">
        <f t="shared" si="11"/>
        <v>26.000000000000068</v>
      </c>
      <c r="BB31" s="98"/>
      <c r="BD31" s="86" t="s">
        <v>2</v>
      </c>
      <c r="BE31" s="86">
        <v>23</v>
      </c>
      <c r="BF31" s="58">
        <v>10.35</v>
      </c>
      <c r="BG31" s="96"/>
      <c r="BH31" s="96"/>
      <c r="BI31" s="53">
        <v>24.91</v>
      </c>
      <c r="BJ31" s="58">
        <f t="shared" si="12"/>
        <v>14.56</v>
      </c>
      <c r="BK31" s="97">
        <v>7.3</v>
      </c>
      <c r="BL31" s="58">
        <v>1</v>
      </c>
      <c r="BM31" s="59">
        <f t="shared" si="13"/>
        <v>6.2600000000000007</v>
      </c>
      <c r="BN31" s="86">
        <v>6</v>
      </c>
      <c r="BO31" s="86">
        <f t="shared" si="14"/>
        <v>26.000000000000068</v>
      </c>
      <c r="BP31" s="98"/>
      <c r="BQ31" s="86" t="s">
        <v>2</v>
      </c>
      <c r="BR31" s="86">
        <v>23</v>
      </c>
      <c r="BS31" s="58">
        <v>11.15</v>
      </c>
      <c r="BT31" s="96"/>
      <c r="BU31" s="96"/>
      <c r="BV31" s="53">
        <v>24.91</v>
      </c>
      <c r="BW31" s="58">
        <f t="shared" si="15"/>
        <v>13.76</v>
      </c>
      <c r="BX31" s="97">
        <v>7.3</v>
      </c>
      <c r="BY31" s="58">
        <v>1</v>
      </c>
      <c r="BZ31" s="59">
        <f t="shared" si="16"/>
        <v>5.46</v>
      </c>
      <c r="CA31" s="86">
        <v>5</v>
      </c>
      <c r="CB31" s="86">
        <f t="shared" si="17"/>
        <v>46</v>
      </c>
      <c r="CC31" s="98"/>
      <c r="CE31" s="86" t="s">
        <v>2</v>
      </c>
      <c r="CF31" s="86">
        <v>23</v>
      </c>
      <c r="CG31" s="58">
        <v>11.1</v>
      </c>
      <c r="CH31" s="96"/>
      <c r="CI31" s="96"/>
      <c r="CJ31" s="53">
        <v>24.91</v>
      </c>
      <c r="CK31" s="58">
        <f t="shared" si="18"/>
        <v>13.81</v>
      </c>
      <c r="CL31" s="97">
        <v>7.3</v>
      </c>
      <c r="CM31" s="58">
        <v>1</v>
      </c>
      <c r="CN31" s="59">
        <f t="shared" si="19"/>
        <v>5.5100000000000007</v>
      </c>
      <c r="CO31" s="86">
        <v>5</v>
      </c>
      <c r="CP31" s="86">
        <f t="shared" si="20"/>
        <v>51.000000000000071</v>
      </c>
      <c r="CQ31" s="98"/>
      <c r="CR31" s="86" t="s">
        <v>2</v>
      </c>
      <c r="CS31" s="86">
        <v>23</v>
      </c>
      <c r="CT31" s="58">
        <v>11.1</v>
      </c>
      <c r="CU31" s="96"/>
      <c r="CV31" s="96"/>
      <c r="CW31" s="53">
        <v>24.91</v>
      </c>
      <c r="CX31" s="58">
        <f t="shared" si="21"/>
        <v>13.81</v>
      </c>
      <c r="CY31" s="97">
        <v>7.3</v>
      </c>
      <c r="CZ31" s="58">
        <v>1</v>
      </c>
      <c r="DA31" s="59">
        <f t="shared" si="22"/>
        <v>5.5100000000000007</v>
      </c>
      <c r="DB31" s="86">
        <v>5</v>
      </c>
      <c r="DC31" s="86">
        <f t="shared" si="23"/>
        <v>51.000000000000071</v>
      </c>
      <c r="DD31" s="98"/>
      <c r="DF31" s="86" t="s">
        <v>2</v>
      </c>
      <c r="DG31" s="86">
        <v>23</v>
      </c>
      <c r="DH31" s="58">
        <v>11.1</v>
      </c>
      <c r="DI31" s="96"/>
      <c r="DJ31" s="96"/>
      <c r="DK31" s="53">
        <v>24.91</v>
      </c>
      <c r="DL31" s="58">
        <f t="shared" si="24"/>
        <v>13.81</v>
      </c>
      <c r="DM31" s="97">
        <v>7.3</v>
      </c>
      <c r="DN31" s="58">
        <v>1</v>
      </c>
      <c r="DO31" s="59">
        <f t="shared" si="25"/>
        <v>5.5100000000000007</v>
      </c>
      <c r="DP31" s="86">
        <v>5</v>
      </c>
      <c r="DQ31" s="86">
        <f t="shared" si="26"/>
        <v>51.000000000000071</v>
      </c>
      <c r="DR31" s="98"/>
      <c r="DS31" s="86" t="s">
        <v>2</v>
      </c>
      <c r="DT31" s="86">
        <v>23</v>
      </c>
      <c r="DU31" s="58">
        <v>11.2</v>
      </c>
      <c r="DV31" s="96"/>
      <c r="DW31" s="96"/>
      <c r="DX31" s="53">
        <v>24.91</v>
      </c>
      <c r="DY31" s="58">
        <f t="shared" si="27"/>
        <v>13.71</v>
      </c>
      <c r="DZ31" s="97">
        <v>7.3</v>
      </c>
      <c r="EA31" s="58">
        <v>1</v>
      </c>
      <c r="EB31" s="59">
        <f t="shared" si="28"/>
        <v>5.410000000000001</v>
      </c>
      <c r="EC31" s="86">
        <v>5</v>
      </c>
      <c r="ED31" s="86">
        <f t="shared" si="29"/>
        <v>41.000000000000099</v>
      </c>
      <c r="EE31" s="98"/>
      <c r="EG31" s="86" t="s">
        <v>2</v>
      </c>
      <c r="EH31" s="86">
        <v>23</v>
      </c>
      <c r="EI31" s="58">
        <v>11.1</v>
      </c>
      <c r="EJ31" s="96"/>
      <c r="EK31" s="96"/>
      <c r="EL31" s="53">
        <v>24.91</v>
      </c>
      <c r="EM31" s="58">
        <f t="shared" si="30"/>
        <v>13.81</v>
      </c>
      <c r="EN31" s="97">
        <v>7.3</v>
      </c>
      <c r="EO31" s="58">
        <v>1</v>
      </c>
      <c r="EP31" s="59">
        <f t="shared" si="31"/>
        <v>5.5100000000000007</v>
      </c>
      <c r="EQ31" s="86">
        <v>5</v>
      </c>
      <c r="ER31" s="86">
        <f t="shared" si="32"/>
        <v>51.000000000000071</v>
      </c>
      <c r="ES31" s="98"/>
      <c r="ET31" s="86" t="s">
        <v>2</v>
      </c>
      <c r="EU31" s="86">
        <v>23</v>
      </c>
      <c r="EV31" s="58">
        <v>11.1</v>
      </c>
      <c r="EW31" s="96"/>
      <c r="EX31" s="96"/>
      <c r="EY31" s="53">
        <v>24.91</v>
      </c>
      <c r="EZ31" s="58">
        <f t="shared" si="33"/>
        <v>13.81</v>
      </c>
      <c r="FA31" s="97">
        <v>7.3</v>
      </c>
      <c r="FB31" s="58">
        <v>1</v>
      </c>
      <c r="FC31" s="59">
        <f t="shared" si="34"/>
        <v>5.5100000000000007</v>
      </c>
      <c r="FD31" s="86">
        <v>5</v>
      </c>
      <c r="FE31" s="86">
        <f t="shared" si="35"/>
        <v>51.000000000000071</v>
      </c>
      <c r="FF31" s="98"/>
      <c r="FH31" s="86" t="s">
        <v>2</v>
      </c>
      <c r="FI31" s="86">
        <v>23</v>
      </c>
      <c r="FJ31" s="58">
        <v>11.1</v>
      </c>
      <c r="FK31" s="96"/>
      <c r="FL31" s="96"/>
      <c r="FM31" s="53">
        <v>24.91</v>
      </c>
      <c r="FN31" s="58">
        <f t="shared" si="36"/>
        <v>13.81</v>
      </c>
      <c r="FO31" s="97">
        <v>7.3</v>
      </c>
      <c r="FP31" s="58">
        <v>1</v>
      </c>
      <c r="FQ31" s="59">
        <f t="shared" si="37"/>
        <v>5.5100000000000007</v>
      </c>
      <c r="FR31" s="86">
        <v>5</v>
      </c>
      <c r="FS31" s="86">
        <f t="shared" si="38"/>
        <v>51.000000000000071</v>
      </c>
      <c r="FT31" s="98"/>
      <c r="FU31" s="86" t="s">
        <v>2</v>
      </c>
      <c r="FV31" s="86">
        <v>23</v>
      </c>
      <c r="FW31" s="58">
        <v>11.1</v>
      </c>
      <c r="FX31" s="96"/>
      <c r="FY31" s="96"/>
      <c r="FZ31" s="53">
        <v>24.91</v>
      </c>
      <c r="GA31" s="58">
        <f t="shared" si="39"/>
        <v>13.81</v>
      </c>
      <c r="GB31" s="97">
        <v>7.3</v>
      </c>
      <c r="GC31" s="58">
        <v>1</v>
      </c>
      <c r="GD31" s="59">
        <f t="shared" si="40"/>
        <v>5.5100000000000007</v>
      </c>
      <c r="GE31" s="86">
        <v>5</v>
      </c>
      <c r="GF31" s="86">
        <f t="shared" si="41"/>
        <v>51.000000000000071</v>
      </c>
      <c r="GG31" s="98"/>
      <c r="GI31" s="86" t="s">
        <v>2</v>
      </c>
      <c r="GJ31" s="86">
        <v>23</v>
      </c>
      <c r="GK31" s="58">
        <v>11.1</v>
      </c>
      <c r="GL31" s="96"/>
      <c r="GM31" s="96"/>
      <c r="GN31" s="53">
        <v>24.91</v>
      </c>
      <c r="GO31" s="58">
        <f t="shared" si="42"/>
        <v>13.81</v>
      </c>
      <c r="GP31" s="97">
        <v>7.3</v>
      </c>
      <c r="GQ31" s="58">
        <v>1</v>
      </c>
      <c r="GR31" s="59">
        <f t="shared" si="43"/>
        <v>5.5100000000000007</v>
      </c>
      <c r="GS31" s="86">
        <v>5</v>
      </c>
      <c r="GT31" s="86">
        <f t="shared" si="44"/>
        <v>51.000000000000071</v>
      </c>
      <c r="GU31" s="98"/>
      <c r="GV31" s="86" t="s">
        <v>2</v>
      </c>
      <c r="GW31" s="86">
        <v>23</v>
      </c>
      <c r="GX31" s="58">
        <v>11.1</v>
      </c>
      <c r="GY31" s="96"/>
      <c r="GZ31" s="96"/>
      <c r="HA31" s="53">
        <v>24.91</v>
      </c>
      <c r="HB31" s="58">
        <f t="shared" si="45"/>
        <v>13.81</v>
      </c>
      <c r="HC31" s="97">
        <v>7.3</v>
      </c>
      <c r="HD31" s="58">
        <v>1</v>
      </c>
      <c r="HE31" s="59">
        <f t="shared" si="46"/>
        <v>5.5100000000000007</v>
      </c>
      <c r="HF31" s="86">
        <v>5</v>
      </c>
      <c r="HG31" s="86">
        <f t="shared" si="47"/>
        <v>51.000000000000071</v>
      </c>
      <c r="HH31" s="98"/>
      <c r="HJ31" s="86" t="s">
        <v>2</v>
      </c>
      <c r="HK31" s="86">
        <v>23</v>
      </c>
      <c r="HL31" s="58">
        <v>11.1</v>
      </c>
      <c r="HM31" s="96"/>
      <c r="HN31" s="96"/>
      <c r="HO31" s="53">
        <v>24.91</v>
      </c>
      <c r="HP31" s="58">
        <f t="shared" si="48"/>
        <v>13.81</v>
      </c>
      <c r="HQ31" s="97">
        <v>7.3</v>
      </c>
      <c r="HR31" s="58">
        <v>1</v>
      </c>
      <c r="HS31" s="59">
        <f t="shared" si="49"/>
        <v>5.5100000000000007</v>
      </c>
      <c r="HT31" s="86">
        <v>5</v>
      </c>
      <c r="HU31" s="86">
        <f t="shared" si="50"/>
        <v>51.000000000000071</v>
      </c>
      <c r="HV31" s="98"/>
      <c r="HW31" s="86" t="s">
        <v>2</v>
      </c>
      <c r="HX31" s="86">
        <v>23</v>
      </c>
      <c r="HY31" s="58">
        <v>11.1</v>
      </c>
      <c r="HZ31" s="96"/>
      <c r="IA31" s="96"/>
      <c r="IB31" s="53">
        <v>24.91</v>
      </c>
      <c r="IC31" s="58">
        <f t="shared" si="51"/>
        <v>13.81</v>
      </c>
      <c r="ID31" s="97">
        <v>7.3</v>
      </c>
      <c r="IE31" s="58">
        <v>1</v>
      </c>
      <c r="IF31" s="59">
        <f t="shared" si="52"/>
        <v>5.5100000000000007</v>
      </c>
      <c r="IG31" s="86">
        <v>5</v>
      </c>
      <c r="IH31" s="86">
        <f t="shared" si="53"/>
        <v>51.000000000000071</v>
      </c>
      <c r="II31" s="98"/>
      <c r="IJ31" s="1"/>
      <c r="IK31" s="86" t="s">
        <v>2</v>
      </c>
      <c r="IL31" s="86">
        <v>23</v>
      </c>
      <c r="IM31" s="58">
        <v>11.25</v>
      </c>
      <c r="IN31" s="96"/>
      <c r="IO31" s="96"/>
      <c r="IP31" s="139">
        <v>22.42</v>
      </c>
      <c r="IQ31" s="58">
        <f t="shared" si="54"/>
        <v>11.170000000000002</v>
      </c>
      <c r="IR31" s="97">
        <v>7.3</v>
      </c>
      <c r="IS31" s="58">
        <v>1.4</v>
      </c>
      <c r="IT31" s="59">
        <f t="shared" si="55"/>
        <v>2.470000000000002</v>
      </c>
      <c r="IU31" s="86">
        <v>2</v>
      </c>
      <c r="IV31" s="86">
        <f t="shared" si="56"/>
        <v>47.000000000000199</v>
      </c>
      <c r="IW31" s="98"/>
      <c r="IX31" s="86" t="s">
        <v>2</v>
      </c>
      <c r="IY31" s="86">
        <v>23</v>
      </c>
      <c r="IZ31" s="58">
        <v>11.1</v>
      </c>
      <c r="JA31" s="96"/>
      <c r="JB31" s="96"/>
      <c r="JC31" s="53">
        <v>24.91</v>
      </c>
      <c r="JD31" s="58">
        <f t="shared" si="57"/>
        <v>13.81</v>
      </c>
      <c r="JE31" s="97">
        <v>7.3</v>
      </c>
      <c r="JF31" s="58">
        <v>1</v>
      </c>
      <c r="JG31" s="59">
        <f t="shared" si="58"/>
        <v>5.5100000000000007</v>
      </c>
      <c r="JH31" s="86">
        <v>5</v>
      </c>
      <c r="JI31" s="86">
        <f t="shared" si="59"/>
        <v>51.000000000000071</v>
      </c>
      <c r="JJ31" s="98"/>
    </row>
    <row r="32" spans="1:270" s="54" customFormat="1" ht="17.149999999999999" customHeight="1" x14ac:dyDescent="0.35">
      <c r="A32" s="86" t="s">
        <v>225</v>
      </c>
      <c r="B32" s="86">
        <v>24</v>
      </c>
      <c r="C32" s="58">
        <v>10.1</v>
      </c>
      <c r="D32" s="96"/>
      <c r="E32" s="96"/>
      <c r="F32" s="53">
        <v>23.97</v>
      </c>
      <c r="G32" s="58">
        <f t="shared" si="0"/>
        <v>13.87</v>
      </c>
      <c r="H32" s="97">
        <v>7.3</v>
      </c>
      <c r="I32" s="58">
        <v>1.4</v>
      </c>
      <c r="J32" s="59">
        <f t="shared" si="1"/>
        <v>5.17</v>
      </c>
      <c r="K32" s="86">
        <v>5</v>
      </c>
      <c r="L32" s="86">
        <f t="shared" si="2"/>
        <v>16.999999999999993</v>
      </c>
      <c r="M32" s="98"/>
      <c r="N32"/>
      <c r="O32" s="86" t="s">
        <v>225</v>
      </c>
      <c r="P32" s="86">
        <v>24</v>
      </c>
      <c r="Q32" s="58">
        <v>11.1</v>
      </c>
      <c r="R32" s="96"/>
      <c r="S32" s="96"/>
      <c r="T32" s="53">
        <v>23.97</v>
      </c>
      <c r="U32" s="58">
        <f t="shared" si="3"/>
        <v>12.87</v>
      </c>
      <c r="V32" s="97">
        <v>7.3</v>
      </c>
      <c r="W32" s="58">
        <v>1.4</v>
      </c>
      <c r="X32" s="59">
        <f t="shared" si="4"/>
        <v>4.17</v>
      </c>
      <c r="Y32" s="86">
        <v>4</v>
      </c>
      <c r="Z32" s="86">
        <f t="shared" si="5"/>
        <v>16.999999999999993</v>
      </c>
      <c r="AA32" s="98"/>
      <c r="AB32"/>
      <c r="AC32" s="86" t="s">
        <v>225</v>
      </c>
      <c r="AD32" s="86">
        <v>24</v>
      </c>
      <c r="AE32" s="58">
        <v>11.1</v>
      </c>
      <c r="AF32" s="96"/>
      <c r="AG32" s="96"/>
      <c r="AH32" s="53">
        <v>23.97</v>
      </c>
      <c r="AI32" s="58">
        <f t="shared" si="6"/>
        <v>12.87</v>
      </c>
      <c r="AJ32" s="97">
        <v>7.3</v>
      </c>
      <c r="AK32" s="58">
        <v>1.4</v>
      </c>
      <c r="AL32" s="59">
        <f t="shared" si="7"/>
        <v>4.17</v>
      </c>
      <c r="AM32" s="86">
        <v>4</v>
      </c>
      <c r="AN32" s="86">
        <f t="shared" si="8"/>
        <v>16.999999999999993</v>
      </c>
      <c r="AO32" s="98"/>
      <c r="AP32" s="86" t="s">
        <v>225</v>
      </c>
      <c r="AQ32" s="86">
        <v>24</v>
      </c>
      <c r="AR32" s="58">
        <v>10.35</v>
      </c>
      <c r="AS32" s="96"/>
      <c r="AT32" s="96"/>
      <c r="AU32" s="53">
        <v>23.97</v>
      </c>
      <c r="AV32" s="58">
        <f t="shared" si="9"/>
        <v>13.62</v>
      </c>
      <c r="AW32" s="97">
        <v>7.3</v>
      </c>
      <c r="AX32" s="58">
        <v>1</v>
      </c>
      <c r="AY32" s="59">
        <f t="shared" si="10"/>
        <v>5.3199999999999994</v>
      </c>
      <c r="AZ32" s="86">
        <v>5</v>
      </c>
      <c r="BA32" s="86">
        <f t="shared" si="11"/>
        <v>31.99999999999994</v>
      </c>
      <c r="BB32" s="98"/>
      <c r="BC32"/>
      <c r="BD32" s="86" t="s">
        <v>225</v>
      </c>
      <c r="BE32" s="86">
        <v>24</v>
      </c>
      <c r="BF32" s="58">
        <v>10.35</v>
      </c>
      <c r="BG32" s="96"/>
      <c r="BH32" s="96"/>
      <c r="BI32" s="53">
        <v>23.97</v>
      </c>
      <c r="BJ32" s="58">
        <f t="shared" si="12"/>
        <v>13.62</v>
      </c>
      <c r="BK32" s="97">
        <v>7.3</v>
      </c>
      <c r="BL32" s="58">
        <v>1</v>
      </c>
      <c r="BM32" s="59">
        <f t="shared" si="13"/>
        <v>5.3199999999999994</v>
      </c>
      <c r="BN32" s="86">
        <v>5</v>
      </c>
      <c r="BO32" s="86">
        <f t="shared" si="14"/>
        <v>31.99999999999994</v>
      </c>
      <c r="BP32" s="98"/>
      <c r="BQ32" s="86" t="s">
        <v>225</v>
      </c>
      <c r="BR32" s="86">
        <v>24</v>
      </c>
      <c r="BS32" s="58">
        <v>11.15</v>
      </c>
      <c r="BT32" s="96"/>
      <c r="BU32" s="96"/>
      <c r="BV32" s="53">
        <v>23.97</v>
      </c>
      <c r="BW32" s="58">
        <f t="shared" si="15"/>
        <v>12.819999999999999</v>
      </c>
      <c r="BX32" s="97">
        <v>7.3</v>
      </c>
      <c r="BY32" s="58">
        <v>1.4</v>
      </c>
      <c r="BZ32" s="59">
        <f t="shared" si="16"/>
        <v>4.1199999999999992</v>
      </c>
      <c r="CA32" s="86">
        <v>4</v>
      </c>
      <c r="CB32" s="86">
        <f t="shared" si="17"/>
        <v>11.999999999999922</v>
      </c>
      <c r="CC32" s="98"/>
      <c r="CD32"/>
      <c r="CE32" s="86" t="s">
        <v>225</v>
      </c>
      <c r="CF32" s="86">
        <v>24</v>
      </c>
      <c r="CG32" s="58">
        <v>11.1</v>
      </c>
      <c r="CH32" s="96"/>
      <c r="CI32" s="96"/>
      <c r="CJ32" s="53">
        <v>23.97</v>
      </c>
      <c r="CK32" s="58">
        <f t="shared" si="18"/>
        <v>12.87</v>
      </c>
      <c r="CL32" s="97">
        <v>7.3</v>
      </c>
      <c r="CM32" s="58">
        <v>1.4</v>
      </c>
      <c r="CN32" s="59">
        <f t="shared" si="19"/>
        <v>4.17</v>
      </c>
      <c r="CO32" s="86">
        <v>4</v>
      </c>
      <c r="CP32" s="86">
        <f t="shared" si="20"/>
        <v>16.999999999999993</v>
      </c>
      <c r="CQ32" s="98"/>
      <c r="CR32" s="86" t="s">
        <v>225</v>
      </c>
      <c r="CS32" s="86">
        <v>24</v>
      </c>
      <c r="CT32" s="58">
        <v>11.1</v>
      </c>
      <c r="CU32" s="96"/>
      <c r="CV32" s="96"/>
      <c r="CW32" s="53">
        <v>23.97</v>
      </c>
      <c r="CX32" s="58">
        <f t="shared" si="21"/>
        <v>12.87</v>
      </c>
      <c r="CY32" s="97">
        <v>7.3</v>
      </c>
      <c r="CZ32" s="58">
        <v>1.4</v>
      </c>
      <c r="DA32" s="59">
        <f t="shared" si="22"/>
        <v>4.17</v>
      </c>
      <c r="DB32" s="86">
        <v>4</v>
      </c>
      <c r="DC32" s="86">
        <f t="shared" si="23"/>
        <v>16.999999999999993</v>
      </c>
      <c r="DD32" s="98"/>
      <c r="DE32"/>
      <c r="DF32" s="86" t="s">
        <v>225</v>
      </c>
      <c r="DG32" s="86">
        <v>24</v>
      </c>
      <c r="DH32" s="58">
        <v>11.1</v>
      </c>
      <c r="DI32" s="96"/>
      <c r="DJ32" s="96"/>
      <c r="DK32" s="53">
        <v>23.97</v>
      </c>
      <c r="DL32" s="58">
        <f t="shared" si="24"/>
        <v>12.87</v>
      </c>
      <c r="DM32" s="97">
        <v>7.3</v>
      </c>
      <c r="DN32" s="58">
        <v>1.4</v>
      </c>
      <c r="DO32" s="59">
        <f t="shared" si="25"/>
        <v>4.17</v>
      </c>
      <c r="DP32" s="86">
        <v>4</v>
      </c>
      <c r="DQ32" s="86">
        <f t="shared" si="26"/>
        <v>16.999999999999993</v>
      </c>
      <c r="DR32" s="98"/>
      <c r="DS32" s="86" t="s">
        <v>225</v>
      </c>
      <c r="DT32" s="86">
        <v>24</v>
      </c>
      <c r="DU32" s="58">
        <v>11.2</v>
      </c>
      <c r="DV32" s="96"/>
      <c r="DW32" s="96"/>
      <c r="DX32" s="53">
        <v>23.97</v>
      </c>
      <c r="DY32" s="58">
        <f t="shared" si="27"/>
        <v>12.77</v>
      </c>
      <c r="DZ32" s="97">
        <v>7.3</v>
      </c>
      <c r="EA32" s="58">
        <v>1.4</v>
      </c>
      <c r="EB32" s="59">
        <f t="shared" si="28"/>
        <v>4.07</v>
      </c>
      <c r="EC32" s="86">
        <v>4</v>
      </c>
      <c r="ED32" s="86">
        <f t="shared" si="29"/>
        <v>7.0000000000000284</v>
      </c>
      <c r="EE32" s="98"/>
      <c r="EF32"/>
      <c r="EG32" s="86" t="s">
        <v>225</v>
      </c>
      <c r="EH32" s="86">
        <v>24</v>
      </c>
      <c r="EI32" s="58">
        <v>11.1</v>
      </c>
      <c r="EJ32" s="96"/>
      <c r="EK32" s="96"/>
      <c r="EL32" s="53">
        <v>23.97</v>
      </c>
      <c r="EM32" s="58">
        <f t="shared" si="30"/>
        <v>12.87</v>
      </c>
      <c r="EN32" s="97">
        <v>7.3</v>
      </c>
      <c r="EO32" s="58">
        <v>1.4</v>
      </c>
      <c r="EP32" s="59">
        <f t="shared" si="31"/>
        <v>4.17</v>
      </c>
      <c r="EQ32" s="86">
        <v>4</v>
      </c>
      <c r="ER32" s="86">
        <f t="shared" si="32"/>
        <v>16.999999999999993</v>
      </c>
      <c r="ES32" s="98"/>
      <c r="ET32" s="86" t="s">
        <v>225</v>
      </c>
      <c r="EU32" s="86">
        <v>24</v>
      </c>
      <c r="EV32" s="58">
        <v>11.1</v>
      </c>
      <c r="EW32" s="96"/>
      <c r="EX32" s="96"/>
      <c r="EY32" s="53">
        <v>23.97</v>
      </c>
      <c r="EZ32" s="58">
        <f t="shared" si="33"/>
        <v>12.87</v>
      </c>
      <c r="FA32" s="97">
        <v>7.3</v>
      </c>
      <c r="FB32" s="58">
        <v>1.4</v>
      </c>
      <c r="FC32" s="59">
        <f t="shared" si="34"/>
        <v>4.17</v>
      </c>
      <c r="FD32" s="86">
        <v>4</v>
      </c>
      <c r="FE32" s="86">
        <f t="shared" si="35"/>
        <v>16.999999999999993</v>
      </c>
      <c r="FF32" s="98"/>
      <c r="FG32"/>
      <c r="FH32" s="86" t="s">
        <v>225</v>
      </c>
      <c r="FI32" s="86">
        <v>24</v>
      </c>
      <c r="FJ32" s="58">
        <v>11.1</v>
      </c>
      <c r="FK32" s="96"/>
      <c r="FL32" s="96"/>
      <c r="FM32" s="53">
        <v>23.97</v>
      </c>
      <c r="FN32" s="58">
        <f t="shared" si="36"/>
        <v>12.87</v>
      </c>
      <c r="FO32" s="97">
        <v>7.3</v>
      </c>
      <c r="FP32" s="58">
        <v>1.4</v>
      </c>
      <c r="FQ32" s="59">
        <f t="shared" si="37"/>
        <v>4.17</v>
      </c>
      <c r="FR32" s="86">
        <v>4</v>
      </c>
      <c r="FS32" s="86">
        <f t="shared" si="38"/>
        <v>16.999999999999993</v>
      </c>
      <c r="FT32" s="98"/>
      <c r="FU32" s="86" t="s">
        <v>225</v>
      </c>
      <c r="FV32" s="86">
        <v>24</v>
      </c>
      <c r="FW32" s="58">
        <v>11.1</v>
      </c>
      <c r="FX32" s="96"/>
      <c r="FY32" s="96"/>
      <c r="FZ32" s="53">
        <v>23.97</v>
      </c>
      <c r="GA32" s="58">
        <f t="shared" si="39"/>
        <v>12.87</v>
      </c>
      <c r="GB32" s="97">
        <v>7.3</v>
      </c>
      <c r="GC32" s="58">
        <v>1.4</v>
      </c>
      <c r="GD32" s="59">
        <f t="shared" si="40"/>
        <v>4.17</v>
      </c>
      <c r="GE32" s="86">
        <v>4</v>
      </c>
      <c r="GF32" s="86">
        <f t="shared" si="41"/>
        <v>16.999999999999993</v>
      </c>
      <c r="GG32" s="98"/>
      <c r="GH32"/>
      <c r="GI32" s="86" t="s">
        <v>225</v>
      </c>
      <c r="GJ32" s="86">
        <v>24</v>
      </c>
      <c r="GK32" s="58">
        <v>11.1</v>
      </c>
      <c r="GL32" s="96"/>
      <c r="GM32" s="96"/>
      <c r="GN32" s="53">
        <v>23.97</v>
      </c>
      <c r="GO32" s="58">
        <f t="shared" si="42"/>
        <v>12.87</v>
      </c>
      <c r="GP32" s="97">
        <v>7.3</v>
      </c>
      <c r="GQ32" s="58">
        <v>1.4</v>
      </c>
      <c r="GR32" s="59">
        <f t="shared" si="43"/>
        <v>4.17</v>
      </c>
      <c r="GS32" s="86">
        <v>4</v>
      </c>
      <c r="GT32" s="86">
        <f t="shared" si="44"/>
        <v>16.999999999999993</v>
      </c>
      <c r="GU32" s="98"/>
      <c r="GV32" s="86" t="s">
        <v>225</v>
      </c>
      <c r="GW32" s="86">
        <v>24</v>
      </c>
      <c r="GX32" s="58">
        <v>11.1</v>
      </c>
      <c r="GY32" s="96"/>
      <c r="GZ32" s="96"/>
      <c r="HA32" s="53">
        <v>23.97</v>
      </c>
      <c r="HB32" s="58">
        <f t="shared" si="45"/>
        <v>12.87</v>
      </c>
      <c r="HC32" s="97">
        <v>7.3</v>
      </c>
      <c r="HD32" s="58">
        <v>1.4</v>
      </c>
      <c r="HE32" s="59">
        <f t="shared" si="46"/>
        <v>4.17</v>
      </c>
      <c r="HF32" s="86">
        <v>4</v>
      </c>
      <c r="HG32" s="86">
        <f t="shared" si="47"/>
        <v>16.999999999999993</v>
      </c>
      <c r="HH32" s="98"/>
      <c r="HI32"/>
      <c r="HJ32" s="86" t="s">
        <v>225</v>
      </c>
      <c r="HK32" s="86">
        <v>24</v>
      </c>
      <c r="HL32" s="58">
        <v>11.1</v>
      </c>
      <c r="HM32" s="96"/>
      <c r="HN32" s="96"/>
      <c r="HO32" s="53">
        <v>23.97</v>
      </c>
      <c r="HP32" s="58">
        <f t="shared" si="48"/>
        <v>12.87</v>
      </c>
      <c r="HQ32" s="97">
        <v>7.3</v>
      </c>
      <c r="HR32" s="58">
        <v>1.4</v>
      </c>
      <c r="HS32" s="59">
        <f t="shared" si="49"/>
        <v>4.17</v>
      </c>
      <c r="HT32" s="86">
        <v>4</v>
      </c>
      <c r="HU32" s="86">
        <f t="shared" si="50"/>
        <v>16.999999999999993</v>
      </c>
      <c r="HV32" s="98"/>
      <c r="HW32" s="86" t="s">
        <v>225</v>
      </c>
      <c r="HX32" s="86">
        <v>24</v>
      </c>
      <c r="HY32" s="58">
        <v>11.1</v>
      </c>
      <c r="HZ32" s="96"/>
      <c r="IA32" s="96"/>
      <c r="IB32" s="53">
        <v>23.97</v>
      </c>
      <c r="IC32" s="58">
        <f t="shared" si="51"/>
        <v>12.87</v>
      </c>
      <c r="ID32" s="97">
        <v>7.3</v>
      </c>
      <c r="IE32" s="58">
        <v>1.4</v>
      </c>
      <c r="IF32" s="59">
        <f t="shared" si="52"/>
        <v>4.17</v>
      </c>
      <c r="IG32" s="86">
        <v>4</v>
      </c>
      <c r="IH32" s="86">
        <f t="shared" si="53"/>
        <v>16.999999999999993</v>
      </c>
      <c r="II32" s="98"/>
      <c r="IJ32"/>
      <c r="IK32" s="86" t="s">
        <v>225</v>
      </c>
      <c r="IL32" s="86">
        <v>24</v>
      </c>
      <c r="IM32" s="58">
        <v>11.25</v>
      </c>
      <c r="IN32" s="96"/>
      <c r="IO32" s="96"/>
      <c r="IP32" s="139">
        <v>21.47</v>
      </c>
      <c r="IQ32" s="58">
        <f t="shared" si="54"/>
        <v>10.219999999999999</v>
      </c>
      <c r="IR32" s="97">
        <v>7.3</v>
      </c>
      <c r="IS32" s="58">
        <v>1.4</v>
      </c>
      <c r="IT32" s="59">
        <f t="shared" si="55"/>
        <v>1.5199999999999991</v>
      </c>
      <c r="IU32" s="86">
        <v>1</v>
      </c>
      <c r="IV32" s="86">
        <f t="shared" si="56"/>
        <v>51.999999999999915</v>
      </c>
      <c r="IW32" s="98"/>
      <c r="IX32" s="86" t="s">
        <v>225</v>
      </c>
      <c r="IY32" s="86">
        <v>24</v>
      </c>
      <c r="IZ32" s="58">
        <v>11.1</v>
      </c>
      <c r="JA32" s="96"/>
      <c r="JB32" s="96"/>
      <c r="JC32" s="53">
        <v>23.97</v>
      </c>
      <c r="JD32" s="58">
        <f t="shared" si="57"/>
        <v>12.87</v>
      </c>
      <c r="JE32" s="97">
        <v>7.3</v>
      </c>
      <c r="JF32" s="58">
        <v>1.4</v>
      </c>
      <c r="JG32" s="59">
        <f t="shared" si="58"/>
        <v>4.17</v>
      </c>
      <c r="JH32" s="86">
        <v>4</v>
      </c>
      <c r="JI32" s="86">
        <f t="shared" si="59"/>
        <v>16.999999999999993</v>
      </c>
      <c r="JJ32" s="98"/>
    </row>
    <row r="33" spans="1:270" ht="17.149999999999999" customHeight="1" x14ac:dyDescent="0.35">
      <c r="A33" s="86" t="s">
        <v>4</v>
      </c>
      <c r="B33" s="86">
        <v>25</v>
      </c>
      <c r="C33" s="58">
        <v>10.1</v>
      </c>
      <c r="D33" s="96"/>
      <c r="E33" s="96"/>
      <c r="F33" s="53">
        <v>24.65</v>
      </c>
      <c r="G33" s="58">
        <f t="shared" si="0"/>
        <v>14.549999999999999</v>
      </c>
      <c r="H33" s="97">
        <v>7.3</v>
      </c>
      <c r="I33" s="58">
        <v>1</v>
      </c>
      <c r="J33" s="59">
        <f t="shared" si="1"/>
        <v>6.2499999999999991</v>
      </c>
      <c r="K33" s="86">
        <v>6</v>
      </c>
      <c r="L33" s="86">
        <f t="shared" si="2"/>
        <v>24.999999999999911</v>
      </c>
      <c r="M33" s="98"/>
      <c r="O33" s="86" t="s">
        <v>4</v>
      </c>
      <c r="P33" s="86">
        <v>25</v>
      </c>
      <c r="Q33" s="58">
        <v>11.1</v>
      </c>
      <c r="R33" s="96"/>
      <c r="S33" s="96"/>
      <c r="T33" s="53">
        <v>24.65</v>
      </c>
      <c r="U33" s="58">
        <f t="shared" si="3"/>
        <v>13.549999999999999</v>
      </c>
      <c r="V33" s="97">
        <v>7.3</v>
      </c>
      <c r="W33" s="58">
        <v>1</v>
      </c>
      <c r="X33" s="59">
        <f t="shared" si="4"/>
        <v>5.2499999999999991</v>
      </c>
      <c r="Y33" s="86">
        <v>5</v>
      </c>
      <c r="Z33" s="86">
        <f t="shared" si="5"/>
        <v>24.999999999999911</v>
      </c>
      <c r="AA33" s="98"/>
      <c r="AC33" s="86" t="s">
        <v>4</v>
      </c>
      <c r="AD33" s="86">
        <v>25</v>
      </c>
      <c r="AE33" s="58">
        <v>11.1</v>
      </c>
      <c r="AF33" s="96"/>
      <c r="AG33" s="96"/>
      <c r="AH33" s="53">
        <v>24.65</v>
      </c>
      <c r="AI33" s="58">
        <f t="shared" si="6"/>
        <v>13.549999999999999</v>
      </c>
      <c r="AJ33" s="97">
        <v>7.3</v>
      </c>
      <c r="AK33" s="58">
        <v>1</v>
      </c>
      <c r="AL33" s="59">
        <f t="shared" si="7"/>
        <v>5.2499999999999991</v>
      </c>
      <c r="AM33" s="86">
        <v>5</v>
      </c>
      <c r="AN33" s="86">
        <f t="shared" si="8"/>
        <v>24.999999999999911</v>
      </c>
      <c r="AO33" s="98"/>
      <c r="AP33" s="86" t="s">
        <v>4</v>
      </c>
      <c r="AQ33" s="86">
        <v>25</v>
      </c>
      <c r="AR33" s="58">
        <v>10.35</v>
      </c>
      <c r="AS33" s="96"/>
      <c r="AT33" s="96"/>
      <c r="AU33" s="53">
        <v>24.65</v>
      </c>
      <c r="AV33" s="58">
        <f t="shared" si="9"/>
        <v>14.299999999999999</v>
      </c>
      <c r="AW33" s="97">
        <v>7.3</v>
      </c>
      <c r="AX33" s="58">
        <v>1.4</v>
      </c>
      <c r="AY33" s="59">
        <f t="shared" si="10"/>
        <v>5.6</v>
      </c>
      <c r="AZ33" s="86">
        <v>5</v>
      </c>
      <c r="BA33" s="86">
        <f t="shared" si="11"/>
        <v>59.999999999999964</v>
      </c>
      <c r="BB33" s="98"/>
      <c r="BD33" s="86" t="s">
        <v>4</v>
      </c>
      <c r="BE33" s="86">
        <v>25</v>
      </c>
      <c r="BF33" s="58">
        <v>10.35</v>
      </c>
      <c r="BG33" s="96"/>
      <c r="BH33" s="96"/>
      <c r="BI33" s="53">
        <v>24.65</v>
      </c>
      <c r="BJ33" s="58">
        <f t="shared" si="12"/>
        <v>14.299999999999999</v>
      </c>
      <c r="BK33" s="97">
        <v>7.3</v>
      </c>
      <c r="BL33" s="58">
        <v>1.4</v>
      </c>
      <c r="BM33" s="59">
        <f t="shared" si="13"/>
        <v>5.6</v>
      </c>
      <c r="BN33" s="86">
        <v>5</v>
      </c>
      <c r="BO33" s="86">
        <f t="shared" si="14"/>
        <v>59.999999999999964</v>
      </c>
      <c r="BP33" s="98"/>
      <c r="BQ33" s="86" t="s">
        <v>4</v>
      </c>
      <c r="BR33" s="86">
        <v>25</v>
      </c>
      <c r="BS33" s="58">
        <v>11.15</v>
      </c>
      <c r="BT33" s="96"/>
      <c r="BU33" s="96"/>
      <c r="BV33" s="53">
        <v>24.65</v>
      </c>
      <c r="BW33" s="58">
        <f t="shared" si="15"/>
        <v>13.499999999999998</v>
      </c>
      <c r="BX33" s="97">
        <v>7.3</v>
      </c>
      <c r="BY33" s="58">
        <v>1</v>
      </c>
      <c r="BZ33" s="59">
        <f t="shared" si="16"/>
        <v>5.1999999999999984</v>
      </c>
      <c r="CA33" s="86">
        <v>5</v>
      </c>
      <c r="CB33" s="86">
        <f t="shared" si="17"/>
        <v>19.99999999999984</v>
      </c>
      <c r="CC33" s="98"/>
      <c r="CE33" s="86" t="s">
        <v>4</v>
      </c>
      <c r="CF33" s="86">
        <v>25</v>
      </c>
      <c r="CG33" s="58">
        <v>11.1</v>
      </c>
      <c r="CH33" s="96"/>
      <c r="CI33" s="96"/>
      <c r="CJ33" s="53">
        <v>24.65</v>
      </c>
      <c r="CK33" s="58">
        <f t="shared" si="18"/>
        <v>13.549999999999999</v>
      </c>
      <c r="CL33" s="97">
        <v>7.3</v>
      </c>
      <c r="CM33" s="58">
        <v>1</v>
      </c>
      <c r="CN33" s="59">
        <f t="shared" si="19"/>
        <v>5.2499999999999991</v>
      </c>
      <c r="CO33" s="86">
        <v>5</v>
      </c>
      <c r="CP33" s="86">
        <f t="shared" si="20"/>
        <v>24.999999999999911</v>
      </c>
      <c r="CQ33" s="98"/>
      <c r="CR33" s="86" t="s">
        <v>4</v>
      </c>
      <c r="CS33" s="86">
        <v>25</v>
      </c>
      <c r="CT33" s="58">
        <v>11.1</v>
      </c>
      <c r="CU33" s="96"/>
      <c r="CV33" s="96"/>
      <c r="CW33" s="53">
        <v>24.65</v>
      </c>
      <c r="CX33" s="58">
        <f t="shared" si="21"/>
        <v>13.549999999999999</v>
      </c>
      <c r="CY33" s="97">
        <v>7.3</v>
      </c>
      <c r="CZ33" s="58">
        <v>1</v>
      </c>
      <c r="DA33" s="59">
        <f t="shared" si="22"/>
        <v>5.2499999999999991</v>
      </c>
      <c r="DB33" s="86">
        <v>5</v>
      </c>
      <c r="DC33" s="86">
        <f t="shared" si="23"/>
        <v>24.999999999999911</v>
      </c>
      <c r="DD33" s="98"/>
      <c r="DF33" s="86" t="s">
        <v>4</v>
      </c>
      <c r="DG33" s="86">
        <v>25</v>
      </c>
      <c r="DH33" s="58">
        <v>11.1</v>
      </c>
      <c r="DI33" s="96"/>
      <c r="DJ33" s="96"/>
      <c r="DK33" s="53">
        <v>24.65</v>
      </c>
      <c r="DL33" s="58">
        <f t="shared" si="24"/>
        <v>13.549999999999999</v>
      </c>
      <c r="DM33" s="97">
        <v>7.3</v>
      </c>
      <c r="DN33" s="58">
        <v>1</v>
      </c>
      <c r="DO33" s="59">
        <f t="shared" si="25"/>
        <v>5.2499999999999991</v>
      </c>
      <c r="DP33" s="86">
        <v>5</v>
      </c>
      <c r="DQ33" s="86">
        <f t="shared" si="26"/>
        <v>24.999999999999911</v>
      </c>
      <c r="DR33" s="98"/>
      <c r="DS33" s="86" t="s">
        <v>4</v>
      </c>
      <c r="DT33" s="86">
        <v>25</v>
      </c>
      <c r="DU33" s="58">
        <v>11.2</v>
      </c>
      <c r="DV33" s="96"/>
      <c r="DW33" s="96"/>
      <c r="DX33" s="53">
        <v>24.65</v>
      </c>
      <c r="DY33" s="58">
        <f t="shared" si="27"/>
        <v>13.45</v>
      </c>
      <c r="DZ33" s="97">
        <v>7.3</v>
      </c>
      <c r="EA33" s="58">
        <v>1</v>
      </c>
      <c r="EB33" s="59">
        <f t="shared" si="28"/>
        <v>5.1499999999999995</v>
      </c>
      <c r="EC33" s="86">
        <v>5</v>
      </c>
      <c r="ED33" s="86">
        <f t="shared" si="29"/>
        <v>14.999999999999947</v>
      </c>
      <c r="EE33" s="98"/>
      <c r="EG33" s="86" t="s">
        <v>4</v>
      </c>
      <c r="EH33" s="86">
        <v>25</v>
      </c>
      <c r="EI33" s="58">
        <v>11.1</v>
      </c>
      <c r="EJ33" s="96"/>
      <c r="EK33" s="96"/>
      <c r="EL33" s="53">
        <v>24.65</v>
      </c>
      <c r="EM33" s="58">
        <f t="shared" si="30"/>
        <v>13.549999999999999</v>
      </c>
      <c r="EN33" s="97">
        <v>7.3</v>
      </c>
      <c r="EO33" s="58">
        <v>1</v>
      </c>
      <c r="EP33" s="59">
        <f t="shared" si="31"/>
        <v>5.2499999999999991</v>
      </c>
      <c r="EQ33" s="86">
        <v>5</v>
      </c>
      <c r="ER33" s="86">
        <f t="shared" si="32"/>
        <v>24.999999999999911</v>
      </c>
      <c r="ES33" s="98"/>
      <c r="ET33" s="86" t="s">
        <v>4</v>
      </c>
      <c r="EU33" s="86">
        <v>25</v>
      </c>
      <c r="EV33" s="58">
        <v>11.1</v>
      </c>
      <c r="EW33" s="96"/>
      <c r="EX33" s="96"/>
      <c r="EY33" s="53">
        <v>24.65</v>
      </c>
      <c r="EZ33" s="58">
        <f t="shared" si="33"/>
        <v>13.549999999999999</v>
      </c>
      <c r="FA33" s="97">
        <v>7.3</v>
      </c>
      <c r="FB33" s="58">
        <v>1</v>
      </c>
      <c r="FC33" s="59">
        <f t="shared" si="34"/>
        <v>5.2499999999999991</v>
      </c>
      <c r="FD33" s="86">
        <v>5</v>
      </c>
      <c r="FE33" s="86">
        <f t="shared" si="35"/>
        <v>24.999999999999911</v>
      </c>
      <c r="FF33" s="98"/>
      <c r="FH33" s="86" t="s">
        <v>4</v>
      </c>
      <c r="FI33" s="86">
        <v>25</v>
      </c>
      <c r="FJ33" s="58">
        <v>11.1</v>
      </c>
      <c r="FK33" s="96"/>
      <c r="FL33" s="96"/>
      <c r="FM33" s="53">
        <v>24.65</v>
      </c>
      <c r="FN33" s="58">
        <f t="shared" si="36"/>
        <v>13.549999999999999</v>
      </c>
      <c r="FO33" s="97">
        <v>7.3</v>
      </c>
      <c r="FP33" s="58">
        <v>1</v>
      </c>
      <c r="FQ33" s="59">
        <f t="shared" si="37"/>
        <v>5.2499999999999991</v>
      </c>
      <c r="FR33" s="86">
        <v>5</v>
      </c>
      <c r="FS33" s="86">
        <f t="shared" si="38"/>
        <v>24.999999999999911</v>
      </c>
      <c r="FT33" s="98"/>
      <c r="FU33" s="86" t="s">
        <v>4</v>
      </c>
      <c r="FV33" s="86">
        <v>25</v>
      </c>
      <c r="FW33" s="58">
        <v>11.1</v>
      </c>
      <c r="FX33" s="96"/>
      <c r="FY33" s="96"/>
      <c r="FZ33" s="53">
        <v>24.65</v>
      </c>
      <c r="GA33" s="58">
        <f t="shared" si="39"/>
        <v>13.549999999999999</v>
      </c>
      <c r="GB33" s="97">
        <v>7.3</v>
      </c>
      <c r="GC33" s="58">
        <v>1</v>
      </c>
      <c r="GD33" s="59">
        <f t="shared" si="40"/>
        <v>5.2499999999999991</v>
      </c>
      <c r="GE33" s="86">
        <v>5</v>
      </c>
      <c r="GF33" s="86">
        <f t="shared" si="41"/>
        <v>24.999999999999911</v>
      </c>
      <c r="GG33" s="98"/>
      <c r="GI33" s="86" t="s">
        <v>4</v>
      </c>
      <c r="GJ33" s="86">
        <v>25</v>
      </c>
      <c r="GK33" s="58">
        <v>11.1</v>
      </c>
      <c r="GL33" s="96"/>
      <c r="GM33" s="96"/>
      <c r="GN33" s="53">
        <v>24.65</v>
      </c>
      <c r="GO33" s="58">
        <f t="shared" si="42"/>
        <v>13.549999999999999</v>
      </c>
      <c r="GP33" s="97">
        <v>7.3</v>
      </c>
      <c r="GQ33" s="58">
        <v>1</v>
      </c>
      <c r="GR33" s="59">
        <f t="shared" si="43"/>
        <v>5.2499999999999991</v>
      </c>
      <c r="GS33" s="86">
        <v>5</v>
      </c>
      <c r="GT33" s="86">
        <f t="shared" si="44"/>
        <v>24.999999999999911</v>
      </c>
      <c r="GU33" s="98"/>
      <c r="GV33" s="86" t="s">
        <v>4</v>
      </c>
      <c r="GW33" s="86">
        <v>25</v>
      </c>
      <c r="GX33" s="58">
        <v>11.1</v>
      </c>
      <c r="GY33" s="96"/>
      <c r="GZ33" s="96"/>
      <c r="HA33" s="53">
        <v>24.65</v>
      </c>
      <c r="HB33" s="58">
        <f t="shared" si="45"/>
        <v>13.549999999999999</v>
      </c>
      <c r="HC33" s="97">
        <v>7.3</v>
      </c>
      <c r="HD33" s="58">
        <v>1</v>
      </c>
      <c r="HE33" s="59">
        <f t="shared" si="46"/>
        <v>5.2499999999999991</v>
      </c>
      <c r="HF33" s="86">
        <v>5</v>
      </c>
      <c r="HG33" s="86">
        <f t="shared" si="47"/>
        <v>24.999999999999911</v>
      </c>
      <c r="HH33" s="98"/>
      <c r="HJ33" s="86" t="s">
        <v>4</v>
      </c>
      <c r="HK33" s="86">
        <v>25</v>
      </c>
      <c r="HL33" s="58">
        <v>11.1</v>
      </c>
      <c r="HM33" s="96"/>
      <c r="HN33" s="96"/>
      <c r="HO33" s="53">
        <v>24.65</v>
      </c>
      <c r="HP33" s="58">
        <f t="shared" si="48"/>
        <v>13.549999999999999</v>
      </c>
      <c r="HQ33" s="97">
        <v>7.3</v>
      </c>
      <c r="HR33" s="58">
        <v>1</v>
      </c>
      <c r="HS33" s="59">
        <f t="shared" si="49"/>
        <v>5.2499999999999991</v>
      </c>
      <c r="HT33" s="86">
        <v>5</v>
      </c>
      <c r="HU33" s="86">
        <f t="shared" si="50"/>
        <v>24.999999999999911</v>
      </c>
      <c r="HV33" s="98"/>
      <c r="HW33" s="86" t="s">
        <v>4</v>
      </c>
      <c r="HX33" s="86">
        <v>25</v>
      </c>
      <c r="HY33" s="58">
        <v>11.1</v>
      </c>
      <c r="HZ33" s="96"/>
      <c r="IA33" s="96"/>
      <c r="IB33" s="53">
        <v>24.65</v>
      </c>
      <c r="IC33" s="58">
        <f t="shared" si="51"/>
        <v>13.549999999999999</v>
      </c>
      <c r="ID33" s="97">
        <v>7.3</v>
      </c>
      <c r="IE33" s="58">
        <v>1</v>
      </c>
      <c r="IF33" s="59">
        <f t="shared" si="52"/>
        <v>5.2499999999999991</v>
      </c>
      <c r="IG33" s="86">
        <v>5</v>
      </c>
      <c r="IH33" s="86">
        <f t="shared" si="53"/>
        <v>24.999999999999911</v>
      </c>
      <c r="II33" s="98"/>
      <c r="IJ33" s="1"/>
      <c r="IK33" s="86" t="s">
        <v>4</v>
      </c>
      <c r="IL33" s="86">
        <v>25</v>
      </c>
      <c r="IM33" s="58"/>
      <c r="IN33" s="96"/>
      <c r="IO33" s="96"/>
      <c r="IP33" s="53"/>
      <c r="IQ33" s="58"/>
      <c r="IR33" s="97"/>
      <c r="IS33" s="58"/>
      <c r="IT33" s="59"/>
      <c r="IU33" s="86"/>
      <c r="IV33" s="86"/>
      <c r="IW33" s="98" t="s">
        <v>227</v>
      </c>
      <c r="IX33" s="86" t="s">
        <v>4</v>
      </c>
      <c r="IY33" s="86">
        <v>25</v>
      </c>
      <c r="IZ33" s="58">
        <v>11.1</v>
      </c>
      <c r="JA33" s="96"/>
      <c r="JB33" s="96"/>
      <c r="JC33" s="53">
        <v>24.65</v>
      </c>
      <c r="JD33" s="58">
        <f t="shared" si="57"/>
        <v>13.549999999999999</v>
      </c>
      <c r="JE33" s="97">
        <v>7.3</v>
      </c>
      <c r="JF33" s="58">
        <v>1</v>
      </c>
      <c r="JG33" s="59">
        <f t="shared" si="58"/>
        <v>5.2499999999999991</v>
      </c>
      <c r="JH33" s="86">
        <v>5</v>
      </c>
      <c r="JI33" s="86">
        <f t="shared" si="59"/>
        <v>24.999999999999911</v>
      </c>
      <c r="JJ33" s="98"/>
    </row>
    <row r="34" spans="1:270" ht="17.149999999999999" customHeight="1" x14ac:dyDescent="0.35">
      <c r="A34" s="86" t="s">
        <v>5</v>
      </c>
      <c r="B34" s="86">
        <v>26</v>
      </c>
      <c r="C34" s="58">
        <v>10.1</v>
      </c>
      <c r="D34" s="96"/>
      <c r="E34" s="96"/>
      <c r="F34" s="53">
        <v>25.4</v>
      </c>
      <c r="G34" s="58">
        <f t="shared" si="0"/>
        <v>15.299999999999999</v>
      </c>
      <c r="H34" s="97">
        <v>7.3</v>
      </c>
      <c r="I34" s="58">
        <v>1.4</v>
      </c>
      <c r="J34" s="59">
        <f t="shared" si="1"/>
        <v>6.6</v>
      </c>
      <c r="K34" s="86">
        <v>6</v>
      </c>
      <c r="L34" s="86">
        <f t="shared" si="2"/>
        <v>59.999999999999964</v>
      </c>
      <c r="M34" s="98"/>
      <c r="O34" s="86" t="s">
        <v>5</v>
      </c>
      <c r="P34" s="86">
        <v>26</v>
      </c>
      <c r="Q34" s="58">
        <v>11.1</v>
      </c>
      <c r="R34" s="96"/>
      <c r="S34" s="96"/>
      <c r="T34" s="53">
        <v>25.4</v>
      </c>
      <c r="U34" s="58">
        <f t="shared" si="3"/>
        <v>14.299999999999999</v>
      </c>
      <c r="V34" s="97">
        <v>7.3</v>
      </c>
      <c r="W34" s="58">
        <v>1.4</v>
      </c>
      <c r="X34" s="59">
        <f t="shared" si="4"/>
        <v>5.6</v>
      </c>
      <c r="Y34" s="86">
        <v>5</v>
      </c>
      <c r="Z34" s="86">
        <f t="shared" si="5"/>
        <v>59.999999999999964</v>
      </c>
      <c r="AA34" s="98"/>
      <c r="AC34" s="86" t="s">
        <v>5</v>
      </c>
      <c r="AD34" s="86">
        <v>26</v>
      </c>
      <c r="AE34" s="58">
        <v>11.1</v>
      </c>
      <c r="AF34" s="96"/>
      <c r="AG34" s="96"/>
      <c r="AH34" s="53">
        <v>25.4</v>
      </c>
      <c r="AI34" s="58">
        <f t="shared" si="6"/>
        <v>14.299999999999999</v>
      </c>
      <c r="AJ34" s="97">
        <v>7.3</v>
      </c>
      <c r="AK34" s="58">
        <v>1.4</v>
      </c>
      <c r="AL34" s="59">
        <f t="shared" si="7"/>
        <v>5.6</v>
      </c>
      <c r="AM34" s="86">
        <v>5</v>
      </c>
      <c r="AN34" s="86">
        <f t="shared" si="8"/>
        <v>59.999999999999964</v>
      </c>
      <c r="AO34" s="98"/>
      <c r="AP34" s="86" t="s">
        <v>5</v>
      </c>
      <c r="AQ34" s="86">
        <v>26</v>
      </c>
      <c r="AR34" s="58">
        <v>10.35</v>
      </c>
      <c r="AS34" s="96"/>
      <c r="AT34" s="96"/>
      <c r="AU34" s="53">
        <v>25.4</v>
      </c>
      <c r="AV34" s="58">
        <f t="shared" si="9"/>
        <v>15.049999999999999</v>
      </c>
      <c r="AW34" s="97">
        <v>7.3</v>
      </c>
      <c r="AX34" s="58">
        <v>1</v>
      </c>
      <c r="AY34" s="59">
        <f t="shared" si="10"/>
        <v>6.7499999999999991</v>
      </c>
      <c r="AZ34" s="86">
        <v>6</v>
      </c>
      <c r="BA34" s="86">
        <f t="shared" si="11"/>
        <v>74.999999999999915</v>
      </c>
      <c r="BB34" s="98"/>
      <c r="BD34" s="86" t="s">
        <v>5</v>
      </c>
      <c r="BE34" s="86">
        <v>26</v>
      </c>
      <c r="BF34" s="58">
        <v>10.35</v>
      </c>
      <c r="BG34" s="96"/>
      <c r="BH34" s="96"/>
      <c r="BI34" s="53">
        <v>25.4</v>
      </c>
      <c r="BJ34" s="58">
        <f t="shared" si="12"/>
        <v>15.049999999999999</v>
      </c>
      <c r="BK34" s="97">
        <v>7.3</v>
      </c>
      <c r="BL34" s="58">
        <v>1.4</v>
      </c>
      <c r="BM34" s="59">
        <f t="shared" si="13"/>
        <v>6.35</v>
      </c>
      <c r="BN34" s="86">
        <v>6</v>
      </c>
      <c r="BO34" s="86">
        <f t="shared" si="14"/>
        <v>34.999999999999964</v>
      </c>
      <c r="BP34" s="98"/>
      <c r="BQ34" s="86" t="s">
        <v>5</v>
      </c>
      <c r="BR34" s="86">
        <v>26</v>
      </c>
      <c r="BS34" s="99">
        <v>12.3</v>
      </c>
      <c r="BT34" s="96"/>
      <c r="BU34" s="96"/>
      <c r="BV34" s="53">
        <v>25.4</v>
      </c>
      <c r="BW34" s="58">
        <f t="shared" si="15"/>
        <v>13.099999999999998</v>
      </c>
      <c r="BX34" s="97">
        <v>7.3</v>
      </c>
      <c r="BY34" s="58">
        <v>1.4</v>
      </c>
      <c r="BZ34" s="59">
        <f t="shared" si="16"/>
        <v>4.3999999999999986</v>
      </c>
      <c r="CA34" s="86">
        <v>4</v>
      </c>
      <c r="CB34" s="86">
        <f t="shared" si="17"/>
        <v>39.999999999999858</v>
      </c>
      <c r="CC34" s="98"/>
      <c r="CE34" s="86" t="s">
        <v>5</v>
      </c>
      <c r="CF34" s="86">
        <v>26</v>
      </c>
      <c r="CG34" s="58">
        <v>11.1</v>
      </c>
      <c r="CH34" s="96"/>
      <c r="CI34" s="96"/>
      <c r="CJ34" s="53">
        <v>25.4</v>
      </c>
      <c r="CK34" s="58">
        <f t="shared" si="18"/>
        <v>14.299999999999999</v>
      </c>
      <c r="CL34" s="97">
        <v>7.3</v>
      </c>
      <c r="CM34" s="58">
        <v>1.4</v>
      </c>
      <c r="CN34" s="59">
        <f t="shared" si="19"/>
        <v>5.6</v>
      </c>
      <c r="CO34" s="86">
        <v>5</v>
      </c>
      <c r="CP34" s="86">
        <f t="shared" si="20"/>
        <v>59.999999999999964</v>
      </c>
      <c r="CQ34" s="98"/>
      <c r="CR34" s="86" t="s">
        <v>5</v>
      </c>
      <c r="CS34" s="86">
        <v>26</v>
      </c>
      <c r="CT34" s="58">
        <v>11.1</v>
      </c>
      <c r="CU34" s="96"/>
      <c r="CV34" s="96"/>
      <c r="CW34" s="53">
        <v>25.4</v>
      </c>
      <c r="CX34" s="58">
        <f t="shared" si="21"/>
        <v>14.299999999999999</v>
      </c>
      <c r="CY34" s="97">
        <v>7.3</v>
      </c>
      <c r="CZ34" s="58">
        <v>1.4</v>
      </c>
      <c r="DA34" s="59">
        <f t="shared" si="22"/>
        <v>5.6</v>
      </c>
      <c r="DB34" s="86">
        <v>5</v>
      </c>
      <c r="DC34" s="86">
        <f t="shared" si="23"/>
        <v>59.999999999999964</v>
      </c>
      <c r="DD34" s="98"/>
      <c r="DF34" s="86" t="s">
        <v>5</v>
      </c>
      <c r="DG34" s="86">
        <v>26</v>
      </c>
      <c r="DH34" s="58">
        <v>11.1</v>
      </c>
      <c r="DI34" s="96"/>
      <c r="DJ34" s="96"/>
      <c r="DK34" s="53">
        <v>25.4</v>
      </c>
      <c r="DL34" s="58">
        <f t="shared" si="24"/>
        <v>14.299999999999999</v>
      </c>
      <c r="DM34" s="97">
        <v>7.3</v>
      </c>
      <c r="DN34" s="58">
        <v>1.4</v>
      </c>
      <c r="DO34" s="59">
        <f t="shared" si="25"/>
        <v>5.6</v>
      </c>
      <c r="DP34" s="86">
        <v>5</v>
      </c>
      <c r="DQ34" s="86">
        <f t="shared" si="26"/>
        <v>59.999999999999964</v>
      </c>
      <c r="DR34" s="98"/>
      <c r="DS34" s="86" t="s">
        <v>5</v>
      </c>
      <c r="DT34" s="86">
        <v>26</v>
      </c>
      <c r="DU34" s="58">
        <v>11.2</v>
      </c>
      <c r="DV34" s="96"/>
      <c r="DW34" s="96"/>
      <c r="DX34" s="53">
        <v>25.4</v>
      </c>
      <c r="DY34" s="58">
        <f t="shared" si="27"/>
        <v>14.2</v>
      </c>
      <c r="DZ34" s="97">
        <v>7.3</v>
      </c>
      <c r="EA34" s="58">
        <v>1.4</v>
      </c>
      <c r="EB34" s="59">
        <f t="shared" si="28"/>
        <v>5.5</v>
      </c>
      <c r="EC34" s="86">
        <v>5</v>
      </c>
      <c r="ED34" s="86">
        <f t="shared" si="29"/>
        <v>50</v>
      </c>
      <c r="EE34" s="98"/>
      <c r="EG34" s="86" t="s">
        <v>5</v>
      </c>
      <c r="EH34" s="86">
        <v>26</v>
      </c>
      <c r="EI34" s="58">
        <v>11.1</v>
      </c>
      <c r="EJ34" s="96"/>
      <c r="EK34" s="96"/>
      <c r="EL34" s="53">
        <v>25.4</v>
      </c>
      <c r="EM34" s="58">
        <f t="shared" si="30"/>
        <v>14.299999999999999</v>
      </c>
      <c r="EN34" s="97">
        <v>7.3</v>
      </c>
      <c r="EO34" s="58">
        <v>1.4</v>
      </c>
      <c r="EP34" s="59">
        <f t="shared" si="31"/>
        <v>5.6</v>
      </c>
      <c r="EQ34" s="86">
        <v>5</v>
      </c>
      <c r="ER34" s="86">
        <f t="shared" si="32"/>
        <v>59.999999999999964</v>
      </c>
      <c r="ES34" s="98"/>
      <c r="ET34" s="86" t="s">
        <v>5</v>
      </c>
      <c r="EU34" s="86">
        <v>26</v>
      </c>
      <c r="EV34" s="58">
        <v>11.1</v>
      </c>
      <c r="EW34" s="96"/>
      <c r="EX34" s="96"/>
      <c r="EY34" s="53">
        <v>25.4</v>
      </c>
      <c r="EZ34" s="58">
        <f t="shared" si="33"/>
        <v>14.299999999999999</v>
      </c>
      <c r="FA34" s="97">
        <v>7.3</v>
      </c>
      <c r="FB34" s="58">
        <v>1.4</v>
      </c>
      <c r="FC34" s="59">
        <f t="shared" si="34"/>
        <v>5.6</v>
      </c>
      <c r="FD34" s="86">
        <v>5</v>
      </c>
      <c r="FE34" s="86">
        <f t="shared" si="35"/>
        <v>59.999999999999964</v>
      </c>
      <c r="FF34" s="98"/>
      <c r="FH34" s="86" t="s">
        <v>5</v>
      </c>
      <c r="FI34" s="86">
        <v>26</v>
      </c>
      <c r="FJ34" s="58">
        <v>11.1</v>
      </c>
      <c r="FK34" s="96"/>
      <c r="FL34" s="96"/>
      <c r="FM34" s="53">
        <v>25.4</v>
      </c>
      <c r="FN34" s="58">
        <f t="shared" si="36"/>
        <v>14.299999999999999</v>
      </c>
      <c r="FO34" s="97">
        <v>7.3</v>
      </c>
      <c r="FP34" s="58">
        <v>1.4</v>
      </c>
      <c r="FQ34" s="59">
        <f t="shared" si="37"/>
        <v>5.6</v>
      </c>
      <c r="FR34" s="86">
        <v>5</v>
      </c>
      <c r="FS34" s="86">
        <f t="shared" si="38"/>
        <v>59.999999999999964</v>
      </c>
      <c r="FT34" s="98"/>
      <c r="FU34" s="86" t="s">
        <v>5</v>
      </c>
      <c r="FV34" s="86">
        <v>26</v>
      </c>
      <c r="FW34" s="58">
        <v>11.1</v>
      </c>
      <c r="FX34" s="96"/>
      <c r="FY34" s="96"/>
      <c r="FZ34" s="53">
        <v>25.4</v>
      </c>
      <c r="GA34" s="58">
        <f t="shared" si="39"/>
        <v>14.299999999999999</v>
      </c>
      <c r="GB34" s="97">
        <v>7.3</v>
      </c>
      <c r="GC34" s="58">
        <v>1.4</v>
      </c>
      <c r="GD34" s="59">
        <f t="shared" si="40"/>
        <v>5.6</v>
      </c>
      <c r="GE34" s="86">
        <v>5</v>
      </c>
      <c r="GF34" s="86">
        <f t="shared" si="41"/>
        <v>59.999999999999964</v>
      </c>
      <c r="GG34" s="98"/>
      <c r="GI34" s="86" t="s">
        <v>5</v>
      </c>
      <c r="GJ34" s="86">
        <v>26</v>
      </c>
      <c r="GK34" s="58">
        <v>11.1</v>
      </c>
      <c r="GL34" s="96"/>
      <c r="GM34" s="96"/>
      <c r="GN34" s="53">
        <v>25.4</v>
      </c>
      <c r="GO34" s="58">
        <f t="shared" si="42"/>
        <v>14.299999999999999</v>
      </c>
      <c r="GP34" s="97">
        <v>7.3</v>
      </c>
      <c r="GQ34" s="58">
        <v>1.4</v>
      </c>
      <c r="GR34" s="59">
        <f t="shared" si="43"/>
        <v>5.6</v>
      </c>
      <c r="GS34" s="86">
        <v>5</v>
      </c>
      <c r="GT34" s="86">
        <f t="shared" si="44"/>
        <v>59.999999999999964</v>
      </c>
      <c r="GU34" s="98"/>
      <c r="GV34" s="86" t="s">
        <v>5</v>
      </c>
      <c r="GW34" s="86">
        <v>26</v>
      </c>
      <c r="GX34" s="58">
        <v>11.1</v>
      </c>
      <c r="GY34" s="96"/>
      <c r="GZ34" s="96"/>
      <c r="HA34" s="53">
        <v>25.4</v>
      </c>
      <c r="HB34" s="58">
        <f t="shared" si="45"/>
        <v>14.299999999999999</v>
      </c>
      <c r="HC34" s="97">
        <v>7.3</v>
      </c>
      <c r="HD34" s="58">
        <v>1.4</v>
      </c>
      <c r="HE34" s="59">
        <f t="shared" si="46"/>
        <v>5.6</v>
      </c>
      <c r="HF34" s="86">
        <v>5</v>
      </c>
      <c r="HG34" s="86">
        <f t="shared" si="47"/>
        <v>59.999999999999964</v>
      </c>
      <c r="HH34" s="98"/>
      <c r="HJ34" s="86" t="s">
        <v>5</v>
      </c>
      <c r="HK34" s="86">
        <v>26</v>
      </c>
      <c r="HL34" s="58">
        <v>11.1</v>
      </c>
      <c r="HM34" s="96"/>
      <c r="HN34" s="96"/>
      <c r="HO34" s="53">
        <v>25.4</v>
      </c>
      <c r="HP34" s="58">
        <f t="shared" si="48"/>
        <v>14.299999999999999</v>
      </c>
      <c r="HQ34" s="97">
        <v>7.3</v>
      </c>
      <c r="HR34" s="58">
        <v>1.4</v>
      </c>
      <c r="HS34" s="59">
        <f t="shared" si="49"/>
        <v>5.6</v>
      </c>
      <c r="HT34" s="86">
        <v>5</v>
      </c>
      <c r="HU34" s="86">
        <f t="shared" si="50"/>
        <v>59.999999999999964</v>
      </c>
      <c r="HV34" s="98"/>
      <c r="HW34" s="86" t="s">
        <v>5</v>
      </c>
      <c r="HX34" s="86">
        <v>26</v>
      </c>
      <c r="HY34" s="58">
        <v>11.1</v>
      </c>
      <c r="HZ34" s="96"/>
      <c r="IA34" s="96"/>
      <c r="IB34" s="53">
        <v>25.4</v>
      </c>
      <c r="IC34" s="58">
        <f t="shared" si="51"/>
        <v>14.299999999999999</v>
      </c>
      <c r="ID34" s="97">
        <v>7.3</v>
      </c>
      <c r="IE34" s="58">
        <v>1.4</v>
      </c>
      <c r="IF34" s="59">
        <f t="shared" si="52"/>
        <v>5.6</v>
      </c>
      <c r="IG34" s="86">
        <v>5</v>
      </c>
      <c r="IH34" s="86">
        <f t="shared" si="53"/>
        <v>59.999999999999964</v>
      </c>
      <c r="II34" s="98"/>
      <c r="IK34" s="86" t="s">
        <v>5</v>
      </c>
      <c r="IL34" s="86">
        <v>26</v>
      </c>
      <c r="IM34" s="58">
        <v>11.25</v>
      </c>
      <c r="IN34" s="96"/>
      <c r="IO34" s="96"/>
      <c r="IP34" s="53">
        <v>25.4</v>
      </c>
      <c r="IQ34" s="58">
        <f t="shared" si="54"/>
        <v>14.149999999999999</v>
      </c>
      <c r="IR34" s="97">
        <v>7.3</v>
      </c>
      <c r="IS34" s="58">
        <v>1.4</v>
      </c>
      <c r="IT34" s="59">
        <f t="shared" si="55"/>
        <v>5.4499999999999993</v>
      </c>
      <c r="IU34" s="86">
        <v>5</v>
      </c>
      <c r="IV34" s="86">
        <f t="shared" si="56"/>
        <v>44.999999999999929</v>
      </c>
      <c r="IW34" s="98"/>
      <c r="IX34" s="86" t="s">
        <v>5</v>
      </c>
      <c r="IY34" s="86">
        <v>26</v>
      </c>
      <c r="IZ34" s="58">
        <v>11.1</v>
      </c>
      <c r="JA34" s="96"/>
      <c r="JB34" s="96"/>
      <c r="JC34" s="53">
        <v>25.4</v>
      </c>
      <c r="JD34" s="58">
        <f t="shared" si="57"/>
        <v>14.299999999999999</v>
      </c>
      <c r="JE34" s="97">
        <v>7.3</v>
      </c>
      <c r="JF34" s="58">
        <v>1.4</v>
      </c>
      <c r="JG34" s="59">
        <f t="shared" si="58"/>
        <v>5.6</v>
      </c>
      <c r="JH34" s="86">
        <v>5</v>
      </c>
      <c r="JI34" s="86">
        <f t="shared" si="59"/>
        <v>59.999999999999964</v>
      </c>
      <c r="JJ34" s="98"/>
    </row>
    <row r="35" spans="1:270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/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/>
      <c r="Z35" s="55">
        <f t="shared" si="5"/>
        <v>0</v>
      </c>
      <c r="AA35" s="95"/>
      <c r="AC35" s="55" t="s">
        <v>6</v>
      </c>
      <c r="AD35" s="55">
        <v>27</v>
      </c>
      <c r="AE35" s="52"/>
      <c r="AF35" s="52"/>
      <c r="AG35" s="52"/>
      <c r="AH35" s="52"/>
      <c r="AI35" s="52">
        <f t="shared" si="6"/>
        <v>0</v>
      </c>
      <c r="AJ35" s="56"/>
      <c r="AK35" s="52"/>
      <c r="AL35" s="57">
        <f t="shared" si="7"/>
        <v>0</v>
      </c>
      <c r="AM35" s="55"/>
      <c r="AN35" s="55">
        <f t="shared" si="8"/>
        <v>0</v>
      </c>
      <c r="AO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/>
      <c r="BA35" s="55">
        <f t="shared" si="11"/>
        <v>0</v>
      </c>
      <c r="BB35" s="95"/>
      <c r="BD35" s="55" t="s">
        <v>6</v>
      </c>
      <c r="BE35" s="55">
        <v>27</v>
      </c>
      <c r="BF35" s="52"/>
      <c r="BG35" s="52"/>
      <c r="BH35" s="52"/>
      <c r="BI35" s="52"/>
      <c r="BJ35" s="52">
        <f t="shared" si="12"/>
        <v>0</v>
      </c>
      <c r="BK35" s="56"/>
      <c r="BL35" s="52"/>
      <c r="BM35" s="57">
        <f t="shared" si="13"/>
        <v>0</v>
      </c>
      <c r="BN35" s="55"/>
      <c r="BO35" s="55">
        <f t="shared" si="14"/>
        <v>0</v>
      </c>
      <c r="BP35" s="95"/>
      <c r="BQ35" s="55" t="s">
        <v>6</v>
      </c>
      <c r="BR35" s="55">
        <v>27</v>
      </c>
      <c r="BS35" s="52"/>
      <c r="BT35" s="52"/>
      <c r="BU35" s="52"/>
      <c r="BV35" s="52"/>
      <c r="BW35" s="52">
        <f t="shared" si="15"/>
        <v>0</v>
      </c>
      <c r="BX35" s="56"/>
      <c r="BY35" s="52"/>
      <c r="BZ35" s="57">
        <f t="shared" si="16"/>
        <v>0</v>
      </c>
      <c r="CA35" s="55"/>
      <c r="CB35" s="55">
        <f t="shared" si="17"/>
        <v>0</v>
      </c>
      <c r="CC35" s="95"/>
      <c r="CE35" s="55" t="s">
        <v>6</v>
      </c>
      <c r="CF35" s="55">
        <v>27</v>
      </c>
      <c r="CG35" s="52"/>
      <c r="CH35" s="52"/>
      <c r="CI35" s="52"/>
      <c r="CJ35" s="52"/>
      <c r="CK35" s="52">
        <f t="shared" si="18"/>
        <v>0</v>
      </c>
      <c r="CL35" s="56"/>
      <c r="CM35" s="52"/>
      <c r="CN35" s="57">
        <f t="shared" si="19"/>
        <v>0</v>
      </c>
      <c r="CO35" s="55"/>
      <c r="CP35" s="55">
        <f t="shared" si="20"/>
        <v>0</v>
      </c>
      <c r="CQ35" s="95"/>
      <c r="CR35" s="55" t="s">
        <v>6</v>
      </c>
      <c r="CS35" s="55">
        <v>27</v>
      </c>
      <c r="CT35" s="52"/>
      <c r="CU35" s="52"/>
      <c r="CV35" s="52"/>
      <c r="CW35" s="52"/>
      <c r="CX35" s="52">
        <f t="shared" si="21"/>
        <v>0</v>
      </c>
      <c r="CY35" s="56"/>
      <c r="CZ35" s="52"/>
      <c r="DA35" s="57">
        <f t="shared" si="22"/>
        <v>0</v>
      </c>
      <c r="DB35" s="55"/>
      <c r="DC35" s="55">
        <f t="shared" si="23"/>
        <v>0</v>
      </c>
      <c r="DD35" s="95"/>
      <c r="DF35" s="55" t="s">
        <v>6</v>
      </c>
      <c r="DG35" s="55">
        <v>27</v>
      </c>
      <c r="DH35" s="52"/>
      <c r="DI35" s="52"/>
      <c r="DJ35" s="52"/>
      <c r="DK35" s="52"/>
      <c r="DL35" s="52">
        <f t="shared" si="24"/>
        <v>0</v>
      </c>
      <c r="DM35" s="56"/>
      <c r="DN35" s="52"/>
      <c r="DO35" s="57">
        <f t="shared" si="25"/>
        <v>0</v>
      </c>
      <c r="DP35" s="55"/>
      <c r="DQ35" s="55">
        <f t="shared" si="26"/>
        <v>0</v>
      </c>
      <c r="DR35" s="95"/>
      <c r="DS35" s="55" t="s">
        <v>6</v>
      </c>
      <c r="DT35" s="55">
        <v>27</v>
      </c>
      <c r="DU35" s="52"/>
      <c r="DV35" s="52"/>
      <c r="DW35" s="52"/>
      <c r="DX35" s="52"/>
      <c r="DY35" s="52">
        <f t="shared" si="27"/>
        <v>0</v>
      </c>
      <c r="DZ35" s="56"/>
      <c r="EA35" s="52"/>
      <c r="EB35" s="57">
        <f t="shared" si="28"/>
        <v>0</v>
      </c>
      <c r="EC35" s="55"/>
      <c r="ED35" s="55">
        <f t="shared" si="29"/>
        <v>0</v>
      </c>
      <c r="EE35" s="95"/>
      <c r="EG35" s="55" t="s">
        <v>6</v>
      </c>
      <c r="EH35" s="55">
        <v>27</v>
      </c>
      <c r="EI35" s="52"/>
      <c r="EJ35" s="52"/>
      <c r="EK35" s="52"/>
      <c r="EL35" s="52"/>
      <c r="EM35" s="52">
        <f t="shared" si="30"/>
        <v>0</v>
      </c>
      <c r="EN35" s="56"/>
      <c r="EO35" s="52"/>
      <c r="EP35" s="57">
        <f t="shared" si="31"/>
        <v>0</v>
      </c>
      <c r="EQ35" s="55"/>
      <c r="ER35" s="55">
        <f t="shared" si="32"/>
        <v>0</v>
      </c>
      <c r="ES35" s="95"/>
      <c r="ET35" s="55" t="s">
        <v>6</v>
      </c>
      <c r="EU35" s="55">
        <v>27</v>
      </c>
      <c r="EV35" s="52"/>
      <c r="EW35" s="52"/>
      <c r="EX35" s="52"/>
      <c r="EY35" s="52"/>
      <c r="EZ35" s="52">
        <f t="shared" si="33"/>
        <v>0</v>
      </c>
      <c r="FA35" s="56"/>
      <c r="FB35" s="52"/>
      <c r="FC35" s="57">
        <f t="shared" si="34"/>
        <v>0</v>
      </c>
      <c r="FD35" s="55"/>
      <c r="FE35" s="55">
        <f t="shared" si="35"/>
        <v>0</v>
      </c>
      <c r="FF35" s="95"/>
      <c r="FH35" s="55" t="s">
        <v>6</v>
      </c>
      <c r="FI35" s="55">
        <v>27</v>
      </c>
      <c r="FJ35" s="52"/>
      <c r="FK35" s="52"/>
      <c r="FL35" s="52"/>
      <c r="FM35" s="52"/>
      <c r="FN35" s="52">
        <f t="shared" si="36"/>
        <v>0</v>
      </c>
      <c r="FO35" s="56"/>
      <c r="FP35" s="52"/>
      <c r="FQ35" s="57">
        <f t="shared" si="37"/>
        <v>0</v>
      </c>
      <c r="FR35" s="55"/>
      <c r="FS35" s="55">
        <f t="shared" si="38"/>
        <v>0</v>
      </c>
      <c r="FT35" s="95"/>
      <c r="FU35" s="55" t="s">
        <v>6</v>
      </c>
      <c r="FV35" s="55">
        <v>27</v>
      </c>
      <c r="FW35" s="52"/>
      <c r="FX35" s="52"/>
      <c r="FY35" s="52"/>
      <c r="FZ35" s="52"/>
      <c r="GA35" s="52">
        <f t="shared" si="39"/>
        <v>0</v>
      </c>
      <c r="GB35" s="56"/>
      <c r="GC35" s="52"/>
      <c r="GD35" s="57">
        <f t="shared" si="40"/>
        <v>0</v>
      </c>
      <c r="GE35" s="55"/>
      <c r="GF35" s="55">
        <f t="shared" si="41"/>
        <v>0</v>
      </c>
      <c r="GG35" s="95"/>
      <c r="GI35" s="55" t="s">
        <v>6</v>
      </c>
      <c r="GJ35" s="55">
        <v>27</v>
      </c>
      <c r="GK35" s="52"/>
      <c r="GL35" s="52"/>
      <c r="GM35" s="52">
        <v>13.3</v>
      </c>
      <c r="GN35" s="52">
        <v>15.69</v>
      </c>
      <c r="GO35" s="52">
        <f t="shared" si="42"/>
        <v>2.3899999999999988</v>
      </c>
      <c r="GP35" s="56"/>
      <c r="GQ35" s="52"/>
      <c r="GR35" s="57">
        <f t="shared" si="43"/>
        <v>2.3899999999999988</v>
      </c>
      <c r="GS35" s="55">
        <v>2</v>
      </c>
      <c r="GT35" s="55">
        <f t="shared" si="44"/>
        <v>38.999999999999879</v>
      </c>
      <c r="GU35" s="95"/>
      <c r="GV35" s="55" t="s">
        <v>6</v>
      </c>
      <c r="GW35" s="55">
        <v>27</v>
      </c>
      <c r="GX35" s="52"/>
      <c r="GY35" s="52"/>
      <c r="GZ35" s="52"/>
      <c r="HA35" s="52"/>
      <c r="HB35" s="52">
        <f t="shared" si="45"/>
        <v>0</v>
      </c>
      <c r="HC35" s="56"/>
      <c r="HD35" s="52"/>
      <c r="HE35" s="57">
        <f t="shared" si="46"/>
        <v>0</v>
      </c>
      <c r="HF35" s="55"/>
      <c r="HG35" s="55">
        <f t="shared" si="47"/>
        <v>0</v>
      </c>
      <c r="HH35" s="95"/>
      <c r="HJ35" s="55" t="s">
        <v>6</v>
      </c>
      <c r="HK35" s="55">
        <v>27</v>
      </c>
      <c r="HL35" s="52"/>
      <c r="HM35" s="52"/>
      <c r="HN35" s="52"/>
      <c r="HO35" s="52"/>
      <c r="HP35" s="52">
        <f t="shared" si="48"/>
        <v>0</v>
      </c>
      <c r="HQ35" s="56"/>
      <c r="HR35" s="52"/>
      <c r="HS35" s="57">
        <f t="shared" si="49"/>
        <v>0</v>
      </c>
      <c r="HT35" s="55"/>
      <c r="HU35" s="55">
        <f t="shared" si="50"/>
        <v>0</v>
      </c>
      <c r="HV35" s="95"/>
      <c r="HW35" s="55" t="s">
        <v>6</v>
      </c>
      <c r="HX35" s="55">
        <v>27</v>
      </c>
      <c r="HY35" s="52"/>
      <c r="HZ35" s="52"/>
      <c r="IA35" s="52"/>
      <c r="IB35" s="52"/>
      <c r="IC35" s="52">
        <f t="shared" si="51"/>
        <v>0</v>
      </c>
      <c r="ID35" s="56"/>
      <c r="IE35" s="52"/>
      <c r="IF35" s="57">
        <f t="shared" si="52"/>
        <v>0</v>
      </c>
      <c r="IG35" s="55"/>
      <c r="IH35" s="55">
        <f t="shared" si="53"/>
        <v>0</v>
      </c>
      <c r="II35" s="95"/>
      <c r="IJ35" s="1"/>
      <c r="IK35" s="55" t="s">
        <v>6</v>
      </c>
      <c r="IL35" s="55">
        <v>27</v>
      </c>
      <c r="IM35" s="52"/>
      <c r="IN35" s="52"/>
      <c r="IO35" s="52"/>
      <c r="IP35" s="52"/>
      <c r="IQ35" s="52">
        <f t="shared" si="54"/>
        <v>0</v>
      </c>
      <c r="IR35" s="56"/>
      <c r="IS35" s="52"/>
      <c r="IT35" s="57">
        <f t="shared" si="55"/>
        <v>0</v>
      </c>
      <c r="IU35" s="55"/>
      <c r="IV35" s="55">
        <f t="shared" si="56"/>
        <v>0</v>
      </c>
      <c r="IW35" s="95"/>
      <c r="IX35" s="55" t="s">
        <v>6</v>
      </c>
      <c r="IY35" s="55">
        <v>27</v>
      </c>
      <c r="IZ35" s="52"/>
      <c r="JA35" s="52"/>
      <c r="JB35" s="52"/>
      <c r="JC35" s="52"/>
      <c r="JD35" s="52">
        <f t="shared" si="57"/>
        <v>0</v>
      </c>
      <c r="JE35" s="56"/>
      <c r="JF35" s="52"/>
      <c r="JG35" s="57">
        <f t="shared" si="58"/>
        <v>0</v>
      </c>
      <c r="JH35" s="55"/>
      <c r="JI35" s="55">
        <f t="shared" si="59"/>
        <v>0</v>
      </c>
      <c r="JJ35" s="95"/>
    </row>
    <row r="36" spans="1:270" ht="17.149999999999999" customHeight="1" x14ac:dyDescent="0.35">
      <c r="A36" s="86" t="s">
        <v>1</v>
      </c>
      <c r="B36" s="86">
        <v>28</v>
      </c>
      <c r="C36" s="58">
        <v>10.1</v>
      </c>
      <c r="D36" s="96"/>
      <c r="E36" s="96"/>
      <c r="F36" s="53">
        <v>22.71</v>
      </c>
      <c r="G36" s="58">
        <f t="shared" si="0"/>
        <v>12.610000000000001</v>
      </c>
      <c r="H36" s="97">
        <v>7.3</v>
      </c>
      <c r="I36" s="58">
        <v>1</v>
      </c>
      <c r="J36" s="59">
        <f t="shared" si="1"/>
        <v>4.3100000000000014</v>
      </c>
      <c r="K36" s="86">
        <v>4</v>
      </c>
      <c r="L36" s="86">
        <f t="shared" si="2"/>
        <v>31.000000000000139</v>
      </c>
      <c r="M36" s="98"/>
      <c r="O36" s="86" t="s">
        <v>1</v>
      </c>
      <c r="P36" s="86">
        <v>28</v>
      </c>
      <c r="Q36" s="58">
        <v>11.1</v>
      </c>
      <c r="R36" s="96"/>
      <c r="S36" s="96"/>
      <c r="T36" s="53">
        <v>22.71</v>
      </c>
      <c r="U36" s="58">
        <f t="shared" si="3"/>
        <v>11.610000000000001</v>
      </c>
      <c r="V36" s="97">
        <v>7.3</v>
      </c>
      <c r="W36" s="58">
        <v>1</v>
      </c>
      <c r="X36" s="59">
        <f t="shared" si="4"/>
        <v>3.3100000000000014</v>
      </c>
      <c r="Y36" s="86">
        <v>3</v>
      </c>
      <c r="Z36" s="86">
        <f t="shared" si="5"/>
        <v>31.000000000000139</v>
      </c>
      <c r="AA36" s="98"/>
      <c r="AC36" s="86" t="s">
        <v>1</v>
      </c>
      <c r="AD36" s="86">
        <v>28</v>
      </c>
      <c r="AE36" s="58">
        <v>11.1</v>
      </c>
      <c r="AF36" s="96"/>
      <c r="AG36" s="96"/>
      <c r="AH36" s="53">
        <v>22.71</v>
      </c>
      <c r="AI36" s="58">
        <f t="shared" si="6"/>
        <v>11.610000000000001</v>
      </c>
      <c r="AJ36" s="97">
        <v>7.3</v>
      </c>
      <c r="AK36" s="58">
        <v>1</v>
      </c>
      <c r="AL36" s="59">
        <f t="shared" si="7"/>
        <v>3.3100000000000014</v>
      </c>
      <c r="AM36" s="86">
        <v>3</v>
      </c>
      <c r="AN36" s="86">
        <f t="shared" si="8"/>
        <v>31.000000000000139</v>
      </c>
      <c r="AO36" s="98"/>
      <c r="AP36" s="86" t="s">
        <v>1</v>
      </c>
      <c r="AQ36" s="86">
        <v>28</v>
      </c>
      <c r="AR36" s="58">
        <v>10.35</v>
      </c>
      <c r="AS36" s="96"/>
      <c r="AT36" s="96"/>
      <c r="AU36" s="53">
        <v>22.71</v>
      </c>
      <c r="AV36" s="58">
        <f t="shared" si="9"/>
        <v>12.360000000000001</v>
      </c>
      <c r="AW36" s="97">
        <v>7.3</v>
      </c>
      <c r="AX36" s="58">
        <v>1</v>
      </c>
      <c r="AY36" s="59">
        <f t="shared" si="10"/>
        <v>4.0600000000000014</v>
      </c>
      <c r="AZ36" s="86">
        <v>4</v>
      </c>
      <c r="BA36" s="86">
        <f t="shared" si="11"/>
        <v>6.0000000000001386</v>
      </c>
      <c r="BB36" s="98"/>
      <c r="BD36" s="86" t="s">
        <v>1</v>
      </c>
      <c r="BE36" s="86">
        <v>28</v>
      </c>
      <c r="BF36" s="58">
        <v>10.35</v>
      </c>
      <c r="BG36" s="96"/>
      <c r="BH36" s="96"/>
      <c r="BI36" s="53">
        <v>22.71</v>
      </c>
      <c r="BJ36" s="58">
        <f t="shared" si="12"/>
        <v>12.360000000000001</v>
      </c>
      <c r="BK36" s="97">
        <v>7.3</v>
      </c>
      <c r="BL36" s="58">
        <v>1</v>
      </c>
      <c r="BM36" s="59">
        <f t="shared" si="13"/>
        <v>4.0600000000000014</v>
      </c>
      <c r="BN36" s="86">
        <v>4</v>
      </c>
      <c r="BO36" s="86">
        <f t="shared" si="14"/>
        <v>6.0000000000001386</v>
      </c>
      <c r="BP36" s="98"/>
      <c r="BQ36" s="86" t="s">
        <v>1</v>
      </c>
      <c r="BR36" s="86">
        <v>28</v>
      </c>
      <c r="BS36" s="58">
        <v>11.15</v>
      </c>
      <c r="BT36" s="96"/>
      <c r="BU36" s="96"/>
      <c r="BV36" s="53">
        <v>22.71</v>
      </c>
      <c r="BW36" s="58">
        <f t="shared" si="15"/>
        <v>11.56</v>
      </c>
      <c r="BX36" s="97">
        <v>7.3</v>
      </c>
      <c r="BY36" s="58">
        <v>1</v>
      </c>
      <c r="BZ36" s="59">
        <f t="shared" si="16"/>
        <v>3.2600000000000007</v>
      </c>
      <c r="CA36" s="86">
        <v>3</v>
      </c>
      <c r="CB36" s="86">
        <f t="shared" si="17"/>
        <v>26.000000000000068</v>
      </c>
      <c r="CC36" s="98"/>
      <c r="CE36" s="86" t="s">
        <v>1</v>
      </c>
      <c r="CF36" s="86">
        <v>28</v>
      </c>
      <c r="CG36" s="58">
        <v>11.1</v>
      </c>
      <c r="CH36" s="96"/>
      <c r="CI36" s="96"/>
      <c r="CJ36" s="53">
        <v>22.71</v>
      </c>
      <c r="CK36" s="58">
        <f t="shared" si="18"/>
        <v>11.610000000000001</v>
      </c>
      <c r="CL36" s="97">
        <v>7.3</v>
      </c>
      <c r="CM36" s="58">
        <v>1</v>
      </c>
      <c r="CN36" s="59">
        <f t="shared" si="19"/>
        <v>3.3100000000000014</v>
      </c>
      <c r="CO36" s="86">
        <v>3</v>
      </c>
      <c r="CP36" s="86">
        <f t="shared" si="20"/>
        <v>31.000000000000139</v>
      </c>
      <c r="CQ36" s="98"/>
      <c r="CR36" s="86" t="s">
        <v>1</v>
      </c>
      <c r="CS36" s="86">
        <v>28</v>
      </c>
      <c r="CT36" s="58">
        <v>11.1</v>
      </c>
      <c r="CU36" s="96"/>
      <c r="CV36" s="96"/>
      <c r="CW36" s="53">
        <v>22.71</v>
      </c>
      <c r="CX36" s="58">
        <f t="shared" si="21"/>
        <v>11.610000000000001</v>
      </c>
      <c r="CY36" s="97">
        <v>7.3</v>
      </c>
      <c r="CZ36" s="58">
        <v>1</v>
      </c>
      <c r="DA36" s="59">
        <f t="shared" si="22"/>
        <v>3.3100000000000014</v>
      </c>
      <c r="DB36" s="86">
        <v>3</v>
      </c>
      <c r="DC36" s="86">
        <f t="shared" si="23"/>
        <v>31.000000000000139</v>
      </c>
      <c r="DD36" s="98"/>
      <c r="DF36" s="86" t="s">
        <v>1</v>
      </c>
      <c r="DG36" s="86">
        <v>28</v>
      </c>
      <c r="DH36" s="58">
        <v>11.1</v>
      </c>
      <c r="DI36" s="96"/>
      <c r="DJ36" s="96"/>
      <c r="DK36" s="53">
        <v>22.71</v>
      </c>
      <c r="DL36" s="58">
        <f t="shared" si="24"/>
        <v>11.610000000000001</v>
      </c>
      <c r="DM36" s="97">
        <v>7.3</v>
      </c>
      <c r="DN36" s="58">
        <v>1</v>
      </c>
      <c r="DO36" s="59">
        <f t="shared" si="25"/>
        <v>3.3100000000000014</v>
      </c>
      <c r="DP36" s="86">
        <v>3</v>
      </c>
      <c r="DQ36" s="86">
        <f t="shared" si="26"/>
        <v>31.000000000000139</v>
      </c>
      <c r="DR36" s="98"/>
      <c r="DS36" s="86" t="s">
        <v>1</v>
      </c>
      <c r="DT36" s="86">
        <v>28</v>
      </c>
      <c r="DU36" s="58">
        <v>11.15</v>
      </c>
      <c r="DV36" s="96"/>
      <c r="DW36" s="96"/>
      <c r="DX36" s="53">
        <v>22.71</v>
      </c>
      <c r="DY36" s="58">
        <f t="shared" si="27"/>
        <v>11.56</v>
      </c>
      <c r="DZ36" s="97">
        <v>7.3</v>
      </c>
      <c r="EA36" s="58">
        <v>1</v>
      </c>
      <c r="EB36" s="59">
        <f t="shared" si="28"/>
        <v>3.2600000000000007</v>
      </c>
      <c r="EC36" s="86">
        <v>3</v>
      </c>
      <c r="ED36" s="86">
        <f t="shared" si="29"/>
        <v>26.000000000000068</v>
      </c>
      <c r="EE36" s="98"/>
      <c r="EG36" s="86" t="s">
        <v>1</v>
      </c>
      <c r="EH36" s="86">
        <v>28</v>
      </c>
      <c r="EI36" s="58">
        <v>11.1</v>
      </c>
      <c r="EJ36" s="96"/>
      <c r="EK36" s="96"/>
      <c r="EL36" s="53">
        <v>22.71</v>
      </c>
      <c r="EM36" s="58">
        <f t="shared" si="30"/>
        <v>11.610000000000001</v>
      </c>
      <c r="EN36" s="97">
        <v>7.3</v>
      </c>
      <c r="EO36" s="58">
        <v>1</v>
      </c>
      <c r="EP36" s="59">
        <f t="shared" si="31"/>
        <v>3.3100000000000014</v>
      </c>
      <c r="EQ36" s="86">
        <v>3</v>
      </c>
      <c r="ER36" s="86">
        <f t="shared" si="32"/>
        <v>31.000000000000139</v>
      </c>
      <c r="ES36" s="98"/>
      <c r="ET36" s="86" t="s">
        <v>1</v>
      </c>
      <c r="EU36" s="86">
        <v>28</v>
      </c>
      <c r="EV36" s="58">
        <v>11.1</v>
      </c>
      <c r="EW36" s="96"/>
      <c r="EX36" s="96"/>
      <c r="EY36" s="53">
        <v>22.71</v>
      </c>
      <c r="EZ36" s="58">
        <f t="shared" si="33"/>
        <v>11.610000000000001</v>
      </c>
      <c r="FA36" s="97">
        <v>7.3</v>
      </c>
      <c r="FB36" s="58">
        <v>1</v>
      </c>
      <c r="FC36" s="59">
        <f t="shared" si="34"/>
        <v>3.3100000000000014</v>
      </c>
      <c r="FD36" s="86">
        <v>3</v>
      </c>
      <c r="FE36" s="86">
        <f t="shared" si="35"/>
        <v>31.000000000000139</v>
      </c>
      <c r="FF36" s="98"/>
      <c r="FH36" s="86" t="s">
        <v>1</v>
      </c>
      <c r="FI36" s="86">
        <v>28</v>
      </c>
      <c r="FJ36" s="58">
        <v>11.1</v>
      </c>
      <c r="FK36" s="96"/>
      <c r="FL36" s="96"/>
      <c r="FM36" s="53">
        <v>22.71</v>
      </c>
      <c r="FN36" s="58">
        <f t="shared" si="36"/>
        <v>11.610000000000001</v>
      </c>
      <c r="FO36" s="97">
        <v>7.3</v>
      </c>
      <c r="FP36" s="58">
        <v>1</v>
      </c>
      <c r="FQ36" s="59">
        <f t="shared" si="37"/>
        <v>3.3100000000000014</v>
      </c>
      <c r="FR36" s="86">
        <v>3</v>
      </c>
      <c r="FS36" s="86">
        <f t="shared" si="38"/>
        <v>31.000000000000139</v>
      </c>
      <c r="FT36" s="98"/>
      <c r="FU36" s="86" t="s">
        <v>1</v>
      </c>
      <c r="FV36" s="86">
        <v>28</v>
      </c>
      <c r="FW36" s="58">
        <v>11.15</v>
      </c>
      <c r="FX36" s="96"/>
      <c r="FY36" s="96"/>
      <c r="FZ36" s="53">
        <v>22.71</v>
      </c>
      <c r="GA36" s="58">
        <f t="shared" si="39"/>
        <v>11.56</v>
      </c>
      <c r="GB36" s="97">
        <v>7.3</v>
      </c>
      <c r="GC36" s="58">
        <v>1</v>
      </c>
      <c r="GD36" s="59">
        <f t="shared" si="40"/>
        <v>3.2600000000000007</v>
      </c>
      <c r="GE36" s="86">
        <v>3</v>
      </c>
      <c r="GF36" s="86">
        <f t="shared" si="41"/>
        <v>26.000000000000068</v>
      </c>
      <c r="GG36" s="98"/>
      <c r="GI36" s="86" t="s">
        <v>1</v>
      </c>
      <c r="GJ36" s="86">
        <v>28</v>
      </c>
      <c r="GK36" s="58">
        <v>11.1</v>
      </c>
      <c r="GL36" s="96"/>
      <c r="GM36" s="96"/>
      <c r="GN36" s="53">
        <v>22.71</v>
      </c>
      <c r="GO36" s="58">
        <f t="shared" si="42"/>
        <v>11.610000000000001</v>
      </c>
      <c r="GP36" s="97">
        <v>7.3</v>
      </c>
      <c r="GQ36" s="58">
        <v>1</v>
      </c>
      <c r="GR36" s="59">
        <f t="shared" si="43"/>
        <v>3.3100000000000014</v>
      </c>
      <c r="GS36" s="86">
        <v>3</v>
      </c>
      <c r="GT36" s="86">
        <f t="shared" si="44"/>
        <v>31.000000000000139</v>
      </c>
      <c r="GU36" s="98"/>
      <c r="GV36" s="86" t="s">
        <v>1</v>
      </c>
      <c r="GW36" s="86">
        <v>28</v>
      </c>
      <c r="GX36" s="58">
        <v>11.1</v>
      </c>
      <c r="GY36" s="96"/>
      <c r="GZ36" s="96"/>
      <c r="HA36" s="53">
        <v>22.71</v>
      </c>
      <c r="HB36" s="58">
        <f t="shared" si="45"/>
        <v>11.610000000000001</v>
      </c>
      <c r="HC36" s="97">
        <v>7.3</v>
      </c>
      <c r="HD36" s="58">
        <v>1</v>
      </c>
      <c r="HE36" s="59">
        <f t="shared" si="46"/>
        <v>3.3100000000000014</v>
      </c>
      <c r="HF36" s="86">
        <v>3</v>
      </c>
      <c r="HG36" s="86">
        <f t="shared" si="47"/>
        <v>31.000000000000139</v>
      </c>
      <c r="HH36" s="98"/>
      <c r="HJ36" s="86" t="s">
        <v>1</v>
      </c>
      <c r="HK36" s="86">
        <v>28</v>
      </c>
      <c r="HL36" s="58">
        <v>11.1</v>
      </c>
      <c r="HM36" s="96"/>
      <c r="HN36" s="96"/>
      <c r="HO36" s="53">
        <v>22.71</v>
      </c>
      <c r="HP36" s="58">
        <f t="shared" si="48"/>
        <v>11.610000000000001</v>
      </c>
      <c r="HQ36" s="97">
        <v>7.3</v>
      </c>
      <c r="HR36" s="58">
        <v>1</v>
      </c>
      <c r="HS36" s="59">
        <f t="shared" si="49"/>
        <v>3.3100000000000014</v>
      </c>
      <c r="HT36" s="86">
        <v>3</v>
      </c>
      <c r="HU36" s="86">
        <f t="shared" si="50"/>
        <v>31.000000000000139</v>
      </c>
      <c r="HV36" s="98"/>
      <c r="HW36" s="86" t="s">
        <v>1</v>
      </c>
      <c r="HX36" s="86">
        <v>28</v>
      </c>
      <c r="HY36" s="58">
        <v>11.1</v>
      </c>
      <c r="HZ36" s="96"/>
      <c r="IA36" s="96"/>
      <c r="IB36" s="53">
        <v>22.71</v>
      </c>
      <c r="IC36" s="58">
        <f t="shared" si="51"/>
        <v>11.610000000000001</v>
      </c>
      <c r="ID36" s="97">
        <v>7.3</v>
      </c>
      <c r="IE36" s="58">
        <v>1</v>
      </c>
      <c r="IF36" s="59">
        <f t="shared" si="52"/>
        <v>3.3100000000000014</v>
      </c>
      <c r="IG36" s="86">
        <v>3</v>
      </c>
      <c r="IH36" s="86">
        <f t="shared" si="53"/>
        <v>31.000000000000139</v>
      </c>
      <c r="II36" s="98"/>
      <c r="IK36" s="86" t="s">
        <v>1</v>
      </c>
      <c r="IL36" s="86">
        <v>28</v>
      </c>
      <c r="IM36" s="58">
        <v>11.25</v>
      </c>
      <c r="IN36" s="96"/>
      <c r="IO36" s="96"/>
      <c r="IP36" s="53">
        <v>22.71</v>
      </c>
      <c r="IQ36" s="58">
        <f t="shared" si="54"/>
        <v>11.46</v>
      </c>
      <c r="IR36" s="97">
        <v>7.3</v>
      </c>
      <c r="IS36" s="58">
        <v>1</v>
      </c>
      <c r="IT36" s="59">
        <f t="shared" si="55"/>
        <v>3.160000000000001</v>
      </c>
      <c r="IU36" s="86">
        <v>3</v>
      </c>
      <c r="IV36" s="86">
        <f t="shared" si="56"/>
        <v>16.000000000000103</v>
      </c>
      <c r="IW36" s="98"/>
      <c r="IX36" s="86" t="s">
        <v>1</v>
      </c>
      <c r="IY36" s="86">
        <v>28</v>
      </c>
      <c r="IZ36" s="58">
        <v>11.1</v>
      </c>
      <c r="JA36" s="96"/>
      <c r="JB36" s="96"/>
      <c r="JC36" s="53">
        <v>22.71</v>
      </c>
      <c r="JD36" s="58">
        <f t="shared" si="57"/>
        <v>11.610000000000001</v>
      </c>
      <c r="JE36" s="97">
        <v>7.3</v>
      </c>
      <c r="JF36" s="58">
        <v>1</v>
      </c>
      <c r="JG36" s="59">
        <f t="shared" si="58"/>
        <v>3.3100000000000014</v>
      </c>
      <c r="JH36" s="86">
        <v>3</v>
      </c>
      <c r="JI36" s="86">
        <f t="shared" si="59"/>
        <v>31.000000000000139</v>
      </c>
      <c r="JJ36" s="98"/>
    </row>
    <row r="37" spans="1:270" ht="17.149999999999999" customHeight="1" x14ac:dyDescent="0.35">
      <c r="A37" s="86" t="s">
        <v>216</v>
      </c>
      <c r="B37" s="86">
        <v>29</v>
      </c>
      <c r="C37" s="58">
        <v>10.1</v>
      </c>
      <c r="D37" s="96"/>
      <c r="E37" s="96"/>
      <c r="F37" s="53">
        <v>22.67</v>
      </c>
      <c r="G37" s="58">
        <f t="shared" si="0"/>
        <v>12.570000000000002</v>
      </c>
      <c r="H37" s="97">
        <v>7.3</v>
      </c>
      <c r="I37" s="58">
        <v>1</v>
      </c>
      <c r="J37" s="59">
        <f t="shared" si="1"/>
        <v>4.2700000000000022</v>
      </c>
      <c r="K37" s="86">
        <v>4</v>
      </c>
      <c r="L37" s="86">
        <f t="shared" si="2"/>
        <v>27.000000000000224</v>
      </c>
      <c r="M37" s="98"/>
      <c r="O37" s="86" t="s">
        <v>216</v>
      </c>
      <c r="P37" s="86">
        <v>29</v>
      </c>
      <c r="Q37" s="58">
        <v>11.1</v>
      </c>
      <c r="R37" s="96"/>
      <c r="S37" s="96"/>
      <c r="T37" s="53">
        <v>22.67</v>
      </c>
      <c r="U37" s="58">
        <f t="shared" si="3"/>
        <v>11.570000000000002</v>
      </c>
      <c r="V37" s="97">
        <v>7.3</v>
      </c>
      <c r="W37" s="58">
        <v>1</v>
      </c>
      <c r="X37" s="59">
        <f t="shared" si="4"/>
        <v>3.2700000000000022</v>
      </c>
      <c r="Y37" s="86">
        <v>3</v>
      </c>
      <c r="Z37" s="86">
        <f t="shared" si="5"/>
        <v>27.000000000000224</v>
      </c>
      <c r="AA37" s="98"/>
      <c r="AC37" s="86" t="s">
        <v>216</v>
      </c>
      <c r="AD37" s="86">
        <v>29</v>
      </c>
      <c r="AE37" s="58">
        <v>11.1</v>
      </c>
      <c r="AF37" s="96"/>
      <c r="AG37" s="96"/>
      <c r="AH37" s="53">
        <v>22.67</v>
      </c>
      <c r="AI37" s="58">
        <f t="shared" si="6"/>
        <v>11.570000000000002</v>
      </c>
      <c r="AJ37" s="97">
        <v>7.3</v>
      </c>
      <c r="AK37" s="58">
        <v>1</v>
      </c>
      <c r="AL37" s="59">
        <f t="shared" si="7"/>
        <v>3.2700000000000022</v>
      </c>
      <c r="AM37" s="86">
        <v>3</v>
      </c>
      <c r="AN37" s="86">
        <f t="shared" si="8"/>
        <v>27.000000000000224</v>
      </c>
      <c r="AO37" s="98"/>
      <c r="AP37" s="86" t="s">
        <v>216</v>
      </c>
      <c r="AQ37" s="86">
        <v>29</v>
      </c>
      <c r="AR37" s="58">
        <v>10.35</v>
      </c>
      <c r="AS37" s="96"/>
      <c r="AT37" s="96"/>
      <c r="AU37" s="53">
        <v>22.67</v>
      </c>
      <c r="AV37" s="58">
        <f t="shared" si="9"/>
        <v>12.320000000000002</v>
      </c>
      <c r="AW37" s="97">
        <v>7.3</v>
      </c>
      <c r="AX37" s="58">
        <v>1</v>
      </c>
      <c r="AY37" s="59">
        <f t="shared" si="10"/>
        <v>4.0200000000000022</v>
      </c>
      <c r="AZ37" s="86">
        <v>4</v>
      </c>
      <c r="BA37" s="86">
        <f t="shared" si="11"/>
        <v>2.0000000000002238</v>
      </c>
      <c r="BB37" s="98"/>
      <c r="BD37" s="86" t="s">
        <v>216</v>
      </c>
      <c r="BE37" s="86">
        <v>29</v>
      </c>
      <c r="BF37" s="58">
        <v>10.35</v>
      </c>
      <c r="BG37" s="96"/>
      <c r="BH37" s="96"/>
      <c r="BI37" s="53">
        <v>22.67</v>
      </c>
      <c r="BJ37" s="58">
        <f t="shared" si="12"/>
        <v>12.320000000000002</v>
      </c>
      <c r="BK37" s="97">
        <v>7.3</v>
      </c>
      <c r="BL37" s="58">
        <v>1</v>
      </c>
      <c r="BM37" s="59">
        <f t="shared" si="13"/>
        <v>4.0200000000000022</v>
      </c>
      <c r="BN37" s="86">
        <v>4</v>
      </c>
      <c r="BO37" s="86">
        <f t="shared" si="14"/>
        <v>2.0000000000002238</v>
      </c>
      <c r="BP37" s="98"/>
      <c r="BQ37" s="86" t="s">
        <v>216</v>
      </c>
      <c r="BR37" s="86">
        <v>29</v>
      </c>
      <c r="BS37" s="58">
        <v>11.15</v>
      </c>
      <c r="BT37" s="96"/>
      <c r="BU37" s="96"/>
      <c r="BV37" s="53">
        <v>22.67</v>
      </c>
      <c r="BW37" s="58">
        <f t="shared" si="15"/>
        <v>11.520000000000001</v>
      </c>
      <c r="BX37" s="97">
        <v>7.3</v>
      </c>
      <c r="BY37" s="58">
        <v>1</v>
      </c>
      <c r="BZ37" s="59">
        <f t="shared" si="16"/>
        <v>3.2200000000000015</v>
      </c>
      <c r="CA37" s="86">
        <v>3</v>
      </c>
      <c r="CB37" s="86">
        <f t="shared" si="17"/>
        <v>22.000000000000153</v>
      </c>
      <c r="CC37" s="98"/>
      <c r="CE37" s="86" t="s">
        <v>216</v>
      </c>
      <c r="CF37" s="86">
        <v>29</v>
      </c>
      <c r="CG37" s="58">
        <v>11.1</v>
      </c>
      <c r="CH37" s="96"/>
      <c r="CI37" s="96"/>
      <c r="CJ37" s="53">
        <v>22.67</v>
      </c>
      <c r="CK37" s="58">
        <f t="shared" si="18"/>
        <v>11.570000000000002</v>
      </c>
      <c r="CL37" s="97">
        <v>7.3</v>
      </c>
      <c r="CM37" s="58">
        <v>1</v>
      </c>
      <c r="CN37" s="59">
        <f t="shared" si="19"/>
        <v>3.2700000000000022</v>
      </c>
      <c r="CO37" s="86">
        <v>3</v>
      </c>
      <c r="CP37" s="86">
        <f t="shared" si="20"/>
        <v>27.000000000000224</v>
      </c>
      <c r="CQ37" s="98"/>
      <c r="CR37" s="86" t="s">
        <v>216</v>
      </c>
      <c r="CS37" s="86">
        <v>29</v>
      </c>
      <c r="CT37" s="58">
        <v>11.1</v>
      </c>
      <c r="CU37" s="96"/>
      <c r="CV37" s="96"/>
      <c r="CW37" s="53">
        <v>22.67</v>
      </c>
      <c r="CX37" s="58">
        <f t="shared" si="21"/>
        <v>11.570000000000002</v>
      </c>
      <c r="CY37" s="97">
        <v>7.3</v>
      </c>
      <c r="CZ37" s="58">
        <v>1</v>
      </c>
      <c r="DA37" s="59">
        <f t="shared" si="22"/>
        <v>3.2700000000000022</v>
      </c>
      <c r="DB37" s="86">
        <v>3</v>
      </c>
      <c r="DC37" s="86">
        <f t="shared" si="23"/>
        <v>27.000000000000224</v>
      </c>
      <c r="DD37" s="98"/>
      <c r="DF37" s="86" t="s">
        <v>216</v>
      </c>
      <c r="DG37" s="86">
        <v>29</v>
      </c>
      <c r="DH37" s="58">
        <v>11.1</v>
      </c>
      <c r="DI37" s="96"/>
      <c r="DJ37" s="96"/>
      <c r="DK37" s="53">
        <v>22.67</v>
      </c>
      <c r="DL37" s="58">
        <f t="shared" si="24"/>
        <v>11.570000000000002</v>
      </c>
      <c r="DM37" s="97">
        <v>7.3</v>
      </c>
      <c r="DN37" s="58">
        <v>1</v>
      </c>
      <c r="DO37" s="59">
        <f t="shared" si="25"/>
        <v>3.2700000000000022</v>
      </c>
      <c r="DP37" s="86">
        <v>3</v>
      </c>
      <c r="DQ37" s="86">
        <f t="shared" si="26"/>
        <v>27.000000000000224</v>
      </c>
      <c r="DR37" s="98"/>
      <c r="DS37" s="86" t="s">
        <v>216</v>
      </c>
      <c r="DT37" s="86">
        <v>29</v>
      </c>
      <c r="DU37" s="58">
        <v>11.15</v>
      </c>
      <c r="DV37" s="96"/>
      <c r="DW37" s="96"/>
      <c r="DX37" s="53">
        <v>22.67</v>
      </c>
      <c r="DY37" s="58">
        <f t="shared" si="27"/>
        <v>11.520000000000001</v>
      </c>
      <c r="DZ37" s="97">
        <v>7.3</v>
      </c>
      <c r="EA37" s="58">
        <v>1</v>
      </c>
      <c r="EB37" s="59">
        <f t="shared" si="28"/>
        <v>3.2200000000000015</v>
      </c>
      <c r="EC37" s="86">
        <v>3</v>
      </c>
      <c r="ED37" s="86">
        <f t="shared" si="29"/>
        <v>22.000000000000153</v>
      </c>
      <c r="EE37" s="98"/>
      <c r="EG37" s="86" t="s">
        <v>216</v>
      </c>
      <c r="EH37" s="86">
        <v>29</v>
      </c>
      <c r="EI37" s="58">
        <v>11.1</v>
      </c>
      <c r="EJ37" s="96"/>
      <c r="EK37" s="96"/>
      <c r="EL37" s="53">
        <v>22.67</v>
      </c>
      <c r="EM37" s="58">
        <f t="shared" si="30"/>
        <v>11.570000000000002</v>
      </c>
      <c r="EN37" s="97">
        <v>7.3</v>
      </c>
      <c r="EO37" s="58">
        <v>1</v>
      </c>
      <c r="EP37" s="59">
        <f t="shared" si="31"/>
        <v>3.2700000000000022</v>
      </c>
      <c r="EQ37" s="86">
        <v>3</v>
      </c>
      <c r="ER37" s="86">
        <f t="shared" si="32"/>
        <v>27.000000000000224</v>
      </c>
      <c r="ES37" s="98"/>
      <c r="ET37" s="86" t="s">
        <v>216</v>
      </c>
      <c r="EU37" s="86">
        <v>29</v>
      </c>
      <c r="EV37" s="58">
        <v>11.1</v>
      </c>
      <c r="EW37" s="96"/>
      <c r="EX37" s="96"/>
      <c r="EY37" s="53">
        <v>22.67</v>
      </c>
      <c r="EZ37" s="58">
        <f t="shared" si="33"/>
        <v>11.570000000000002</v>
      </c>
      <c r="FA37" s="97">
        <v>7.3</v>
      </c>
      <c r="FB37" s="58">
        <v>1</v>
      </c>
      <c r="FC37" s="59">
        <f t="shared" si="34"/>
        <v>3.2700000000000022</v>
      </c>
      <c r="FD37" s="86">
        <v>3</v>
      </c>
      <c r="FE37" s="86">
        <f t="shared" si="35"/>
        <v>27.000000000000224</v>
      </c>
      <c r="FF37" s="98"/>
      <c r="FH37" s="86" t="s">
        <v>216</v>
      </c>
      <c r="FI37" s="86">
        <v>29</v>
      </c>
      <c r="FJ37" s="58">
        <v>11.1</v>
      </c>
      <c r="FK37" s="96"/>
      <c r="FL37" s="96"/>
      <c r="FM37" s="53">
        <v>22.67</v>
      </c>
      <c r="FN37" s="58">
        <f t="shared" si="36"/>
        <v>11.570000000000002</v>
      </c>
      <c r="FO37" s="97">
        <v>7.3</v>
      </c>
      <c r="FP37" s="58">
        <v>1</v>
      </c>
      <c r="FQ37" s="59">
        <f t="shared" si="37"/>
        <v>3.2700000000000022</v>
      </c>
      <c r="FR37" s="86">
        <v>3</v>
      </c>
      <c r="FS37" s="86">
        <f t="shared" si="38"/>
        <v>27.000000000000224</v>
      </c>
      <c r="FT37" s="98"/>
      <c r="FU37" s="86" t="s">
        <v>216</v>
      </c>
      <c r="FV37" s="86">
        <v>29</v>
      </c>
      <c r="FW37" s="58">
        <v>11.15</v>
      </c>
      <c r="FX37" s="96"/>
      <c r="FY37" s="96"/>
      <c r="FZ37" s="53">
        <v>22.67</v>
      </c>
      <c r="GA37" s="58">
        <f t="shared" si="39"/>
        <v>11.520000000000001</v>
      </c>
      <c r="GB37" s="97">
        <v>7.3</v>
      </c>
      <c r="GC37" s="58">
        <v>1</v>
      </c>
      <c r="GD37" s="59">
        <f t="shared" si="40"/>
        <v>3.2200000000000015</v>
      </c>
      <c r="GE37" s="86">
        <v>3</v>
      </c>
      <c r="GF37" s="86">
        <f t="shared" si="41"/>
        <v>22.000000000000153</v>
      </c>
      <c r="GG37" s="98"/>
      <c r="GI37" s="86" t="s">
        <v>216</v>
      </c>
      <c r="GJ37" s="86">
        <v>29</v>
      </c>
      <c r="GK37" s="58">
        <v>11.1</v>
      </c>
      <c r="GL37" s="96"/>
      <c r="GM37" s="96"/>
      <c r="GN37" s="53">
        <v>22.67</v>
      </c>
      <c r="GO37" s="58">
        <f t="shared" si="42"/>
        <v>11.570000000000002</v>
      </c>
      <c r="GP37" s="97">
        <v>7.3</v>
      </c>
      <c r="GQ37" s="58">
        <v>1</v>
      </c>
      <c r="GR37" s="59">
        <f t="shared" si="43"/>
        <v>3.2700000000000022</v>
      </c>
      <c r="GS37" s="86">
        <v>3</v>
      </c>
      <c r="GT37" s="86">
        <f t="shared" si="44"/>
        <v>27.000000000000224</v>
      </c>
      <c r="GU37" s="98"/>
      <c r="GV37" s="86" t="s">
        <v>216</v>
      </c>
      <c r="GW37" s="86">
        <v>29</v>
      </c>
      <c r="GX37" s="58">
        <v>11.1</v>
      </c>
      <c r="GY37" s="96"/>
      <c r="GZ37" s="96"/>
      <c r="HA37" s="53">
        <v>22.67</v>
      </c>
      <c r="HB37" s="58">
        <f t="shared" si="45"/>
        <v>11.570000000000002</v>
      </c>
      <c r="HC37" s="97">
        <v>7.3</v>
      </c>
      <c r="HD37" s="58">
        <v>1</v>
      </c>
      <c r="HE37" s="59">
        <f t="shared" si="46"/>
        <v>3.2700000000000022</v>
      </c>
      <c r="HF37" s="86">
        <v>3</v>
      </c>
      <c r="HG37" s="86">
        <f t="shared" si="47"/>
        <v>27.000000000000224</v>
      </c>
      <c r="HH37" s="98"/>
      <c r="HJ37" s="86" t="s">
        <v>216</v>
      </c>
      <c r="HK37" s="86">
        <v>29</v>
      </c>
      <c r="HL37" s="58">
        <v>11.1</v>
      </c>
      <c r="HM37" s="96"/>
      <c r="HN37" s="96"/>
      <c r="HO37" s="53">
        <v>22.67</v>
      </c>
      <c r="HP37" s="58">
        <f t="shared" si="48"/>
        <v>11.570000000000002</v>
      </c>
      <c r="HQ37" s="97">
        <v>7.3</v>
      </c>
      <c r="HR37" s="58">
        <v>1</v>
      </c>
      <c r="HS37" s="59">
        <f t="shared" si="49"/>
        <v>3.2700000000000022</v>
      </c>
      <c r="HT37" s="86">
        <v>3</v>
      </c>
      <c r="HU37" s="86">
        <f t="shared" si="50"/>
        <v>27.000000000000224</v>
      </c>
      <c r="HV37" s="98"/>
      <c r="HW37" s="86" t="s">
        <v>216</v>
      </c>
      <c r="HX37" s="86">
        <v>29</v>
      </c>
      <c r="HY37" s="58">
        <v>11.1</v>
      </c>
      <c r="HZ37" s="96"/>
      <c r="IA37" s="96"/>
      <c r="IB37" s="53">
        <v>22.67</v>
      </c>
      <c r="IC37" s="58">
        <f t="shared" si="51"/>
        <v>11.570000000000002</v>
      </c>
      <c r="ID37" s="97">
        <v>7.3</v>
      </c>
      <c r="IE37" s="58">
        <v>1</v>
      </c>
      <c r="IF37" s="59">
        <f t="shared" si="52"/>
        <v>3.2700000000000022</v>
      </c>
      <c r="IG37" s="86">
        <v>3</v>
      </c>
      <c r="IH37" s="86">
        <f t="shared" si="53"/>
        <v>27.000000000000224</v>
      </c>
      <c r="II37" s="98"/>
      <c r="IJ37" s="1"/>
      <c r="IK37" s="86" t="s">
        <v>216</v>
      </c>
      <c r="IL37" s="86">
        <v>29</v>
      </c>
      <c r="IM37" s="58">
        <v>11.25</v>
      </c>
      <c r="IN37" s="96"/>
      <c r="IO37" s="96"/>
      <c r="IP37" s="53">
        <v>22.67</v>
      </c>
      <c r="IQ37" s="58">
        <f t="shared" si="54"/>
        <v>11.420000000000002</v>
      </c>
      <c r="IR37" s="97">
        <v>7.3</v>
      </c>
      <c r="IS37" s="58">
        <v>1</v>
      </c>
      <c r="IT37" s="59">
        <f t="shared" si="55"/>
        <v>3.1200000000000019</v>
      </c>
      <c r="IU37" s="86">
        <v>3</v>
      </c>
      <c r="IV37" s="86">
        <f t="shared" si="56"/>
        <v>12.000000000000188</v>
      </c>
      <c r="IW37" s="98"/>
      <c r="IX37" s="86" t="s">
        <v>216</v>
      </c>
      <c r="IY37" s="86">
        <v>29</v>
      </c>
      <c r="IZ37" s="58">
        <v>11.1</v>
      </c>
      <c r="JA37" s="96"/>
      <c r="JB37" s="96"/>
      <c r="JC37" s="53">
        <v>22.67</v>
      </c>
      <c r="JD37" s="58">
        <f t="shared" si="57"/>
        <v>11.570000000000002</v>
      </c>
      <c r="JE37" s="97">
        <v>7.3</v>
      </c>
      <c r="JF37" s="58">
        <v>1</v>
      </c>
      <c r="JG37" s="59">
        <f t="shared" si="58"/>
        <v>3.2700000000000022</v>
      </c>
      <c r="JH37" s="86">
        <v>3</v>
      </c>
      <c r="JI37" s="86">
        <f t="shared" si="59"/>
        <v>27.000000000000224</v>
      </c>
      <c r="JJ37" s="98"/>
    </row>
    <row r="38" spans="1:270" ht="17.149999999999999" customHeight="1" x14ac:dyDescent="0.35">
      <c r="A38" s="86" t="s">
        <v>2</v>
      </c>
      <c r="B38" s="86">
        <v>30</v>
      </c>
      <c r="C38" s="58">
        <v>10.1</v>
      </c>
      <c r="D38" s="96"/>
      <c r="E38" s="96"/>
      <c r="F38" s="53">
        <v>24.9</v>
      </c>
      <c r="G38" s="58">
        <f t="shared" si="0"/>
        <v>14.799999999999999</v>
      </c>
      <c r="H38" s="97">
        <v>7.3</v>
      </c>
      <c r="I38" s="58">
        <v>1</v>
      </c>
      <c r="J38" s="59">
        <f t="shared" si="1"/>
        <v>6.4999999999999991</v>
      </c>
      <c r="K38" s="86">
        <v>6</v>
      </c>
      <c r="L38" s="86">
        <f t="shared" si="2"/>
        <v>49.999999999999915</v>
      </c>
      <c r="M38" s="98"/>
      <c r="O38" s="86" t="s">
        <v>2</v>
      </c>
      <c r="P38" s="86">
        <v>30</v>
      </c>
      <c r="Q38" s="58">
        <v>11.1</v>
      </c>
      <c r="R38" s="96"/>
      <c r="S38" s="96"/>
      <c r="T38" s="53">
        <v>24.9</v>
      </c>
      <c r="U38" s="58">
        <f t="shared" si="3"/>
        <v>13.799999999999999</v>
      </c>
      <c r="V38" s="97">
        <v>7.3</v>
      </c>
      <c r="W38" s="58">
        <v>1</v>
      </c>
      <c r="X38" s="59">
        <f t="shared" si="4"/>
        <v>5.4999999999999991</v>
      </c>
      <c r="Y38" s="86">
        <v>5</v>
      </c>
      <c r="Z38" s="86">
        <f t="shared" si="5"/>
        <v>49.999999999999915</v>
      </c>
      <c r="AA38" s="98"/>
      <c r="AC38" s="86" t="s">
        <v>2</v>
      </c>
      <c r="AD38" s="86">
        <v>30</v>
      </c>
      <c r="AE38" s="58">
        <v>11.1</v>
      </c>
      <c r="AF38" s="96"/>
      <c r="AG38" s="96"/>
      <c r="AH38" s="53">
        <v>24.9</v>
      </c>
      <c r="AI38" s="58">
        <f t="shared" si="6"/>
        <v>13.799999999999999</v>
      </c>
      <c r="AJ38" s="97">
        <v>7.3</v>
      </c>
      <c r="AK38" s="58">
        <v>1</v>
      </c>
      <c r="AL38" s="59">
        <f t="shared" si="7"/>
        <v>5.4999999999999991</v>
      </c>
      <c r="AM38" s="86">
        <v>5</v>
      </c>
      <c r="AN38" s="86">
        <f t="shared" si="8"/>
        <v>49.999999999999915</v>
      </c>
      <c r="AO38" s="98"/>
      <c r="AP38" s="86" t="s">
        <v>2</v>
      </c>
      <c r="AQ38" s="86">
        <v>30</v>
      </c>
      <c r="AR38" s="58">
        <v>10.35</v>
      </c>
      <c r="AS38" s="96"/>
      <c r="AT38" s="96"/>
      <c r="AU38" s="53">
        <v>24.9</v>
      </c>
      <c r="AV38" s="58">
        <f t="shared" si="9"/>
        <v>14.549999999999999</v>
      </c>
      <c r="AW38" s="97">
        <v>7.3</v>
      </c>
      <c r="AX38" s="58">
        <v>1</v>
      </c>
      <c r="AY38" s="59">
        <f t="shared" si="10"/>
        <v>6.2499999999999991</v>
      </c>
      <c r="AZ38" s="86">
        <v>6</v>
      </c>
      <c r="BA38" s="86">
        <f t="shared" si="11"/>
        <v>24.999999999999911</v>
      </c>
      <c r="BB38" s="98"/>
      <c r="BD38" s="86" t="s">
        <v>2</v>
      </c>
      <c r="BE38" s="86">
        <v>30</v>
      </c>
      <c r="BF38" s="58">
        <v>10.35</v>
      </c>
      <c r="BG38" s="96"/>
      <c r="BH38" s="96"/>
      <c r="BI38" s="53">
        <v>24.9</v>
      </c>
      <c r="BJ38" s="58">
        <f t="shared" si="12"/>
        <v>14.549999999999999</v>
      </c>
      <c r="BK38" s="97">
        <v>7.3</v>
      </c>
      <c r="BL38" s="58">
        <v>1</v>
      </c>
      <c r="BM38" s="59">
        <f t="shared" si="13"/>
        <v>6.2499999999999991</v>
      </c>
      <c r="BN38" s="86">
        <v>6</v>
      </c>
      <c r="BO38" s="86">
        <f t="shared" si="14"/>
        <v>24.999999999999911</v>
      </c>
      <c r="BP38" s="98"/>
      <c r="BQ38" s="86" t="s">
        <v>2</v>
      </c>
      <c r="BR38" s="86">
        <v>30</v>
      </c>
      <c r="BS38" s="58">
        <v>11.15</v>
      </c>
      <c r="BT38" s="96"/>
      <c r="BU38" s="96"/>
      <c r="BV38" s="53">
        <v>24.9</v>
      </c>
      <c r="BW38" s="58">
        <f t="shared" si="15"/>
        <v>13.749999999999998</v>
      </c>
      <c r="BX38" s="97">
        <v>7.3</v>
      </c>
      <c r="BY38" s="58">
        <v>1</v>
      </c>
      <c r="BZ38" s="59">
        <f t="shared" si="16"/>
        <v>5.4499999999999984</v>
      </c>
      <c r="CA38" s="86">
        <v>5</v>
      </c>
      <c r="CB38" s="86">
        <f t="shared" si="17"/>
        <v>44.999999999999844</v>
      </c>
      <c r="CC38" s="98"/>
      <c r="CE38" s="86" t="s">
        <v>2</v>
      </c>
      <c r="CF38" s="86">
        <v>30</v>
      </c>
      <c r="CG38" s="58"/>
      <c r="CH38" s="96"/>
      <c r="CI38" s="96"/>
      <c r="CJ38" s="53"/>
      <c r="CK38" s="58"/>
      <c r="CL38" s="97"/>
      <c r="CM38" s="58"/>
      <c r="CN38" s="59"/>
      <c r="CO38" s="86"/>
      <c r="CP38" s="86"/>
      <c r="CQ38" s="98" t="s">
        <v>227</v>
      </c>
      <c r="CR38" s="86" t="s">
        <v>2</v>
      </c>
      <c r="CS38" s="86">
        <v>30</v>
      </c>
      <c r="CT38" s="58">
        <v>11.1</v>
      </c>
      <c r="CU38" s="96"/>
      <c r="CV38" s="96"/>
      <c r="CW38" s="53">
        <v>24.9</v>
      </c>
      <c r="CX38" s="58">
        <f t="shared" si="21"/>
        <v>13.799999999999999</v>
      </c>
      <c r="CY38" s="97">
        <v>7.3</v>
      </c>
      <c r="CZ38" s="58">
        <v>1</v>
      </c>
      <c r="DA38" s="59">
        <f t="shared" si="22"/>
        <v>5.4999999999999991</v>
      </c>
      <c r="DB38" s="86">
        <v>5</v>
      </c>
      <c r="DC38" s="86">
        <f t="shared" si="23"/>
        <v>49.999999999999915</v>
      </c>
      <c r="DD38" s="98"/>
      <c r="DF38" s="86" t="s">
        <v>2</v>
      </c>
      <c r="DG38" s="86">
        <v>30</v>
      </c>
      <c r="DH38" s="58">
        <v>11.1</v>
      </c>
      <c r="DI38" s="96"/>
      <c r="DJ38" s="96"/>
      <c r="DK38" s="53">
        <v>24.9</v>
      </c>
      <c r="DL38" s="58">
        <f t="shared" si="24"/>
        <v>13.799999999999999</v>
      </c>
      <c r="DM38" s="97">
        <v>7.3</v>
      </c>
      <c r="DN38" s="58">
        <v>1</v>
      </c>
      <c r="DO38" s="59">
        <f t="shared" si="25"/>
        <v>5.4999999999999991</v>
      </c>
      <c r="DP38" s="86">
        <v>5</v>
      </c>
      <c r="DQ38" s="86">
        <f t="shared" si="26"/>
        <v>49.999999999999915</v>
      </c>
      <c r="DR38" s="98"/>
      <c r="DS38" s="86" t="s">
        <v>2</v>
      </c>
      <c r="DT38" s="86">
        <v>30</v>
      </c>
      <c r="DU38" s="58">
        <v>11.15</v>
      </c>
      <c r="DV38" s="96"/>
      <c r="DW38" s="96"/>
      <c r="DX38" s="53">
        <v>24.9</v>
      </c>
      <c r="DY38" s="58">
        <f t="shared" si="27"/>
        <v>13.749999999999998</v>
      </c>
      <c r="DZ38" s="97">
        <v>7.3</v>
      </c>
      <c r="EA38" s="58">
        <v>1</v>
      </c>
      <c r="EB38" s="59">
        <f t="shared" si="28"/>
        <v>5.4499999999999984</v>
      </c>
      <c r="EC38" s="86">
        <v>5</v>
      </c>
      <c r="ED38" s="86">
        <f t="shared" si="29"/>
        <v>44.999999999999844</v>
      </c>
      <c r="EE38" s="98"/>
      <c r="EG38" s="86" t="s">
        <v>2</v>
      </c>
      <c r="EH38" s="86">
        <v>30</v>
      </c>
      <c r="EI38" s="58">
        <v>11.1</v>
      </c>
      <c r="EJ38" s="96"/>
      <c r="EK38" s="96"/>
      <c r="EL38" s="53">
        <v>24.9</v>
      </c>
      <c r="EM38" s="58">
        <f t="shared" si="30"/>
        <v>13.799999999999999</v>
      </c>
      <c r="EN38" s="97">
        <v>7.3</v>
      </c>
      <c r="EO38" s="58">
        <v>1</v>
      </c>
      <c r="EP38" s="59">
        <f t="shared" si="31"/>
        <v>5.4999999999999991</v>
      </c>
      <c r="EQ38" s="86">
        <v>5</v>
      </c>
      <c r="ER38" s="86">
        <f t="shared" si="32"/>
        <v>49.999999999999915</v>
      </c>
      <c r="ES38" s="98"/>
      <c r="ET38" s="86" t="s">
        <v>2</v>
      </c>
      <c r="EU38" s="86">
        <v>30</v>
      </c>
      <c r="EV38" s="58">
        <v>11.1</v>
      </c>
      <c r="EW38" s="96"/>
      <c r="EX38" s="96"/>
      <c r="EY38" s="53">
        <v>24.9</v>
      </c>
      <c r="EZ38" s="58">
        <f t="shared" si="33"/>
        <v>13.799999999999999</v>
      </c>
      <c r="FA38" s="97">
        <v>7.3</v>
      </c>
      <c r="FB38" s="58">
        <v>1</v>
      </c>
      <c r="FC38" s="59">
        <f t="shared" si="34"/>
        <v>5.4999999999999991</v>
      </c>
      <c r="FD38" s="86">
        <v>5</v>
      </c>
      <c r="FE38" s="86">
        <f t="shared" si="35"/>
        <v>49.999999999999915</v>
      </c>
      <c r="FF38" s="98"/>
      <c r="FH38" s="86" t="s">
        <v>2</v>
      </c>
      <c r="FI38" s="86">
        <v>30</v>
      </c>
      <c r="FJ38" s="58">
        <v>11.1</v>
      </c>
      <c r="FK38" s="96"/>
      <c r="FL38" s="96"/>
      <c r="FM38" s="53">
        <v>24.9</v>
      </c>
      <c r="FN38" s="58">
        <f t="shared" si="36"/>
        <v>13.799999999999999</v>
      </c>
      <c r="FO38" s="97">
        <v>7.3</v>
      </c>
      <c r="FP38" s="58">
        <v>1</v>
      </c>
      <c r="FQ38" s="59">
        <f t="shared" si="37"/>
        <v>5.4999999999999991</v>
      </c>
      <c r="FR38" s="86">
        <v>5</v>
      </c>
      <c r="FS38" s="86">
        <f t="shared" si="38"/>
        <v>49.999999999999915</v>
      </c>
      <c r="FT38" s="98"/>
      <c r="FU38" s="86" t="s">
        <v>2</v>
      </c>
      <c r="FV38" s="86">
        <v>30</v>
      </c>
      <c r="FW38" s="58">
        <v>11.15</v>
      </c>
      <c r="FX38" s="96"/>
      <c r="FY38" s="96"/>
      <c r="FZ38" s="53">
        <v>24.9</v>
      </c>
      <c r="GA38" s="58">
        <f t="shared" si="39"/>
        <v>13.749999999999998</v>
      </c>
      <c r="GB38" s="97">
        <v>7.3</v>
      </c>
      <c r="GC38" s="58">
        <v>1</v>
      </c>
      <c r="GD38" s="59">
        <f t="shared" si="40"/>
        <v>5.4499999999999984</v>
      </c>
      <c r="GE38" s="86">
        <v>5</v>
      </c>
      <c r="GF38" s="86">
        <f t="shared" si="41"/>
        <v>44.999999999999844</v>
      </c>
      <c r="GG38" s="98"/>
      <c r="GI38" s="86" t="s">
        <v>2</v>
      </c>
      <c r="GJ38" s="86">
        <v>30</v>
      </c>
      <c r="GK38" s="58">
        <v>11.1</v>
      </c>
      <c r="GL38" s="96"/>
      <c r="GM38" s="96"/>
      <c r="GN38" s="53">
        <v>24.9</v>
      </c>
      <c r="GO38" s="58">
        <f t="shared" si="42"/>
        <v>13.799999999999999</v>
      </c>
      <c r="GP38" s="97">
        <v>7.3</v>
      </c>
      <c r="GQ38" s="58">
        <v>1</v>
      </c>
      <c r="GR38" s="59">
        <f t="shared" si="43"/>
        <v>5.4999999999999991</v>
      </c>
      <c r="GS38" s="86">
        <v>5</v>
      </c>
      <c r="GT38" s="86">
        <f t="shared" si="44"/>
        <v>49.999999999999915</v>
      </c>
      <c r="GU38" s="98"/>
      <c r="GV38" s="86" t="s">
        <v>2</v>
      </c>
      <c r="GW38" s="86">
        <v>30</v>
      </c>
      <c r="GX38" s="58">
        <v>11.1</v>
      </c>
      <c r="GY38" s="96"/>
      <c r="GZ38" s="96"/>
      <c r="HA38" s="53">
        <v>24.9</v>
      </c>
      <c r="HB38" s="58">
        <f t="shared" si="45"/>
        <v>13.799999999999999</v>
      </c>
      <c r="HC38" s="97">
        <v>7.3</v>
      </c>
      <c r="HD38" s="58">
        <v>1</v>
      </c>
      <c r="HE38" s="59">
        <f t="shared" si="46"/>
        <v>5.4999999999999991</v>
      </c>
      <c r="HF38" s="86">
        <v>5</v>
      </c>
      <c r="HG38" s="86">
        <f t="shared" si="47"/>
        <v>49.999999999999915</v>
      </c>
      <c r="HH38" s="98"/>
      <c r="HJ38" s="86" t="s">
        <v>2</v>
      </c>
      <c r="HK38" s="86">
        <v>30</v>
      </c>
      <c r="HL38" s="58">
        <v>11.1</v>
      </c>
      <c r="HM38" s="96"/>
      <c r="HN38" s="96"/>
      <c r="HO38" s="53">
        <v>24.9</v>
      </c>
      <c r="HP38" s="58">
        <f t="shared" si="48"/>
        <v>13.799999999999999</v>
      </c>
      <c r="HQ38" s="97">
        <v>7.3</v>
      </c>
      <c r="HR38" s="58">
        <v>1</v>
      </c>
      <c r="HS38" s="59">
        <f t="shared" si="49"/>
        <v>5.4999999999999991</v>
      </c>
      <c r="HT38" s="86">
        <v>5</v>
      </c>
      <c r="HU38" s="86">
        <f t="shared" si="50"/>
        <v>49.999999999999915</v>
      </c>
      <c r="HV38" s="98"/>
      <c r="HW38" s="86" t="s">
        <v>2</v>
      </c>
      <c r="HX38" s="86">
        <v>30</v>
      </c>
      <c r="HY38" s="58">
        <v>11.1</v>
      </c>
      <c r="HZ38" s="96"/>
      <c r="IA38" s="96"/>
      <c r="IB38" s="53">
        <v>24.9</v>
      </c>
      <c r="IC38" s="58">
        <f t="shared" si="51"/>
        <v>13.799999999999999</v>
      </c>
      <c r="ID38" s="97">
        <v>7.3</v>
      </c>
      <c r="IE38" s="58">
        <v>1</v>
      </c>
      <c r="IF38" s="59">
        <f t="shared" si="52"/>
        <v>5.4999999999999991</v>
      </c>
      <c r="IG38" s="86">
        <v>5</v>
      </c>
      <c r="IH38" s="86">
        <f t="shared" si="53"/>
        <v>49.999999999999915</v>
      </c>
      <c r="II38" s="98"/>
      <c r="IK38" s="86" t="s">
        <v>2</v>
      </c>
      <c r="IL38" s="86">
        <v>30</v>
      </c>
      <c r="IM38" s="58">
        <v>11.25</v>
      </c>
      <c r="IN38" s="96"/>
      <c r="IO38" s="96"/>
      <c r="IP38" s="53">
        <v>24.9</v>
      </c>
      <c r="IQ38" s="58">
        <f t="shared" si="54"/>
        <v>13.649999999999999</v>
      </c>
      <c r="IR38" s="97">
        <v>7.3</v>
      </c>
      <c r="IS38" s="58">
        <v>1</v>
      </c>
      <c r="IT38" s="59">
        <f t="shared" si="55"/>
        <v>5.3499999999999988</v>
      </c>
      <c r="IU38" s="86">
        <v>5</v>
      </c>
      <c r="IV38" s="86">
        <f t="shared" si="56"/>
        <v>34.999999999999872</v>
      </c>
      <c r="IW38" s="98"/>
      <c r="IX38" s="86" t="s">
        <v>2</v>
      </c>
      <c r="IY38" s="86">
        <v>30</v>
      </c>
      <c r="IZ38" s="58">
        <v>11.1</v>
      </c>
      <c r="JA38" s="96"/>
      <c r="JB38" s="96"/>
      <c r="JC38" s="53">
        <v>24.9</v>
      </c>
      <c r="JD38" s="58">
        <f t="shared" si="57"/>
        <v>13.799999999999999</v>
      </c>
      <c r="JE38" s="97">
        <v>7.3</v>
      </c>
      <c r="JF38" s="58">
        <v>1</v>
      </c>
      <c r="JG38" s="59">
        <f t="shared" si="58"/>
        <v>5.4999999999999991</v>
      </c>
      <c r="JH38" s="86">
        <v>5</v>
      </c>
      <c r="JI38" s="86">
        <f t="shared" si="59"/>
        <v>49.999999999999915</v>
      </c>
      <c r="JJ38" s="98"/>
    </row>
    <row r="39" spans="1:270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/>
      <c r="AC39" s="86"/>
      <c r="AD39" s="86"/>
      <c r="AE39" s="58"/>
      <c r="AF39" s="96"/>
      <c r="AG39" s="96"/>
      <c r="AH39" s="58"/>
      <c r="AI39" s="58"/>
      <c r="AJ39" s="97"/>
      <c r="AK39" s="97"/>
      <c r="AL39" s="59"/>
      <c r="AM39" s="86"/>
      <c r="AN39" s="86"/>
      <c r="AO39" s="98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/>
      <c r="BD39" s="86"/>
      <c r="BE39" s="86"/>
      <c r="BF39" s="58"/>
      <c r="BG39" s="96"/>
      <c r="BH39" s="96"/>
      <c r="BI39" s="58"/>
      <c r="BJ39" s="58"/>
      <c r="BK39" s="97"/>
      <c r="BL39" s="97"/>
      <c r="BM39" s="59"/>
      <c r="BN39" s="86"/>
      <c r="BO39" s="86"/>
      <c r="BP39" s="98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/>
      <c r="CE39" s="86"/>
      <c r="CF39" s="86"/>
      <c r="CG39" s="58"/>
      <c r="CH39" s="96"/>
      <c r="CI39" s="96"/>
      <c r="CJ39" s="58"/>
      <c r="CK39" s="58"/>
      <c r="CL39" s="97"/>
      <c r="CM39" s="97"/>
      <c r="CN39" s="59"/>
      <c r="CO39" s="86"/>
      <c r="CP39" s="86"/>
      <c r="CQ39" s="98"/>
      <c r="CR39" s="86"/>
      <c r="CS39" s="86"/>
      <c r="CT39" s="58"/>
      <c r="CU39" s="96"/>
      <c r="CV39" s="96"/>
      <c r="CW39" s="58"/>
      <c r="CX39" s="58"/>
      <c r="CY39" s="97"/>
      <c r="CZ39" s="97"/>
      <c r="DA39" s="59"/>
      <c r="DB39" s="86"/>
      <c r="DC39" s="86"/>
      <c r="DD39" s="98"/>
      <c r="DE39"/>
      <c r="DF39" s="86"/>
      <c r="DG39" s="86"/>
      <c r="DH39" s="58"/>
      <c r="DI39" s="96"/>
      <c r="DJ39" s="96"/>
      <c r="DK39" s="58"/>
      <c r="DL39" s="58"/>
      <c r="DM39" s="97"/>
      <c r="DN39" s="97"/>
      <c r="DO39" s="59"/>
      <c r="DP39" s="86"/>
      <c r="DQ39" s="86"/>
      <c r="DR39" s="98"/>
      <c r="DS39" s="86"/>
      <c r="DT39" s="86"/>
      <c r="DU39" s="58"/>
      <c r="DV39" s="96"/>
      <c r="DW39" s="96"/>
      <c r="DX39" s="58"/>
      <c r="DY39" s="58"/>
      <c r="DZ39" s="97"/>
      <c r="EA39" s="97"/>
      <c r="EB39" s="59"/>
      <c r="EC39" s="86"/>
      <c r="ED39" s="86"/>
      <c r="EE39" s="98"/>
      <c r="EF39"/>
      <c r="EG39" s="86"/>
      <c r="EH39" s="86"/>
      <c r="EI39" s="58"/>
      <c r="EJ39" s="96"/>
      <c r="EK39" s="96"/>
      <c r="EL39" s="58"/>
      <c r="EM39" s="58"/>
      <c r="EN39" s="97"/>
      <c r="EO39" s="97"/>
      <c r="EP39" s="59"/>
      <c r="EQ39" s="86"/>
      <c r="ER39" s="86"/>
      <c r="ES39" s="98"/>
      <c r="ET39" s="86"/>
      <c r="EU39" s="86"/>
      <c r="EV39" s="58"/>
      <c r="EW39" s="96"/>
      <c r="EX39" s="96"/>
      <c r="EY39" s="58"/>
      <c r="EZ39" s="58"/>
      <c r="FA39" s="97"/>
      <c r="FB39" s="97"/>
      <c r="FC39" s="59"/>
      <c r="FD39" s="86"/>
      <c r="FE39" s="86"/>
      <c r="FF39" s="98"/>
      <c r="FG39"/>
      <c r="FH39" s="86"/>
      <c r="FI39" s="86"/>
      <c r="FJ39" s="58"/>
      <c r="FK39" s="96"/>
      <c r="FL39" s="96"/>
      <c r="FM39" s="58"/>
      <c r="FN39" s="58"/>
      <c r="FO39" s="97"/>
      <c r="FP39" s="97"/>
      <c r="FQ39" s="59"/>
      <c r="FR39" s="86"/>
      <c r="FS39" s="86"/>
      <c r="FT39" s="98"/>
      <c r="FU39" s="86"/>
      <c r="FV39" s="86"/>
      <c r="FW39" s="58"/>
      <c r="FX39" s="96"/>
      <c r="FY39" s="96"/>
      <c r="FZ39" s="58"/>
      <c r="GA39" s="58"/>
      <c r="GB39" s="97"/>
      <c r="GC39" s="97"/>
      <c r="GD39" s="59"/>
      <c r="GE39" s="86"/>
      <c r="GF39" s="86"/>
      <c r="GG39" s="98"/>
      <c r="GH39"/>
      <c r="GI39" s="86"/>
      <c r="GJ39" s="86"/>
      <c r="GK39" s="58"/>
      <c r="GL39" s="96"/>
      <c r="GM39" s="96"/>
      <c r="GN39" s="58"/>
      <c r="GO39" s="58"/>
      <c r="GP39" s="97"/>
      <c r="GQ39" s="97"/>
      <c r="GR39" s="59"/>
      <c r="GS39" s="86"/>
      <c r="GT39" s="86"/>
      <c r="GU39" s="98"/>
      <c r="GV39" s="86"/>
      <c r="GW39" s="86"/>
      <c r="GX39" s="58"/>
      <c r="GY39" s="96"/>
      <c r="GZ39" s="96"/>
      <c r="HA39" s="58"/>
      <c r="HB39" s="58"/>
      <c r="HC39" s="97"/>
      <c r="HD39" s="97"/>
      <c r="HE39" s="59"/>
      <c r="HF39" s="86"/>
      <c r="HG39" s="86"/>
      <c r="HH39" s="98"/>
      <c r="HI39"/>
      <c r="HJ39" s="86"/>
      <c r="HK39" s="86"/>
      <c r="HL39" s="58"/>
      <c r="HM39" s="96"/>
      <c r="HN39" s="96"/>
      <c r="HO39" s="58"/>
      <c r="HP39" s="58"/>
      <c r="HQ39" s="97"/>
      <c r="HR39" s="97"/>
      <c r="HS39" s="59"/>
      <c r="HT39" s="86"/>
      <c r="HU39" s="86"/>
      <c r="HV39" s="98"/>
      <c r="HW39" s="86"/>
      <c r="HX39" s="86"/>
      <c r="HY39" s="58"/>
      <c r="HZ39" s="96"/>
      <c r="IA39" s="96"/>
      <c r="IB39" s="58"/>
      <c r="IC39" s="58"/>
      <c r="ID39" s="97"/>
      <c r="IE39" s="97"/>
      <c r="IF39" s="59"/>
      <c r="IG39" s="86"/>
      <c r="IH39" s="86"/>
      <c r="II39" s="98"/>
      <c r="IJ39" s="1"/>
      <c r="IK39" s="86"/>
      <c r="IL39" s="86"/>
      <c r="IM39" s="58"/>
      <c r="IN39" s="96"/>
      <c r="IO39" s="96"/>
      <c r="IP39" s="58"/>
      <c r="IQ39" s="58"/>
      <c r="IR39" s="97"/>
      <c r="IS39" s="97"/>
      <c r="IT39" s="59"/>
      <c r="IU39" s="86"/>
      <c r="IV39" s="86"/>
      <c r="IW39" s="98"/>
      <c r="IX39" s="86"/>
      <c r="IY39" s="86"/>
      <c r="IZ39" s="58"/>
      <c r="JA39" s="96"/>
      <c r="JB39" s="96"/>
      <c r="JC39" s="58"/>
      <c r="JD39" s="58"/>
      <c r="JE39" s="97"/>
      <c r="JF39" s="97"/>
      <c r="JG39" s="59"/>
      <c r="JH39" s="86"/>
      <c r="JI39" s="86"/>
      <c r="JJ39" s="98"/>
    </row>
    <row r="40" spans="1:270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60">SUM(D40-C40)+(F40-E40)</f>
        <v>-4.3499999999999996</v>
      </c>
      <c r="H40" s="63"/>
      <c r="I40" s="53"/>
      <c r="J40" s="59"/>
      <c r="K40" s="62"/>
      <c r="L40" s="60">
        <f t="shared" ref="L40" si="61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62">SUM(R40-Q40)+(T40-S40)</f>
        <v>-4.3499999999999996</v>
      </c>
      <c r="V40" s="63"/>
      <c r="W40" s="53"/>
      <c r="X40" s="59"/>
      <c r="Y40" s="62"/>
      <c r="Z40" s="60">
        <f t="shared" ref="Z40" si="63">SUM(X40-Y40)*100</f>
        <v>0</v>
      </c>
      <c r="AA40" s="61"/>
      <c r="AC40" s="62" t="s">
        <v>4</v>
      </c>
      <c r="AD40" s="62">
        <v>32</v>
      </c>
      <c r="AE40" s="58">
        <v>4.3499999999999996</v>
      </c>
      <c r="AF40" s="53"/>
      <c r="AG40" s="53"/>
      <c r="AH40" s="53"/>
      <c r="AI40" s="58">
        <f t="shared" ref="AI40" si="64">SUM(AF40-AE40)+(AH40-AG40)</f>
        <v>-4.3499999999999996</v>
      </c>
      <c r="AJ40" s="63"/>
      <c r="AK40" s="53"/>
      <c r="AL40" s="59"/>
      <c r="AM40" s="62"/>
      <c r="AN40" s="60">
        <f t="shared" ref="AN40" si="65">SUM(AL40-AM40)*100</f>
        <v>0</v>
      </c>
      <c r="AO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66">SUM(AS40-AR40)+(AU40-AT40)</f>
        <v>-4.3499999999999996</v>
      </c>
      <c r="AW40" s="63"/>
      <c r="AX40" s="53"/>
      <c r="AY40" s="59"/>
      <c r="AZ40" s="62"/>
      <c r="BA40" s="60">
        <f t="shared" ref="BA40" si="67">SUM(AY40-AZ40)*100</f>
        <v>0</v>
      </c>
      <c r="BB40" s="61"/>
      <c r="BD40" s="62" t="s">
        <v>4</v>
      </c>
      <c r="BE40" s="62">
        <v>32</v>
      </c>
      <c r="BF40" s="58">
        <v>4.3499999999999996</v>
      </c>
      <c r="BG40" s="53"/>
      <c r="BH40" s="53"/>
      <c r="BI40" s="53"/>
      <c r="BJ40" s="58">
        <f t="shared" ref="BJ40" si="68">SUM(BG40-BF40)+(BI40-BH40)</f>
        <v>-4.3499999999999996</v>
      </c>
      <c r="BK40" s="63"/>
      <c r="BL40" s="53"/>
      <c r="BM40" s="59"/>
      <c r="BN40" s="62"/>
      <c r="BO40" s="60">
        <f t="shared" ref="BO40" si="69">SUM(BM40-BN40)*100</f>
        <v>0</v>
      </c>
      <c r="BP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70">SUM(BT40-BS40)+(BV40-BU40)</f>
        <v>-4.3499999999999996</v>
      </c>
      <c r="BX40" s="63"/>
      <c r="BY40" s="53"/>
      <c r="BZ40" s="59"/>
      <c r="CA40" s="62"/>
      <c r="CB40" s="60">
        <f t="shared" ref="CB40" si="71">SUM(BZ40-CA40)*100</f>
        <v>0</v>
      </c>
      <c r="CC40" s="61"/>
      <c r="CE40" s="62" t="s">
        <v>4</v>
      </c>
      <c r="CF40" s="62">
        <v>32</v>
      </c>
      <c r="CG40" s="58">
        <v>4.3499999999999996</v>
      </c>
      <c r="CH40" s="53"/>
      <c r="CI40" s="53"/>
      <c r="CJ40" s="53"/>
      <c r="CK40" s="58">
        <f t="shared" ref="CK40" si="72">SUM(CH40-CG40)+(CJ40-CI40)</f>
        <v>-4.3499999999999996</v>
      </c>
      <c r="CL40" s="63"/>
      <c r="CM40" s="53"/>
      <c r="CN40" s="59"/>
      <c r="CO40" s="62"/>
      <c r="CP40" s="60">
        <f t="shared" ref="CP40" si="73">SUM(CN40-CO40)*100</f>
        <v>0</v>
      </c>
      <c r="CQ40" s="61"/>
      <c r="CR40" s="62" t="s">
        <v>4</v>
      </c>
      <c r="CS40" s="62">
        <v>32</v>
      </c>
      <c r="CT40" s="58">
        <v>4.3499999999999996</v>
      </c>
      <c r="CU40" s="53"/>
      <c r="CV40" s="53"/>
      <c r="CW40" s="53"/>
      <c r="CX40" s="58">
        <f t="shared" ref="CX40" si="74">SUM(CU40-CT40)+(CW40-CV40)</f>
        <v>-4.3499999999999996</v>
      </c>
      <c r="CY40" s="63"/>
      <c r="CZ40" s="53"/>
      <c r="DA40" s="59"/>
      <c r="DB40" s="62"/>
      <c r="DC40" s="60">
        <f t="shared" ref="DC40" si="75">SUM(DA40-DB40)*100</f>
        <v>0</v>
      </c>
      <c r="DD40" s="61"/>
      <c r="DF40" s="62" t="s">
        <v>4</v>
      </c>
      <c r="DG40" s="62">
        <v>32</v>
      </c>
      <c r="DH40" s="58">
        <v>4.3499999999999996</v>
      </c>
      <c r="DI40" s="53"/>
      <c r="DJ40" s="53"/>
      <c r="DK40" s="53"/>
      <c r="DL40" s="58">
        <f t="shared" ref="DL40" si="76">SUM(DI40-DH40)+(DK40-DJ40)</f>
        <v>-4.3499999999999996</v>
      </c>
      <c r="DM40" s="63"/>
      <c r="DN40" s="53"/>
      <c r="DO40" s="59"/>
      <c r="DP40" s="62"/>
      <c r="DQ40" s="60">
        <f t="shared" ref="DQ40" si="77">SUM(DO40-DP40)*100</f>
        <v>0</v>
      </c>
      <c r="DR40" s="61"/>
      <c r="DS40" s="62" t="s">
        <v>4</v>
      </c>
      <c r="DT40" s="62">
        <v>32</v>
      </c>
      <c r="DU40" s="58">
        <v>4.3499999999999996</v>
      </c>
      <c r="DV40" s="53"/>
      <c r="DW40" s="53"/>
      <c r="DX40" s="53"/>
      <c r="DY40" s="58">
        <f t="shared" ref="DY40" si="78">SUM(DV40-DU40)+(DX40-DW40)</f>
        <v>-4.3499999999999996</v>
      </c>
      <c r="DZ40" s="63"/>
      <c r="EA40" s="53"/>
      <c r="EB40" s="59"/>
      <c r="EC40" s="62"/>
      <c r="ED40" s="60">
        <f t="shared" ref="ED40" si="79">SUM(EB40-EC40)*100</f>
        <v>0</v>
      </c>
      <c r="EE40" s="61"/>
      <c r="EG40" s="62" t="s">
        <v>4</v>
      </c>
      <c r="EH40" s="62">
        <v>32</v>
      </c>
      <c r="EI40" s="58">
        <v>4.3499999999999996</v>
      </c>
      <c r="EJ40" s="53"/>
      <c r="EK40" s="53"/>
      <c r="EL40" s="53"/>
      <c r="EM40" s="58">
        <f t="shared" ref="EM40" si="80">SUM(EJ40-EI40)+(EL40-EK40)</f>
        <v>-4.3499999999999996</v>
      </c>
      <c r="EN40" s="63"/>
      <c r="EO40" s="53"/>
      <c r="EP40" s="59"/>
      <c r="EQ40" s="62"/>
      <c r="ER40" s="60">
        <f t="shared" ref="ER40" si="81">SUM(EP40-EQ40)*100</f>
        <v>0</v>
      </c>
      <c r="ES40" s="61"/>
      <c r="ET40" s="62" t="s">
        <v>4</v>
      </c>
      <c r="EU40" s="62">
        <v>32</v>
      </c>
      <c r="EV40" s="58">
        <v>4.3499999999999996</v>
      </c>
      <c r="EW40" s="53"/>
      <c r="EX40" s="53"/>
      <c r="EY40" s="53"/>
      <c r="EZ40" s="58">
        <f t="shared" ref="EZ40" si="82">SUM(EW40-EV40)+(EY40-EX40)</f>
        <v>-4.3499999999999996</v>
      </c>
      <c r="FA40" s="63"/>
      <c r="FB40" s="53"/>
      <c r="FC40" s="59"/>
      <c r="FD40" s="62"/>
      <c r="FE40" s="60">
        <f t="shared" ref="FE40" si="83">SUM(FC40-FD40)*100</f>
        <v>0</v>
      </c>
      <c r="FF40" s="61"/>
      <c r="FH40" s="62" t="s">
        <v>4</v>
      </c>
      <c r="FI40" s="62">
        <v>32</v>
      </c>
      <c r="FJ40" s="58">
        <v>4.3499999999999996</v>
      </c>
      <c r="FK40" s="53"/>
      <c r="FL40" s="53"/>
      <c r="FM40" s="53"/>
      <c r="FN40" s="58">
        <f t="shared" ref="FN40" si="84">SUM(FK40-FJ40)+(FM40-FL40)</f>
        <v>-4.3499999999999996</v>
      </c>
      <c r="FO40" s="63"/>
      <c r="FP40" s="53"/>
      <c r="FQ40" s="59"/>
      <c r="FR40" s="62"/>
      <c r="FS40" s="60">
        <f t="shared" ref="FS40" si="85">SUM(FQ40-FR40)*100</f>
        <v>0</v>
      </c>
      <c r="FT40" s="61"/>
      <c r="FU40" s="62" t="s">
        <v>4</v>
      </c>
      <c r="FV40" s="62">
        <v>32</v>
      </c>
      <c r="FW40" s="58">
        <v>4.3499999999999996</v>
      </c>
      <c r="FX40" s="53"/>
      <c r="FY40" s="53"/>
      <c r="FZ40" s="53"/>
      <c r="GA40" s="58">
        <f t="shared" ref="GA40" si="86">SUM(FX40-FW40)+(FZ40-FY40)</f>
        <v>-4.3499999999999996</v>
      </c>
      <c r="GB40" s="63"/>
      <c r="GC40" s="53"/>
      <c r="GD40" s="59"/>
      <c r="GE40" s="62"/>
      <c r="GF40" s="60">
        <f t="shared" ref="GF40" si="87">SUM(GD40-GE40)*100</f>
        <v>0</v>
      </c>
      <c r="GG40" s="61"/>
      <c r="GI40" s="62" t="s">
        <v>4</v>
      </c>
      <c r="GJ40" s="62">
        <v>32</v>
      </c>
      <c r="GK40" s="58">
        <v>4.3499999999999996</v>
      </c>
      <c r="GL40" s="53"/>
      <c r="GM40" s="53"/>
      <c r="GN40" s="53"/>
      <c r="GO40" s="58">
        <f t="shared" ref="GO40" si="88">SUM(GL40-GK40)+(GN40-GM40)</f>
        <v>-4.3499999999999996</v>
      </c>
      <c r="GP40" s="63"/>
      <c r="GQ40" s="53"/>
      <c r="GR40" s="59"/>
      <c r="GS40" s="62"/>
      <c r="GT40" s="60">
        <f t="shared" ref="GT40" si="89">SUM(GR40-GS40)*100</f>
        <v>0</v>
      </c>
      <c r="GU40" s="61"/>
      <c r="GV40" s="62" t="s">
        <v>4</v>
      </c>
      <c r="GW40" s="62">
        <v>32</v>
      </c>
      <c r="GX40" s="58">
        <v>4.3499999999999996</v>
      </c>
      <c r="GY40" s="53"/>
      <c r="GZ40" s="53"/>
      <c r="HA40" s="53"/>
      <c r="HB40" s="58">
        <f t="shared" ref="HB40" si="90">SUM(GY40-GX40)+(HA40-GZ40)</f>
        <v>-4.3499999999999996</v>
      </c>
      <c r="HC40" s="63"/>
      <c r="HD40" s="53"/>
      <c r="HE40" s="59"/>
      <c r="HF40" s="62"/>
      <c r="HG40" s="60">
        <f t="shared" ref="HG40" si="91">SUM(HE40-HF40)*100</f>
        <v>0</v>
      </c>
      <c r="HH40" s="61"/>
      <c r="HJ40" s="62" t="s">
        <v>4</v>
      </c>
      <c r="HK40" s="62">
        <v>32</v>
      </c>
      <c r="HL40" s="58">
        <v>4.3499999999999996</v>
      </c>
      <c r="HM40" s="53"/>
      <c r="HN40" s="53"/>
      <c r="HO40" s="53"/>
      <c r="HP40" s="58">
        <f t="shared" ref="HP40" si="92">SUM(HM40-HL40)+(HO40-HN40)</f>
        <v>-4.3499999999999996</v>
      </c>
      <c r="HQ40" s="63"/>
      <c r="HR40" s="53"/>
      <c r="HS40" s="59"/>
      <c r="HT40" s="62"/>
      <c r="HU40" s="60">
        <f t="shared" ref="HU40" si="93">SUM(HS40-HT40)*100</f>
        <v>0</v>
      </c>
      <c r="HV40" s="61"/>
      <c r="HW40" s="62" t="s">
        <v>4</v>
      </c>
      <c r="HX40" s="62">
        <v>32</v>
      </c>
      <c r="HY40" s="58">
        <v>4.3499999999999996</v>
      </c>
      <c r="HZ40" s="53"/>
      <c r="IA40" s="53"/>
      <c r="IB40" s="53"/>
      <c r="IC40" s="58">
        <f t="shared" ref="IC40" si="94">SUM(HZ40-HY40)+(IB40-IA40)</f>
        <v>-4.3499999999999996</v>
      </c>
      <c r="ID40" s="63"/>
      <c r="IE40" s="53"/>
      <c r="IF40" s="59"/>
      <c r="IG40" s="62"/>
      <c r="IH40" s="60">
        <f t="shared" ref="IH40" si="95">SUM(IF40-IG40)*100</f>
        <v>0</v>
      </c>
      <c r="II40" s="61"/>
      <c r="IK40" s="62" t="s">
        <v>4</v>
      </c>
      <c r="IL40" s="62">
        <v>32</v>
      </c>
      <c r="IM40" s="58">
        <v>4.3499999999999996</v>
      </c>
      <c r="IN40" s="53"/>
      <c r="IO40" s="53"/>
      <c r="IP40" s="53"/>
      <c r="IQ40" s="58">
        <f t="shared" ref="IQ40" si="96">SUM(IN40-IM40)+(IP40-IO40)</f>
        <v>-4.3499999999999996</v>
      </c>
      <c r="IR40" s="63"/>
      <c r="IS40" s="53"/>
      <c r="IT40" s="59"/>
      <c r="IU40" s="62"/>
      <c r="IV40" s="60">
        <f t="shared" ref="IV40" si="97">SUM(IT40-IU40)*100</f>
        <v>0</v>
      </c>
      <c r="IW40" s="61"/>
      <c r="IX40" s="62" t="s">
        <v>4</v>
      </c>
      <c r="IY40" s="62">
        <v>32</v>
      </c>
      <c r="IZ40" s="58">
        <v>4.3499999999999996</v>
      </c>
      <c r="JA40" s="53"/>
      <c r="JB40" s="53"/>
      <c r="JC40" s="53"/>
      <c r="JD40" s="58">
        <f t="shared" ref="JD40" si="98">SUM(JA40-IZ40)+(JC40-JB40)</f>
        <v>-4.3499999999999996</v>
      </c>
      <c r="JE40" s="63"/>
      <c r="JF40" s="53"/>
      <c r="JG40" s="59"/>
      <c r="JH40" s="62"/>
      <c r="JI40" s="60">
        <f t="shared" ref="JI40" si="99">SUM(JG40-JH40)*100</f>
        <v>0</v>
      </c>
      <c r="JJ40" s="61"/>
    </row>
    <row r="41" spans="1:270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C41" s="62" t="s">
        <v>5</v>
      </c>
      <c r="AD41" s="62">
        <v>33</v>
      </c>
      <c r="AE41" s="58">
        <v>4.3499999999999996</v>
      </c>
      <c r="AF41" s="53"/>
      <c r="AG41" s="53"/>
      <c r="AH41" s="53"/>
      <c r="AI41" s="53"/>
      <c r="AJ41" s="63"/>
      <c r="AK41" s="63"/>
      <c r="AL41" s="62"/>
      <c r="AM41" s="62"/>
      <c r="AN41" s="62"/>
      <c r="AO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D41" s="62" t="s">
        <v>5</v>
      </c>
      <c r="BE41" s="62">
        <v>33</v>
      </c>
      <c r="BF41" s="58">
        <v>4.3499999999999996</v>
      </c>
      <c r="BG41" s="53"/>
      <c r="BH41" s="53"/>
      <c r="BI41" s="53"/>
      <c r="BJ41" s="53"/>
      <c r="BK41" s="63"/>
      <c r="BL41" s="63"/>
      <c r="BM41" s="62"/>
      <c r="BN41" s="62"/>
      <c r="BO41" s="62"/>
      <c r="BP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E41" s="62" t="s">
        <v>5</v>
      </c>
      <c r="CF41" s="62">
        <v>33</v>
      </c>
      <c r="CG41" s="58">
        <v>4.3499999999999996</v>
      </c>
      <c r="CH41" s="53"/>
      <c r="CI41" s="53"/>
      <c r="CJ41" s="53"/>
      <c r="CK41" s="53"/>
      <c r="CL41" s="63"/>
      <c r="CM41" s="63"/>
      <c r="CN41" s="62"/>
      <c r="CO41" s="62"/>
      <c r="CP41" s="62"/>
      <c r="CQ41" s="61"/>
      <c r="CR41" s="62" t="s">
        <v>5</v>
      </c>
      <c r="CS41" s="62">
        <v>33</v>
      </c>
      <c r="CT41" s="58">
        <v>4.3499999999999996</v>
      </c>
      <c r="CU41" s="53"/>
      <c r="CV41" s="53"/>
      <c r="CW41" s="53"/>
      <c r="CX41" s="53"/>
      <c r="CY41" s="63"/>
      <c r="CZ41" s="63"/>
      <c r="DA41" s="62"/>
      <c r="DB41" s="62"/>
      <c r="DC41" s="62"/>
      <c r="DD41" s="61"/>
      <c r="DF41" s="62" t="s">
        <v>5</v>
      </c>
      <c r="DG41" s="62">
        <v>33</v>
      </c>
      <c r="DH41" s="58">
        <v>4.3499999999999996</v>
      </c>
      <c r="DI41" s="53"/>
      <c r="DJ41" s="53"/>
      <c r="DK41" s="53"/>
      <c r="DL41" s="53"/>
      <c r="DM41" s="63"/>
      <c r="DN41" s="63"/>
      <c r="DO41" s="62"/>
      <c r="DP41" s="62"/>
      <c r="DQ41" s="62"/>
      <c r="DR41" s="61"/>
      <c r="DS41" s="62" t="s">
        <v>5</v>
      </c>
      <c r="DT41" s="62">
        <v>33</v>
      </c>
      <c r="DU41" s="58">
        <v>4.3499999999999996</v>
      </c>
      <c r="DV41" s="53"/>
      <c r="DW41" s="53"/>
      <c r="DX41" s="53"/>
      <c r="DY41" s="53"/>
      <c r="DZ41" s="63"/>
      <c r="EA41" s="63"/>
      <c r="EB41" s="62"/>
      <c r="EC41" s="62"/>
      <c r="ED41" s="62"/>
      <c r="EE41" s="61"/>
      <c r="EG41" s="62" t="s">
        <v>5</v>
      </c>
      <c r="EH41" s="62">
        <v>33</v>
      </c>
      <c r="EI41" s="58">
        <v>4.3499999999999996</v>
      </c>
      <c r="EJ41" s="53"/>
      <c r="EK41" s="53"/>
      <c r="EL41" s="53"/>
      <c r="EM41" s="53"/>
      <c r="EN41" s="63"/>
      <c r="EO41" s="63"/>
      <c r="EP41" s="62"/>
      <c r="EQ41" s="62"/>
      <c r="ER41" s="62"/>
      <c r="ES41" s="61"/>
      <c r="ET41" s="62" t="s">
        <v>5</v>
      </c>
      <c r="EU41" s="62">
        <v>33</v>
      </c>
      <c r="EV41" s="58">
        <v>4.3499999999999996</v>
      </c>
      <c r="EW41" s="53"/>
      <c r="EX41" s="53"/>
      <c r="EY41" s="53"/>
      <c r="EZ41" s="53"/>
      <c r="FA41" s="63"/>
      <c r="FB41" s="63"/>
      <c r="FC41" s="62"/>
      <c r="FD41" s="62"/>
      <c r="FE41" s="62"/>
      <c r="FF41" s="61"/>
      <c r="FH41" s="62" t="s">
        <v>5</v>
      </c>
      <c r="FI41" s="62">
        <v>33</v>
      </c>
      <c r="FJ41" s="58">
        <v>4.3499999999999996</v>
      </c>
      <c r="FK41" s="53"/>
      <c r="FL41" s="53"/>
      <c r="FM41" s="53"/>
      <c r="FN41" s="53"/>
      <c r="FO41" s="63"/>
      <c r="FP41" s="63"/>
      <c r="FQ41" s="62"/>
      <c r="FR41" s="62"/>
      <c r="FS41" s="62"/>
      <c r="FT41" s="61"/>
      <c r="FU41" s="62" t="s">
        <v>5</v>
      </c>
      <c r="FV41" s="62">
        <v>33</v>
      </c>
      <c r="FW41" s="58">
        <v>4.3499999999999996</v>
      </c>
      <c r="FX41" s="53"/>
      <c r="FY41" s="53"/>
      <c r="FZ41" s="53"/>
      <c r="GA41" s="53"/>
      <c r="GB41" s="63"/>
      <c r="GC41" s="63"/>
      <c r="GD41" s="62"/>
      <c r="GE41" s="62"/>
      <c r="GF41" s="62"/>
      <c r="GG41" s="61"/>
      <c r="GI41" s="62" t="s">
        <v>5</v>
      </c>
      <c r="GJ41" s="62">
        <v>33</v>
      </c>
      <c r="GK41" s="58">
        <v>4.3499999999999996</v>
      </c>
      <c r="GL41" s="53"/>
      <c r="GM41" s="53"/>
      <c r="GN41" s="53"/>
      <c r="GO41" s="53"/>
      <c r="GP41" s="63"/>
      <c r="GQ41" s="63"/>
      <c r="GR41" s="62"/>
      <c r="GS41" s="62"/>
      <c r="GT41" s="62"/>
      <c r="GU41" s="61"/>
      <c r="GV41" s="62" t="s">
        <v>5</v>
      </c>
      <c r="GW41" s="62">
        <v>33</v>
      </c>
      <c r="GX41" s="58">
        <v>4.3499999999999996</v>
      </c>
      <c r="GY41" s="53"/>
      <c r="GZ41" s="53"/>
      <c r="HA41" s="53"/>
      <c r="HB41" s="53"/>
      <c r="HC41" s="63"/>
      <c r="HD41" s="63"/>
      <c r="HE41" s="62"/>
      <c r="HF41" s="62"/>
      <c r="HG41" s="62"/>
      <c r="HH41" s="61"/>
      <c r="HJ41" s="62" t="s">
        <v>5</v>
      </c>
      <c r="HK41" s="62">
        <v>33</v>
      </c>
      <c r="HL41" s="58">
        <v>4.3499999999999996</v>
      </c>
      <c r="HM41" s="53"/>
      <c r="HN41" s="53"/>
      <c r="HO41" s="53"/>
      <c r="HP41" s="53"/>
      <c r="HQ41" s="63"/>
      <c r="HR41" s="63"/>
      <c r="HS41" s="62"/>
      <c r="HT41" s="62"/>
      <c r="HU41" s="62"/>
      <c r="HV41" s="61"/>
      <c r="HW41" s="62" t="s">
        <v>5</v>
      </c>
      <c r="HX41" s="62">
        <v>33</v>
      </c>
      <c r="HY41" s="58">
        <v>4.3499999999999996</v>
      </c>
      <c r="HZ41" s="53"/>
      <c r="IA41" s="53"/>
      <c r="IB41" s="53"/>
      <c r="IC41" s="53"/>
      <c r="ID41" s="63"/>
      <c r="IE41" s="63"/>
      <c r="IF41" s="62"/>
      <c r="IG41" s="62"/>
      <c r="IH41" s="62"/>
      <c r="II41" s="61"/>
      <c r="IJ41" s="1"/>
      <c r="IK41" s="62" t="s">
        <v>5</v>
      </c>
      <c r="IL41" s="62">
        <v>33</v>
      </c>
      <c r="IM41" s="58">
        <v>4.3499999999999996</v>
      </c>
      <c r="IN41" s="53"/>
      <c r="IO41" s="53"/>
      <c r="IP41" s="53"/>
      <c r="IQ41" s="53"/>
      <c r="IR41" s="63"/>
      <c r="IS41" s="63"/>
      <c r="IT41" s="62"/>
      <c r="IU41" s="62"/>
      <c r="IV41" s="62"/>
      <c r="IW41" s="61"/>
      <c r="IX41" s="62" t="s">
        <v>5</v>
      </c>
      <c r="IY41" s="62">
        <v>33</v>
      </c>
      <c r="IZ41" s="58">
        <v>4.3499999999999996</v>
      </c>
      <c r="JA41" s="53"/>
      <c r="JB41" s="53"/>
      <c r="JC41" s="53"/>
      <c r="JD41" s="53"/>
      <c r="JE41" s="63"/>
      <c r="JF41" s="63"/>
      <c r="JG41" s="62"/>
      <c r="JH41" s="62"/>
      <c r="JI41" s="62"/>
      <c r="JJ41" s="61"/>
    </row>
    <row r="42" spans="1:270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C42" s="62" t="s">
        <v>6</v>
      </c>
      <c r="AD42" s="62">
        <v>34</v>
      </c>
      <c r="AE42" s="58">
        <v>4.3499999999999996</v>
      </c>
      <c r="AF42" s="53"/>
      <c r="AG42" s="53"/>
      <c r="AH42" s="53"/>
      <c r="AI42" s="53"/>
      <c r="AJ42" s="63"/>
      <c r="AK42" s="63"/>
      <c r="AL42" s="62"/>
      <c r="AM42" s="62"/>
      <c r="AN42" s="62"/>
      <c r="AO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D42" s="62" t="s">
        <v>6</v>
      </c>
      <c r="BE42" s="62">
        <v>34</v>
      </c>
      <c r="BF42" s="58">
        <v>4.3499999999999996</v>
      </c>
      <c r="BG42" s="53"/>
      <c r="BH42" s="53"/>
      <c r="BI42" s="53"/>
      <c r="BJ42" s="53"/>
      <c r="BK42" s="63"/>
      <c r="BL42" s="63"/>
      <c r="BM42" s="62"/>
      <c r="BN42" s="62"/>
      <c r="BO42" s="62"/>
      <c r="BP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E42" s="62" t="s">
        <v>6</v>
      </c>
      <c r="CF42" s="62">
        <v>34</v>
      </c>
      <c r="CG42" s="58">
        <v>4.3499999999999996</v>
      </c>
      <c r="CH42" s="53"/>
      <c r="CI42" s="53"/>
      <c r="CJ42" s="53"/>
      <c r="CK42" s="53"/>
      <c r="CL42" s="63"/>
      <c r="CM42" s="63"/>
      <c r="CN42" s="62"/>
      <c r="CO42" s="62"/>
      <c r="CP42" s="62"/>
      <c r="CQ42" s="61"/>
      <c r="CR42" s="62" t="s">
        <v>6</v>
      </c>
      <c r="CS42" s="62">
        <v>34</v>
      </c>
      <c r="CT42" s="58">
        <v>4.3499999999999996</v>
      </c>
      <c r="CU42" s="53"/>
      <c r="CV42" s="53"/>
      <c r="CW42" s="53"/>
      <c r="CX42" s="53"/>
      <c r="CY42" s="63"/>
      <c r="CZ42" s="63"/>
      <c r="DA42" s="62"/>
      <c r="DB42" s="62"/>
      <c r="DC42" s="62"/>
      <c r="DD42" s="61"/>
      <c r="DF42" s="62" t="s">
        <v>6</v>
      </c>
      <c r="DG42" s="62">
        <v>34</v>
      </c>
      <c r="DH42" s="58">
        <v>4.3499999999999996</v>
      </c>
      <c r="DI42" s="53"/>
      <c r="DJ42" s="53"/>
      <c r="DK42" s="53"/>
      <c r="DL42" s="53"/>
      <c r="DM42" s="63"/>
      <c r="DN42" s="63"/>
      <c r="DO42" s="62"/>
      <c r="DP42" s="62"/>
      <c r="DQ42" s="62"/>
      <c r="DR42" s="61"/>
      <c r="DS42" s="62" t="s">
        <v>6</v>
      </c>
      <c r="DT42" s="62">
        <v>34</v>
      </c>
      <c r="DU42" s="58">
        <v>4.3499999999999996</v>
      </c>
      <c r="DV42" s="53"/>
      <c r="DW42" s="53"/>
      <c r="DX42" s="53"/>
      <c r="DY42" s="53"/>
      <c r="DZ42" s="63"/>
      <c r="EA42" s="63"/>
      <c r="EB42" s="62"/>
      <c r="EC42" s="62"/>
      <c r="ED42" s="62"/>
      <c r="EE42" s="61"/>
      <c r="EG42" s="62" t="s">
        <v>6</v>
      </c>
      <c r="EH42" s="62">
        <v>34</v>
      </c>
      <c r="EI42" s="58">
        <v>4.3499999999999996</v>
      </c>
      <c r="EJ42" s="53"/>
      <c r="EK42" s="53"/>
      <c r="EL42" s="53"/>
      <c r="EM42" s="53"/>
      <c r="EN42" s="63"/>
      <c r="EO42" s="63"/>
      <c r="EP42" s="62"/>
      <c r="EQ42" s="62"/>
      <c r="ER42" s="62"/>
      <c r="ES42" s="61"/>
      <c r="ET42" s="62" t="s">
        <v>6</v>
      </c>
      <c r="EU42" s="62">
        <v>34</v>
      </c>
      <c r="EV42" s="58">
        <v>4.3499999999999996</v>
      </c>
      <c r="EW42" s="53"/>
      <c r="EX42" s="53"/>
      <c r="EY42" s="53"/>
      <c r="EZ42" s="53"/>
      <c r="FA42" s="63"/>
      <c r="FB42" s="63"/>
      <c r="FC42" s="62"/>
      <c r="FD42" s="62"/>
      <c r="FE42" s="62"/>
      <c r="FF42" s="61"/>
      <c r="FH42" s="62" t="s">
        <v>6</v>
      </c>
      <c r="FI42" s="62">
        <v>34</v>
      </c>
      <c r="FJ42" s="58">
        <v>4.3499999999999996</v>
      </c>
      <c r="FK42" s="53"/>
      <c r="FL42" s="53"/>
      <c r="FM42" s="53"/>
      <c r="FN42" s="53"/>
      <c r="FO42" s="63"/>
      <c r="FP42" s="63"/>
      <c r="FQ42" s="62"/>
      <c r="FR42" s="62"/>
      <c r="FS42" s="62"/>
      <c r="FT42" s="61"/>
      <c r="FU42" s="62" t="s">
        <v>6</v>
      </c>
      <c r="FV42" s="62">
        <v>34</v>
      </c>
      <c r="FW42" s="58">
        <v>4.3499999999999996</v>
      </c>
      <c r="FX42" s="53"/>
      <c r="FY42" s="53"/>
      <c r="FZ42" s="53"/>
      <c r="GA42" s="53"/>
      <c r="GB42" s="63"/>
      <c r="GC42" s="63"/>
      <c r="GD42" s="62"/>
      <c r="GE42" s="62"/>
      <c r="GF42" s="62"/>
      <c r="GG42" s="61"/>
      <c r="GI42" s="62" t="s">
        <v>6</v>
      </c>
      <c r="GJ42" s="62">
        <v>34</v>
      </c>
      <c r="GK42" s="58">
        <v>4.3499999999999996</v>
      </c>
      <c r="GL42" s="53"/>
      <c r="GM42" s="53"/>
      <c r="GN42" s="53"/>
      <c r="GO42" s="53"/>
      <c r="GP42" s="63"/>
      <c r="GQ42" s="63"/>
      <c r="GR42" s="62"/>
      <c r="GS42" s="62"/>
      <c r="GT42" s="62"/>
      <c r="GU42" s="61"/>
      <c r="GV42" s="62" t="s">
        <v>6</v>
      </c>
      <c r="GW42" s="62">
        <v>34</v>
      </c>
      <c r="GX42" s="58">
        <v>4.3499999999999996</v>
      </c>
      <c r="GY42" s="53"/>
      <c r="GZ42" s="53"/>
      <c r="HA42" s="53"/>
      <c r="HB42" s="53"/>
      <c r="HC42" s="63"/>
      <c r="HD42" s="63"/>
      <c r="HE42" s="62"/>
      <c r="HF42" s="62"/>
      <c r="HG42" s="62"/>
      <c r="HH42" s="61"/>
      <c r="HJ42" s="62" t="s">
        <v>6</v>
      </c>
      <c r="HK42" s="62">
        <v>34</v>
      </c>
      <c r="HL42" s="58">
        <v>4.3499999999999996</v>
      </c>
      <c r="HM42" s="53"/>
      <c r="HN42" s="53"/>
      <c r="HO42" s="53"/>
      <c r="HP42" s="53"/>
      <c r="HQ42" s="63"/>
      <c r="HR42" s="63"/>
      <c r="HS42" s="62"/>
      <c r="HT42" s="62"/>
      <c r="HU42" s="62"/>
      <c r="HV42" s="61"/>
      <c r="HW42" s="62" t="s">
        <v>6</v>
      </c>
      <c r="HX42" s="62">
        <v>34</v>
      </c>
      <c r="HY42" s="58">
        <v>4.3499999999999996</v>
      </c>
      <c r="HZ42" s="53"/>
      <c r="IA42" s="53"/>
      <c r="IB42" s="53"/>
      <c r="IC42" s="53"/>
      <c r="ID42" s="63"/>
      <c r="IE42" s="63"/>
      <c r="IF42" s="62"/>
      <c r="IG42" s="62"/>
      <c r="IH42" s="62"/>
      <c r="II42" s="61"/>
      <c r="IK42" s="62" t="s">
        <v>6</v>
      </c>
      <c r="IL42" s="62">
        <v>34</v>
      </c>
      <c r="IM42" s="58">
        <v>4.3499999999999996</v>
      </c>
      <c r="IN42" s="53"/>
      <c r="IO42" s="53"/>
      <c r="IP42" s="53"/>
      <c r="IQ42" s="53"/>
      <c r="IR42" s="63"/>
      <c r="IS42" s="63"/>
      <c r="IT42" s="62"/>
      <c r="IU42" s="62"/>
      <c r="IV42" s="62"/>
      <c r="IW42" s="61"/>
      <c r="IX42" s="62" t="s">
        <v>6</v>
      </c>
      <c r="IY42" s="62">
        <v>34</v>
      </c>
      <c r="IZ42" s="58">
        <v>4.3499999999999996</v>
      </c>
      <c r="JA42" s="53"/>
      <c r="JB42" s="53"/>
      <c r="JC42" s="53"/>
      <c r="JD42" s="53"/>
      <c r="JE42" s="63"/>
      <c r="JF42" s="63"/>
      <c r="JG42" s="62"/>
      <c r="JH42" s="62"/>
      <c r="JI42" s="62"/>
      <c r="JJ42" s="61"/>
    </row>
    <row r="43" spans="1:270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C43" s="62" t="s">
        <v>1</v>
      </c>
      <c r="AD43" s="62">
        <v>35</v>
      </c>
      <c r="AE43" s="58">
        <v>4.3499999999999996</v>
      </c>
      <c r="AF43" s="53"/>
      <c r="AG43" s="53"/>
      <c r="AH43" s="53"/>
      <c r="AI43" s="53"/>
      <c r="AJ43" s="63"/>
      <c r="AK43" s="63"/>
      <c r="AL43" s="62"/>
      <c r="AM43" s="62"/>
      <c r="AN43" s="62"/>
      <c r="AO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D43" s="62" t="s">
        <v>1</v>
      </c>
      <c r="BE43" s="62">
        <v>35</v>
      </c>
      <c r="BF43" s="58">
        <v>4.3499999999999996</v>
      </c>
      <c r="BG43" s="53"/>
      <c r="BH43" s="53"/>
      <c r="BI43" s="53"/>
      <c r="BJ43" s="53"/>
      <c r="BK43" s="63"/>
      <c r="BL43" s="63"/>
      <c r="BM43" s="62"/>
      <c r="BN43" s="62"/>
      <c r="BO43" s="62"/>
      <c r="BP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E43" s="62" t="s">
        <v>1</v>
      </c>
      <c r="CF43" s="62">
        <v>35</v>
      </c>
      <c r="CG43" s="58">
        <v>4.3499999999999996</v>
      </c>
      <c r="CH43" s="53"/>
      <c r="CI43" s="53"/>
      <c r="CJ43" s="53"/>
      <c r="CK43" s="53"/>
      <c r="CL43" s="63"/>
      <c r="CM43" s="63"/>
      <c r="CN43" s="62"/>
      <c r="CO43" s="62"/>
      <c r="CP43" s="62"/>
      <c r="CQ43" s="61"/>
      <c r="CR43" s="62" t="s">
        <v>1</v>
      </c>
      <c r="CS43" s="62">
        <v>35</v>
      </c>
      <c r="CT43" s="58">
        <v>4.3499999999999996</v>
      </c>
      <c r="CU43" s="53"/>
      <c r="CV43" s="53"/>
      <c r="CW43" s="53"/>
      <c r="CX43" s="53"/>
      <c r="CY43" s="63"/>
      <c r="CZ43" s="63"/>
      <c r="DA43" s="62"/>
      <c r="DB43" s="62"/>
      <c r="DC43" s="62"/>
      <c r="DD43" s="61"/>
      <c r="DF43" s="62" t="s">
        <v>1</v>
      </c>
      <c r="DG43" s="62">
        <v>35</v>
      </c>
      <c r="DH43" s="58">
        <v>4.3499999999999996</v>
      </c>
      <c r="DI43" s="53"/>
      <c r="DJ43" s="53"/>
      <c r="DK43" s="53"/>
      <c r="DL43" s="53"/>
      <c r="DM43" s="63"/>
      <c r="DN43" s="63"/>
      <c r="DO43" s="62"/>
      <c r="DP43" s="62"/>
      <c r="DQ43" s="62"/>
      <c r="DR43" s="61"/>
      <c r="DS43" s="62" t="s">
        <v>1</v>
      </c>
      <c r="DT43" s="62">
        <v>35</v>
      </c>
      <c r="DU43" s="58">
        <v>4.3499999999999996</v>
      </c>
      <c r="DV43" s="53"/>
      <c r="DW43" s="53"/>
      <c r="DX43" s="53"/>
      <c r="DY43" s="53"/>
      <c r="DZ43" s="63"/>
      <c r="EA43" s="63"/>
      <c r="EB43" s="62"/>
      <c r="EC43" s="62"/>
      <c r="ED43" s="62"/>
      <c r="EE43" s="61"/>
      <c r="EG43" s="62" t="s">
        <v>1</v>
      </c>
      <c r="EH43" s="62">
        <v>35</v>
      </c>
      <c r="EI43" s="58">
        <v>4.3499999999999996</v>
      </c>
      <c r="EJ43" s="53"/>
      <c r="EK43" s="53"/>
      <c r="EL43" s="53"/>
      <c r="EM43" s="53"/>
      <c r="EN43" s="63"/>
      <c r="EO43" s="63"/>
      <c r="EP43" s="62"/>
      <c r="EQ43" s="62"/>
      <c r="ER43" s="62"/>
      <c r="ES43" s="61"/>
      <c r="ET43" s="62" t="s">
        <v>1</v>
      </c>
      <c r="EU43" s="62">
        <v>35</v>
      </c>
      <c r="EV43" s="58">
        <v>4.3499999999999996</v>
      </c>
      <c r="EW43" s="53"/>
      <c r="EX43" s="53"/>
      <c r="EY43" s="53"/>
      <c r="EZ43" s="53"/>
      <c r="FA43" s="63"/>
      <c r="FB43" s="63"/>
      <c r="FC43" s="62"/>
      <c r="FD43" s="62"/>
      <c r="FE43" s="62"/>
      <c r="FF43" s="61"/>
      <c r="FH43" s="62" t="s">
        <v>1</v>
      </c>
      <c r="FI43" s="62">
        <v>35</v>
      </c>
      <c r="FJ43" s="58">
        <v>4.3499999999999996</v>
      </c>
      <c r="FK43" s="53"/>
      <c r="FL43" s="53"/>
      <c r="FM43" s="53"/>
      <c r="FN43" s="53"/>
      <c r="FO43" s="63"/>
      <c r="FP43" s="63"/>
      <c r="FQ43" s="62"/>
      <c r="FR43" s="62"/>
      <c r="FS43" s="62"/>
      <c r="FT43" s="61"/>
      <c r="FU43" s="62" t="s">
        <v>1</v>
      </c>
      <c r="FV43" s="62">
        <v>35</v>
      </c>
      <c r="FW43" s="58">
        <v>4.3499999999999996</v>
      </c>
      <c r="FX43" s="53"/>
      <c r="FY43" s="53"/>
      <c r="FZ43" s="53"/>
      <c r="GA43" s="53"/>
      <c r="GB43" s="63"/>
      <c r="GC43" s="63"/>
      <c r="GD43" s="62"/>
      <c r="GE43" s="62"/>
      <c r="GF43" s="62"/>
      <c r="GG43" s="61"/>
      <c r="GI43" s="62" t="s">
        <v>1</v>
      </c>
      <c r="GJ43" s="62">
        <v>35</v>
      </c>
      <c r="GK43" s="58">
        <v>4.3499999999999996</v>
      </c>
      <c r="GL43" s="53"/>
      <c r="GM43" s="53"/>
      <c r="GN43" s="53"/>
      <c r="GO43" s="53"/>
      <c r="GP43" s="63"/>
      <c r="GQ43" s="63"/>
      <c r="GR43" s="62"/>
      <c r="GS43" s="62"/>
      <c r="GT43" s="62"/>
      <c r="GU43" s="61"/>
      <c r="GV43" s="62" t="s">
        <v>1</v>
      </c>
      <c r="GW43" s="62">
        <v>35</v>
      </c>
      <c r="GX43" s="58">
        <v>4.3499999999999996</v>
      </c>
      <c r="GY43" s="53"/>
      <c r="GZ43" s="53"/>
      <c r="HA43" s="53"/>
      <c r="HB43" s="53"/>
      <c r="HC43" s="63"/>
      <c r="HD43" s="63"/>
      <c r="HE43" s="62"/>
      <c r="HF43" s="62"/>
      <c r="HG43" s="62"/>
      <c r="HH43" s="61"/>
      <c r="HJ43" s="62" t="s">
        <v>1</v>
      </c>
      <c r="HK43" s="62">
        <v>35</v>
      </c>
      <c r="HL43" s="58">
        <v>4.3499999999999996</v>
      </c>
      <c r="HM43" s="53"/>
      <c r="HN43" s="53"/>
      <c r="HO43" s="53"/>
      <c r="HP43" s="53"/>
      <c r="HQ43" s="63"/>
      <c r="HR43" s="63"/>
      <c r="HS43" s="62"/>
      <c r="HT43" s="62"/>
      <c r="HU43" s="62"/>
      <c r="HV43" s="61"/>
      <c r="HW43" s="62" t="s">
        <v>1</v>
      </c>
      <c r="HX43" s="62">
        <v>35</v>
      </c>
      <c r="HY43" s="58">
        <v>4.3499999999999996</v>
      </c>
      <c r="HZ43" s="53"/>
      <c r="IA43" s="53"/>
      <c r="IB43" s="53"/>
      <c r="IC43" s="53"/>
      <c r="ID43" s="63"/>
      <c r="IE43" s="63"/>
      <c r="IF43" s="62"/>
      <c r="IG43" s="62"/>
      <c r="IH43" s="62"/>
      <c r="II43" s="61"/>
      <c r="IJ43" s="1"/>
      <c r="IK43" s="62" t="s">
        <v>1</v>
      </c>
      <c r="IL43" s="62">
        <v>35</v>
      </c>
      <c r="IM43" s="58">
        <v>4.3499999999999996</v>
      </c>
      <c r="IN43" s="53"/>
      <c r="IO43" s="53"/>
      <c r="IP43" s="53"/>
      <c r="IQ43" s="53"/>
      <c r="IR43" s="63"/>
      <c r="IS43" s="63"/>
      <c r="IT43" s="62"/>
      <c r="IU43" s="62"/>
      <c r="IV43" s="62"/>
      <c r="IW43" s="61"/>
      <c r="IX43" s="62" t="s">
        <v>1</v>
      </c>
      <c r="IY43" s="62">
        <v>35</v>
      </c>
      <c r="IZ43" s="58">
        <v>4.3499999999999996</v>
      </c>
      <c r="JA43" s="53"/>
      <c r="JB43" s="53"/>
      <c r="JC43" s="53"/>
      <c r="JD43" s="53"/>
      <c r="JE43" s="63"/>
      <c r="JF43" s="63"/>
      <c r="JG43" s="62"/>
      <c r="JH43" s="62"/>
      <c r="JI43" s="62"/>
      <c r="JJ43" s="61"/>
    </row>
    <row r="44" spans="1:270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C44" s="8"/>
      <c r="AD44" s="7"/>
      <c r="AE44" s="64"/>
      <c r="AF44" s="64"/>
      <c r="AG44" s="64"/>
      <c r="AH44" s="64"/>
      <c r="AI44" s="64"/>
      <c r="AJ44" s="65"/>
      <c r="AK44" s="65"/>
      <c r="AL44" s="8"/>
      <c r="AM44" s="8"/>
      <c r="AN44" s="8"/>
      <c r="AO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D44" s="8"/>
      <c r="BE44" s="7"/>
      <c r="BF44" s="64"/>
      <c r="BG44" s="64"/>
      <c r="BH44" s="64"/>
      <c r="BI44" s="64"/>
      <c r="BJ44" s="64"/>
      <c r="BK44" s="65"/>
      <c r="BL44" s="65"/>
      <c r="BM44" s="8"/>
      <c r="BN44" s="8"/>
      <c r="BO44" s="8"/>
      <c r="BP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E44" s="8"/>
      <c r="CF44" s="7"/>
      <c r="CG44" s="64"/>
      <c r="CH44" s="64"/>
      <c r="CI44" s="64"/>
      <c r="CJ44" s="64"/>
      <c r="CK44" s="64"/>
      <c r="CL44" s="65"/>
      <c r="CM44" s="65"/>
      <c r="CN44" s="8"/>
      <c r="CO44" s="8"/>
      <c r="CP44" s="8"/>
      <c r="CQ44" s="66"/>
      <c r="CR44" s="8"/>
      <c r="CS44" s="7"/>
      <c r="CT44" s="64"/>
      <c r="CU44" s="64"/>
      <c r="CV44" s="64"/>
      <c r="CW44" s="64"/>
      <c r="CX44" s="64"/>
      <c r="CY44" s="65"/>
      <c r="CZ44" s="65"/>
      <c r="DA44" s="8"/>
      <c r="DB44" s="8"/>
      <c r="DC44" s="8"/>
      <c r="DD44" s="66"/>
      <c r="DF44" s="8"/>
      <c r="DG44" s="7"/>
      <c r="DH44" s="64"/>
      <c r="DI44" s="64"/>
      <c r="DJ44" s="64"/>
      <c r="DK44" s="64"/>
      <c r="DL44" s="64"/>
      <c r="DM44" s="65"/>
      <c r="DN44" s="65"/>
      <c r="DO44" s="8"/>
      <c r="DP44" s="8"/>
      <c r="DQ44" s="8"/>
      <c r="DR44" s="66"/>
      <c r="DS44" s="8"/>
      <c r="DT44" s="7"/>
      <c r="DU44" s="64"/>
      <c r="DV44" s="64"/>
      <c r="DW44" s="64"/>
      <c r="DX44" s="64"/>
      <c r="DY44" s="64"/>
      <c r="DZ44" s="65"/>
      <c r="EA44" s="65"/>
      <c r="EB44" s="8"/>
      <c r="EC44" s="8"/>
      <c r="ED44" s="8"/>
      <c r="EE44" s="66"/>
      <c r="EG44" s="8"/>
      <c r="EH44" s="7"/>
      <c r="EI44" s="64"/>
      <c r="EJ44" s="64"/>
      <c r="EK44" s="64"/>
      <c r="EL44" s="64"/>
      <c r="EM44" s="64"/>
      <c r="EN44" s="65"/>
      <c r="EO44" s="65"/>
      <c r="EP44" s="8"/>
      <c r="EQ44" s="8"/>
      <c r="ER44" s="8"/>
      <c r="ES44" s="66"/>
      <c r="ET44" s="8"/>
      <c r="EU44" s="7"/>
      <c r="EV44" s="64"/>
      <c r="EW44" s="64"/>
      <c r="EX44" s="64"/>
      <c r="EY44" s="64"/>
      <c r="EZ44" s="64"/>
      <c r="FA44" s="65"/>
      <c r="FB44" s="65"/>
      <c r="FC44" s="8"/>
      <c r="FD44" s="8"/>
      <c r="FE44" s="8"/>
      <c r="FF44" s="66"/>
      <c r="FH44" s="8"/>
      <c r="FI44" s="7"/>
      <c r="FJ44" s="64"/>
      <c r="FK44" s="64"/>
      <c r="FL44" s="64"/>
      <c r="FM44" s="64"/>
      <c r="FN44" s="64"/>
      <c r="FO44" s="65"/>
      <c r="FP44" s="65"/>
      <c r="FQ44" s="8"/>
      <c r="FR44" s="8"/>
      <c r="FS44" s="8"/>
      <c r="FT44" s="66"/>
      <c r="FU44" s="8"/>
      <c r="FV44" s="7"/>
      <c r="FW44" s="64"/>
      <c r="FX44" s="64"/>
      <c r="FY44" s="64"/>
      <c r="FZ44" s="64"/>
      <c r="GA44" s="64"/>
      <c r="GB44" s="65"/>
      <c r="GC44" s="65"/>
      <c r="GD44" s="8"/>
      <c r="GE44" s="8"/>
      <c r="GF44" s="8"/>
      <c r="GG44" s="66"/>
      <c r="GI44" s="8"/>
      <c r="GJ44" s="7"/>
      <c r="GK44" s="64"/>
      <c r="GL44" s="64"/>
      <c r="GM44" s="64"/>
      <c r="GN44" s="64"/>
      <c r="GO44" s="64"/>
      <c r="GP44" s="65"/>
      <c r="GQ44" s="65"/>
      <c r="GR44" s="8"/>
      <c r="GS44" s="8"/>
      <c r="GT44" s="8"/>
      <c r="GU44" s="66"/>
      <c r="GV44" s="8"/>
      <c r="GW44" s="7"/>
      <c r="GX44" s="64"/>
      <c r="GY44" s="64"/>
      <c r="GZ44" s="64"/>
      <c r="HA44" s="64"/>
      <c r="HB44" s="64"/>
      <c r="HC44" s="65"/>
      <c r="HD44" s="65"/>
      <c r="HE44" s="8"/>
      <c r="HF44" s="8"/>
      <c r="HG44" s="8"/>
      <c r="HH44" s="66"/>
      <c r="HJ44" s="8"/>
      <c r="HK44" s="7"/>
      <c r="HL44" s="64"/>
      <c r="HM44" s="64"/>
      <c r="HN44" s="64"/>
      <c r="HO44" s="64"/>
      <c r="HP44" s="64"/>
      <c r="HQ44" s="65"/>
      <c r="HR44" s="65"/>
      <c r="HS44" s="8"/>
      <c r="HT44" s="8"/>
      <c r="HU44" s="8"/>
      <c r="HV44" s="66"/>
      <c r="HW44" s="8"/>
      <c r="HX44" s="7"/>
      <c r="HY44" s="64"/>
      <c r="HZ44" s="64"/>
      <c r="IA44" s="64"/>
      <c r="IB44" s="64"/>
      <c r="IC44" s="64"/>
      <c r="ID44" s="65"/>
      <c r="IE44" s="65"/>
      <c r="IF44" s="8"/>
      <c r="IG44" s="8"/>
      <c r="IH44" s="8"/>
      <c r="II44" s="66"/>
      <c r="IK44" s="8"/>
      <c r="IL44" s="7"/>
      <c r="IM44" s="64"/>
      <c r="IN44" s="64"/>
      <c r="IO44" s="64"/>
      <c r="IP44" s="64"/>
      <c r="IQ44" s="64"/>
      <c r="IR44" s="65"/>
      <c r="IS44" s="65"/>
      <c r="IT44" s="8"/>
      <c r="IU44" s="8"/>
      <c r="IV44" s="8"/>
      <c r="IW44" s="66"/>
      <c r="IX44" s="8"/>
      <c r="IY44" s="7"/>
      <c r="IZ44" s="64"/>
      <c r="JA44" s="64"/>
      <c r="JB44" s="64"/>
      <c r="JC44" s="64"/>
      <c r="JD44" s="64"/>
      <c r="JE44" s="65"/>
      <c r="JF44" s="65"/>
      <c r="JG44" s="8"/>
      <c r="JH44" s="8"/>
      <c r="JI44" s="8"/>
      <c r="JJ44" s="66"/>
    </row>
    <row r="45" spans="1:270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C45" s="38"/>
      <c r="AD45" s="38"/>
      <c r="AE45" s="24"/>
      <c r="AF45" s="24"/>
      <c r="AG45" s="135"/>
      <c r="AH45" s="24"/>
      <c r="AI45" s="24"/>
      <c r="AJ45" s="22"/>
      <c r="AK45" s="22"/>
      <c r="AL45" s="38"/>
      <c r="AM45" s="24"/>
      <c r="AN45" s="24"/>
      <c r="AO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D45" s="38"/>
      <c r="BE45" s="38"/>
      <c r="BF45" s="24"/>
      <c r="BG45" s="24"/>
      <c r="BH45" s="135"/>
      <c r="BI45" s="24"/>
      <c r="BJ45" s="24"/>
      <c r="BK45" s="22"/>
      <c r="BL45" s="22"/>
      <c r="BM45" s="38"/>
      <c r="BN45" s="24"/>
      <c r="BO45" s="24"/>
      <c r="BP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E45" s="38"/>
      <c r="CF45" s="38"/>
      <c r="CG45" s="24"/>
      <c r="CH45" s="24"/>
      <c r="CI45" s="135"/>
      <c r="CJ45" s="24"/>
      <c r="CK45" s="24"/>
      <c r="CL45" s="22"/>
      <c r="CM45" s="22"/>
      <c r="CN45" s="38"/>
      <c r="CO45" s="24"/>
      <c r="CP45" s="24"/>
      <c r="CQ45" s="25"/>
      <c r="CR45" s="38"/>
      <c r="CS45" s="38"/>
      <c r="CT45" s="24"/>
      <c r="CU45" s="24"/>
      <c r="CV45" s="135"/>
      <c r="CW45" s="24"/>
      <c r="CX45" s="24"/>
      <c r="CY45" s="22"/>
      <c r="CZ45" s="22"/>
      <c r="DA45" s="38"/>
      <c r="DB45" s="24"/>
      <c r="DC45" s="24"/>
      <c r="DD45" s="25"/>
      <c r="DF45" s="38"/>
      <c r="DG45" s="38"/>
      <c r="DH45" s="24"/>
      <c r="DI45" s="24"/>
      <c r="DJ45" s="135"/>
      <c r="DK45" s="24"/>
      <c r="DL45" s="24"/>
      <c r="DM45" s="22"/>
      <c r="DN45" s="22"/>
      <c r="DO45" s="38"/>
      <c r="DP45" s="24"/>
      <c r="DQ45" s="24"/>
      <c r="DR45" s="25"/>
      <c r="DS45" s="38"/>
      <c r="DT45" s="38"/>
      <c r="DU45" s="24"/>
      <c r="DV45" s="24"/>
      <c r="DW45" s="135"/>
      <c r="DX45" s="24"/>
      <c r="DY45" s="24"/>
      <c r="DZ45" s="22"/>
      <c r="EA45" s="22"/>
      <c r="EB45" s="38"/>
      <c r="EC45" s="24"/>
      <c r="ED45" s="24"/>
      <c r="EE45" s="25"/>
      <c r="EG45" s="38"/>
      <c r="EH45" s="38"/>
      <c r="EI45" s="24"/>
      <c r="EJ45" s="24"/>
      <c r="EK45" s="135"/>
      <c r="EL45" s="24"/>
      <c r="EM45" s="24"/>
      <c r="EN45" s="22"/>
      <c r="EO45" s="22"/>
      <c r="EP45" s="38"/>
      <c r="EQ45" s="24"/>
      <c r="ER45" s="24"/>
      <c r="ES45" s="25"/>
      <c r="ET45" s="38"/>
      <c r="EU45" s="38"/>
      <c r="EV45" s="24"/>
      <c r="EW45" s="24"/>
      <c r="EX45" s="135"/>
      <c r="EY45" s="24"/>
      <c r="EZ45" s="24"/>
      <c r="FA45" s="22"/>
      <c r="FB45" s="22"/>
      <c r="FC45" s="38"/>
      <c r="FD45" s="24"/>
      <c r="FE45" s="24"/>
      <c r="FF45" s="25"/>
      <c r="FH45" s="38"/>
      <c r="FI45" s="38"/>
      <c r="FJ45" s="24"/>
      <c r="FK45" s="24"/>
      <c r="FL45" s="135"/>
      <c r="FM45" s="24"/>
      <c r="FN45" s="24"/>
      <c r="FO45" s="22"/>
      <c r="FP45" s="22"/>
      <c r="FQ45" s="38"/>
      <c r="FR45" s="24"/>
      <c r="FS45" s="24"/>
      <c r="FT45" s="25"/>
      <c r="FU45" s="38"/>
      <c r="FV45" s="38"/>
      <c r="FW45" s="24"/>
      <c r="FX45" s="24"/>
      <c r="FY45" s="135"/>
      <c r="FZ45" s="24"/>
      <c r="GA45" s="24"/>
      <c r="GB45" s="22"/>
      <c r="GC45" s="22"/>
      <c r="GD45" s="38"/>
      <c r="GE45" s="24"/>
      <c r="GF45" s="24"/>
      <c r="GG45" s="25"/>
      <c r="GI45" s="38"/>
      <c r="GJ45" s="38"/>
      <c r="GK45" s="24"/>
      <c r="GL45" s="24"/>
      <c r="GM45" s="135"/>
      <c r="GN45" s="24"/>
      <c r="GO45" s="24"/>
      <c r="GP45" s="22"/>
      <c r="GQ45" s="22"/>
      <c r="GR45" s="38"/>
      <c r="GS45" s="24"/>
      <c r="GT45" s="24"/>
      <c r="GU45" s="25"/>
      <c r="GV45" s="38"/>
      <c r="GW45" s="38"/>
      <c r="GX45" s="24"/>
      <c r="GY45" s="24"/>
      <c r="GZ45" s="135"/>
      <c r="HA45" s="24"/>
      <c r="HB45" s="24"/>
      <c r="HC45" s="22"/>
      <c r="HD45" s="22"/>
      <c r="HE45" s="38"/>
      <c r="HF45" s="24"/>
      <c r="HG45" s="24"/>
      <c r="HH45" s="25"/>
      <c r="HJ45" s="38"/>
      <c r="HK45" s="38"/>
      <c r="HL45" s="24"/>
      <c r="HM45" s="24"/>
      <c r="HN45" s="135"/>
      <c r="HO45" s="24"/>
      <c r="HP45" s="24"/>
      <c r="HQ45" s="22"/>
      <c r="HR45" s="22"/>
      <c r="HS45" s="38"/>
      <c r="HT45" s="24"/>
      <c r="HU45" s="24"/>
      <c r="HV45" s="25"/>
      <c r="HW45" s="38"/>
      <c r="HX45" s="38"/>
      <c r="HY45" s="24"/>
      <c r="HZ45" s="24"/>
      <c r="IA45" s="135"/>
      <c r="IB45" s="24"/>
      <c r="IC45" s="24"/>
      <c r="ID45" s="22"/>
      <c r="IE45" s="22"/>
      <c r="IF45" s="38"/>
      <c r="IG45" s="24"/>
      <c r="IH45" s="24"/>
      <c r="II45" s="25"/>
      <c r="IJ45" s="1"/>
      <c r="IK45" s="38"/>
      <c r="IL45" s="38"/>
      <c r="IM45" s="24"/>
      <c r="IN45" s="24"/>
      <c r="IO45" s="135"/>
      <c r="IP45" s="24"/>
      <c r="IQ45" s="24"/>
      <c r="IR45" s="22"/>
      <c r="IS45" s="22"/>
      <c r="IT45" s="38"/>
      <c r="IU45" s="24"/>
      <c r="IV45" s="24"/>
      <c r="IW45" s="25"/>
      <c r="IX45" s="38"/>
      <c r="IY45" s="38"/>
      <c r="IZ45" s="24"/>
      <c r="JA45" s="24"/>
      <c r="JB45" s="135"/>
      <c r="JC45" s="24"/>
      <c r="JD45" s="24"/>
      <c r="JE45" s="22"/>
      <c r="JF45" s="22"/>
      <c r="JG45" s="38"/>
      <c r="JH45" s="24"/>
      <c r="JI45" s="24"/>
      <c r="JJ45" s="25"/>
    </row>
    <row r="46" spans="1:270" s="4" customFormat="1" ht="18.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C46" s="160" t="s">
        <v>58</v>
      </c>
      <c r="AD46" s="161"/>
      <c r="AE46" s="148" t="s">
        <v>10</v>
      </c>
      <c r="AF46" s="149"/>
      <c r="AG46" s="148" t="s">
        <v>11</v>
      </c>
      <c r="AH46" s="149"/>
      <c r="AI46" s="146" t="s">
        <v>6</v>
      </c>
      <c r="AJ46" s="147"/>
      <c r="AK46" s="84"/>
      <c r="AL46" s="158" t="s">
        <v>16</v>
      </c>
      <c r="AM46" s="159"/>
      <c r="AN46" s="158" t="s">
        <v>17</v>
      </c>
      <c r="AO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D46" s="160" t="s">
        <v>58</v>
      </c>
      <c r="BE46" s="161"/>
      <c r="BF46" s="148" t="s">
        <v>10</v>
      </c>
      <c r="BG46" s="149"/>
      <c r="BH46" s="148" t="s">
        <v>11</v>
      </c>
      <c r="BI46" s="149"/>
      <c r="BJ46" s="146" t="s">
        <v>6</v>
      </c>
      <c r="BK46" s="147"/>
      <c r="BL46" s="84"/>
      <c r="BM46" s="158" t="s">
        <v>16</v>
      </c>
      <c r="BN46" s="159"/>
      <c r="BO46" s="158" t="s">
        <v>17</v>
      </c>
      <c r="BP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E46" s="160" t="s">
        <v>58</v>
      </c>
      <c r="CF46" s="161"/>
      <c r="CG46" s="148" t="s">
        <v>10</v>
      </c>
      <c r="CH46" s="149"/>
      <c r="CI46" s="148" t="s">
        <v>11</v>
      </c>
      <c r="CJ46" s="149"/>
      <c r="CK46" s="146" t="s">
        <v>6</v>
      </c>
      <c r="CL46" s="147"/>
      <c r="CM46" s="84"/>
      <c r="CN46" s="158" t="s">
        <v>16</v>
      </c>
      <c r="CO46" s="159"/>
      <c r="CP46" s="158" t="s">
        <v>17</v>
      </c>
      <c r="CQ46" s="159"/>
      <c r="CR46" s="160" t="s">
        <v>58</v>
      </c>
      <c r="CS46" s="161"/>
      <c r="CT46" s="148" t="s">
        <v>10</v>
      </c>
      <c r="CU46" s="149"/>
      <c r="CV46" s="148" t="s">
        <v>11</v>
      </c>
      <c r="CW46" s="149"/>
      <c r="CX46" s="146" t="s">
        <v>6</v>
      </c>
      <c r="CY46" s="147"/>
      <c r="CZ46" s="84"/>
      <c r="DA46" s="158" t="s">
        <v>16</v>
      </c>
      <c r="DB46" s="159"/>
      <c r="DC46" s="158" t="s">
        <v>17</v>
      </c>
      <c r="DD46" s="159"/>
      <c r="DF46" s="160" t="s">
        <v>58</v>
      </c>
      <c r="DG46" s="161"/>
      <c r="DH46" s="148" t="s">
        <v>10</v>
      </c>
      <c r="DI46" s="149"/>
      <c r="DJ46" s="148" t="s">
        <v>11</v>
      </c>
      <c r="DK46" s="149"/>
      <c r="DL46" s="146" t="s">
        <v>6</v>
      </c>
      <c r="DM46" s="147"/>
      <c r="DN46" s="84"/>
      <c r="DO46" s="158" t="s">
        <v>16</v>
      </c>
      <c r="DP46" s="159"/>
      <c r="DQ46" s="158" t="s">
        <v>17</v>
      </c>
      <c r="DR46" s="159"/>
      <c r="DS46" s="160" t="s">
        <v>58</v>
      </c>
      <c r="DT46" s="161"/>
      <c r="DU46" s="148" t="s">
        <v>10</v>
      </c>
      <c r="DV46" s="149"/>
      <c r="DW46" s="148" t="s">
        <v>11</v>
      </c>
      <c r="DX46" s="149"/>
      <c r="DY46" s="146" t="s">
        <v>6</v>
      </c>
      <c r="DZ46" s="147"/>
      <c r="EA46" s="84"/>
      <c r="EB46" s="158" t="s">
        <v>16</v>
      </c>
      <c r="EC46" s="159"/>
      <c r="ED46" s="158" t="s">
        <v>17</v>
      </c>
      <c r="EE46" s="159"/>
      <c r="EG46" s="160" t="s">
        <v>58</v>
      </c>
      <c r="EH46" s="161"/>
      <c r="EI46" s="148" t="s">
        <v>10</v>
      </c>
      <c r="EJ46" s="149"/>
      <c r="EK46" s="148" t="s">
        <v>11</v>
      </c>
      <c r="EL46" s="149"/>
      <c r="EM46" s="146" t="s">
        <v>6</v>
      </c>
      <c r="EN46" s="147"/>
      <c r="EO46" s="84"/>
      <c r="EP46" s="158" t="s">
        <v>16</v>
      </c>
      <c r="EQ46" s="159"/>
      <c r="ER46" s="158" t="s">
        <v>17</v>
      </c>
      <c r="ES46" s="159"/>
      <c r="ET46" s="160" t="s">
        <v>58</v>
      </c>
      <c r="EU46" s="161"/>
      <c r="EV46" s="148" t="s">
        <v>10</v>
      </c>
      <c r="EW46" s="149"/>
      <c r="EX46" s="148" t="s">
        <v>11</v>
      </c>
      <c r="EY46" s="149"/>
      <c r="EZ46" s="146" t="s">
        <v>6</v>
      </c>
      <c r="FA46" s="147"/>
      <c r="FB46" s="84"/>
      <c r="FC46" s="158" t="s">
        <v>16</v>
      </c>
      <c r="FD46" s="159"/>
      <c r="FE46" s="158" t="s">
        <v>17</v>
      </c>
      <c r="FF46" s="159"/>
      <c r="FH46" s="160" t="s">
        <v>58</v>
      </c>
      <c r="FI46" s="161"/>
      <c r="FJ46" s="148" t="s">
        <v>10</v>
      </c>
      <c r="FK46" s="149"/>
      <c r="FL46" s="148" t="s">
        <v>11</v>
      </c>
      <c r="FM46" s="149"/>
      <c r="FN46" s="146" t="s">
        <v>6</v>
      </c>
      <c r="FO46" s="147"/>
      <c r="FP46" s="84"/>
      <c r="FQ46" s="158" t="s">
        <v>16</v>
      </c>
      <c r="FR46" s="159"/>
      <c r="FS46" s="158" t="s">
        <v>17</v>
      </c>
      <c r="FT46" s="159"/>
      <c r="FU46" s="160" t="s">
        <v>58</v>
      </c>
      <c r="FV46" s="161"/>
      <c r="FW46" s="148" t="s">
        <v>10</v>
      </c>
      <c r="FX46" s="149"/>
      <c r="FY46" s="148" t="s">
        <v>11</v>
      </c>
      <c r="FZ46" s="149"/>
      <c r="GA46" s="146" t="s">
        <v>6</v>
      </c>
      <c r="GB46" s="147"/>
      <c r="GC46" s="84"/>
      <c r="GD46" s="158" t="s">
        <v>16</v>
      </c>
      <c r="GE46" s="159"/>
      <c r="GF46" s="158" t="s">
        <v>17</v>
      </c>
      <c r="GG46" s="159"/>
      <c r="GI46" s="160" t="s">
        <v>58</v>
      </c>
      <c r="GJ46" s="161"/>
      <c r="GK46" s="148" t="s">
        <v>10</v>
      </c>
      <c r="GL46" s="149"/>
      <c r="GM46" s="148" t="s">
        <v>11</v>
      </c>
      <c r="GN46" s="149"/>
      <c r="GO46" s="146" t="s">
        <v>6</v>
      </c>
      <c r="GP46" s="147"/>
      <c r="GQ46" s="84"/>
      <c r="GR46" s="158" t="s">
        <v>16</v>
      </c>
      <c r="GS46" s="159"/>
      <c r="GT46" s="158" t="s">
        <v>17</v>
      </c>
      <c r="GU46" s="159"/>
      <c r="GV46" s="160" t="s">
        <v>58</v>
      </c>
      <c r="GW46" s="161"/>
      <c r="GX46" s="148" t="s">
        <v>10</v>
      </c>
      <c r="GY46" s="149"/>
      <c r="GZ46" s="148" t="s">
        <v>11</v>
      </c>
      <c r="HA46" s="149"/>
      <c r="HB46" s="146" t="s">
        <v>6</v>
      </c>
      <c r="HC46" s="147"/>
      <c r="HD46" s="84"/>
      <c r="HE46" s="158" t="s">
        <v>16</v>
      </c>
      <c r="HF46" s="159"/>
      <c r="HG46" s="158" t="s">
        <v>17</v>
      </c>
      <c r="HH46" s="159"/>
      <c r="HJ46" s="160" t="s">
        <v>58</v>
      </c>
      <c r="HK46" s="161"/>
      <c r="HL46" s="148" t="s">
        <v>10</v>
      </c>
      <c r="HM46" s="149"/>
      <c r="HN46" s="148" t="s">
        <v>11</v>
      </c>
      <c r="HO46" s="149"/>
      <c r="HP46" s="146" t="s">
        <v>6</v>
      </c>
      <c r="HQ46" s="147"/>
      <c r="HR46" s="84"/>
      <c r="HS46" s="158" t="s">
        <v>16</v>
      </c>
      <c r="HT46" s="159"/>
      <c r="HU46" s="158" t="s">
        <v>17</v>
      </c>
      <c r="HV46" s="159"/>
      <c r="HW46" s="160" t="s">
        <v>58</v>
      </c>
      <c r="HX46" s="161"/>
      <c r="HY46" s="148" t="s">
        <v>10</v>
      </c>
      <c r="HZ46" s="149"/>
      <c r="IA46" s="148" t="s">
        <v>11</v>
      </c>
      <c r="IB46" s="149"/>
      <c r="IC46" s="146" t="s">
        <v>6</v>
      </c>
      <c r="ID46" s="147"/>
      <c r="IE46" s="84"/>
      <c r="IF46" s="158" t="s">
        <v>16</v>
      </c>
      <c r="IG46" s="159"/>
      <c r="IH46" s="158" t="s">
        <v>17</v>
      </c>
      <c r="II46" s="159"/>
      <c r="IJ46"/>
      <c r="IK46" s="160" t="s">
        <v>58</v>
      </c>
      <c r="IL46" s="161"/>
      <c r="IM46" s="148" t="s">
        <v>10</v>
      </c>
      <c r="IN46" s="149"/>
      <c r="IO46" s="148" t="s">
        <v>11</v>
      </c>
      <c r="IP46" s="149"/>
      <c r="IQ46" s="146" t="s">
        <v>6</v>
      </c>
      <c r="IR46" s="147"/>
      <c r="IS46" s="84"/>
      <c r="IT46" s="158" t="s">
        <v>16</v>
      </c>
      <c r="IU46" s="159"/>
      <c r="IV46" s="158" t="s">
        <v>17</v>
      </c>
      <c r="IW46" s="159"/>
      <c r="IX46" s="160" t="s">
        <v>58</v>
      </c>
      <c r="IY46" s="161"/>
      <c r="IZ46" s="148" t="s">
        <v>10</v>
      </c>
      <c r="JA46" s="149"/>
      <c r="JB46" s="148" t="s">
        <v>11</v>
      </c>
      <c r="JC46" s="149"/>
      <c r="JD46" s="146" t="s">
        <v>6</v>
      </c>
      <c r="JE46" s="147"/>
      <c r="JF46" s="84"/>
      <c r="JG46" s="158" t="s">
        <v>16</v>
      </c>
      <c r="JH46" s="159"/>
      <c r="JI46" s="158" t="s">
        <v>17</v>
      </c>
      <c r="JJ46" s="159"/>
    </row>
    <row r="47" spans="1:270" s="4" customFormat="1" ht="18.5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143.65</v>
      </c>
      <c r="F47" s="157"/>
      <c r="G47" s="150">
        <f>SUM(F51)</f>
        <v>12.183333333333335</v>
      </c>
      <c r="H47" s="151"/>
      <c r="I47" s="85"/>
      <c r="J47" s="152">
        <f>COUNT(E9)</f>
        <v>1</v>
      </c>
      <c r="K47" s="153"/>
      <c r="L47" s="152">
        <f>J51</f>
        <v>0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126.75000000000003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0</v>
      </c>
      <c r="AA47" s="153"/>
      <c r="AC47" s="162"/>
      <c r="AD47" s="163"/>
      <c r="AE47" s="154">
        <f>COUNT(AJ10:AJ13,AJ15:AJ20,AJ22:AJ27,AJ29:AJ34,AJ36:AJ38)</f>
        <v>25</v>
      </c>
      <c r="AF47" s="155"/>
      <c r="AG47" s="156">
        <f>SUM(AC51-AG51)</f>
        <v>126.75000000000003</v>
      </c>
      <c r="AH47" s="157"/>
      <c r="AI47" s="150">
        <f>SUM(AH51)</f>
        <v>0</v>
      </c>
      <c r="AJ47" s="151"/>
      <c r="AK47" s="85"/>
      <c r="AL47" s="152">
        <f>COUNT(AG9)</f>
        <v>1</v>
      </c>
      <c r="AM47" s="153"/>
      <c r="AN47" s="152">
        <f>AL51</f>
        <v>0</v>
      </c>
      <c r="AO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142.73333333333335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0</v>
      </c>
      <c r="BB47" s="153"/>
      <c r="BD47" s="162"/>
      <c r="BE47" s="163"/>
      <c r="BF47" s="154">
        <f>COUNT(BK10:BK13,BK15:BK20,BK22:BK27,BK29:BK34,BK36:BK38)</f>
        <v>25</v>
      </c>
      <c r="BG47" s="155"/>
      <c r="BH47" s="156">
        <f>SUM(BD51-BH51)</f>
        <v>142.06666666666669</v>
      </c>
      <c r="BI47" s="157"/>
      <c r="BJ47" s="150">
        <f>SUM(BI51)</f>
        <v>11.566666666666666</v>
      </c>
      <c r="BK47" s="151"/>
      <c r="BL47" s="85"/>
      <c r="BM47" s="152">
        <f>COUNT(BH9)</f>
        <v>1</v>
      </c>
      <c r="BN47" s="153"/>
      <c r="BO47" s="152">
        <f>BM51</f>
        <v>0</v>
      </c>
      <c r="BP47" s="153"/>
      <c r="BQ47" s="162"/>
      <c r="BR47" s="163"/>
      <c r="BS47" s="154">
        <f>COUNT(BX10:BX13,BX15:BX20,BX22:BX27,BX29:BX34,BX36:BX38)</f>
        <v>24</v>
      </c>
      <c r="BT47" s="155"/>
      <c r="BU47" s="156">
        <f>SUM(BQ51-BU51)</f>
        <v>119.18333333333334</v>
      </c>
      <c r="BV47" s="157"/>
      <c r="BW47" s="150">
        <f>SUM(BV51)</f>
        <v>0</v>
      </c>
      <c r="BX47" s="151"/>
      <c r="BY47" s="85"/>
      <c r="BZ47" s="152">
        <f>COUNT(BU9)</f>
        <v>1</v>
      </c>
      <c r="CA47" s="153"/>
      <c r="CB47" s="152">
        <f>BZ51</f>
        <v>0</v>
      </c>
      <c r="CC47" s="153"/>
      <c r="CE47" s="162"/>
      <c r="CF47" s="163"/>
      <c r="CG47" s="154">
        <f>COUNT(CL10:CL13,CL15:CL20,CL22:CL27,CL29:CL34,CL36:CL38)</f>
        <v>24</v>
      </c>
      <c r="CH47" s="155"/>
      <c r="CI47" s="156">
        <f>SUM(CE51-CI51)</f>
        <v>121.06666666666669</v>
      </c>
      <c r="CJ47" s="157"/>
      <c r="CK47" s="150">
        <f>SUM(CJ51)</f>
        <v>0</v>
      </c>
      <c r="CL47" s="151"/>
      <c r="CM47" s="85"/>
      <c r="CN47" s="152">
        <f>COUNT(CI9)</f>
        <v>1</v>
      </c>
      <c r="CO47" s="153"/>
      <c r="CP47" s="152">
        <f>CN51</f>
        <v>0</v>
      </c>
      <c r="CQ47" s="153"/>
      <c r="CR47" s="162"/>
      <c r="CS47" s="163"/>
      <c r="CT47" s="154">
        <f>COUNT(CY10:CY13,CY15:CY20,CY22:CY27,CY29:CY34,CY36:CY38)</f>
        <v>24</v>
      </c>
      <c r="CU47" s="155"/>
      <c r="CV47" s="156">
        <f>SUM(CR51-CV51)</f>
        <v>120.43333333333335</v>
      </c>
      <c r="CW47" s="157"/>
      <c r="CX47" s="150">
        <f>SUM(CW51)</f>
        <v>0</v>
      </c>
      <c r="CY47" s="151"/>
      <c r="CZ47" s="85"/>
      <c r="DA47" s="152">
        <f>COUNT(CV9)</f>
        <v>1</v>
      </c>
      <c r="DB47" s="153"/>
      <c r="DC47" s="152">
        <f>DA51</f>
        <v>0</v>
      </c>
      <c r="DD47" s="153"/>
      <c r="DF47" s="162"/>
      <c r="DG47" s="163"/>
      <c r="DH47" s="154">
        <f>COUNT(DM10:DM13,DM15:DM20,DM22:DM27,DM29:DM34,DM36:DM38)</f>
        <v>25</v>
      </c>
      <c r="DI47" s="155"/>
      <c r="DJ47" s="156">
        <f>SUM(DF51-DJ51)</f>
        <v>126.75000000000003</v>
      </c>
      <c r="DK47" s="157"/>
      <c r="DL47" s="150">
        <f>SUM(DK51)</f>
        <v>0</v>
      </c>
      <c r="DM47" s="151"/>
      <c r="DN47" s="85"/>
      <c r="DO47" s="152">
        <f>COUNT(DJ9)</f>
        <v>1</v>
      </c>
      <c r="DP47" s="153"/>
      <c r="DQ47" s="152">
        <f>DO51</f>
        <v>0</v>
      </c>
      <c r="DR47" s="153"/>
      <c r="DS47" s="162"/>
      <c r="DT47" s="163"/>
      <c r="DU47" s="154">
        <f>COUNT(DZ10:DZ13,DZ15:DZ20,DZ22:DZ27,DZ29:DZ34,DZ36:DZ38)</f>
        <v>25</v>
      </c>
      <c r="DV47" s="155"/>
      <c r="DW47" s="156">
        <f>SUM(DS51-DW51)</f>
        <v>124.16666666666666</v>
      </c>
      <c r="DX47" s="157"/>
      <c r="DY47" s="150">
        <f>SUM(DX51)</f>
        <v>0</v>
      </c>
      <c r="DZ47" s="151"/>
      <c r="EA47" s="85"/>
      <c r="EB47" s="152">
        <f>COUNT(DW9)</f>
        <v>1</v>
      </c>
      <c r="EC47" s="153"/>
      <c r="ED47" s="152">
        <f>EB51</f>
        <v>0</v>
      </c>
      <c r="EE47" s="153"/>
      <c r="EG47" s="162"/>
      <c r="EH47" s="163"/>
      <c r="EI47" s="154">
        <f>COUNT(EN10:EN13,EN15:EN20,EN22:EN27,EN29:EN34,EN36:EN38)</f>
        <v>24</v>
      </c>
      <c r="EJ47" s="155"/>
      <c r="EK47" s="156">
        <f>SUM(EG51-EK51)</f>
        <v>120.43333333333335</v>
      </c>
      <c r="EL47" s="157"/>
      <c r="EM47" s="150">
        <f>SUM(EL51)</f>
        <v>0</v>
      </c>
      <c r="EN47" s="151"/>
      <c r="EO47" s="85"/>
      <c r="EP47" s="152">
        <f>COUNT(EK9)</f>
        <v>1</v>
      </c>
      <c r="EQ47" s="153"/>
      <c r="ER47" s="152">
        <f>EP51</f>
        <v>0</v>
      </c>
      <c r="ES47" s="153"/>
      <c r="ET47" s="162"/>
      <c r="EU47" s="163"/>
      <c r="EV47" s="154">
        <f>COUNT(FA10:FA13,FA15:FA20,FA22:FA27,FA29:FA34,FA36:FA38)</f>
        <v>25</v>
      </c>
      <c r="EW47" s="155"/>
      <c r="EX47" s="156">
        <f>SUM(ET51-EX51)</f>
        <v>126.75000000000003</v>
      </c>
      <c r="EY47" s="157"/>
      <c r="EZ47" s="150">
        <f>SUM(EY51)</f>
        <v>0</v>
      </c>
      <c r="FA47" s="151"/>
      <c r="FB47" s="85"/>
      <c r="FC47" s="152">
        <f>COUNT(EX9)</f>
        <v>1</v>
      </c>
      <c r="FD47" s="153"/>
      <c r="FE47" s="152">
        <f>FC51</f>
        <v>0</v>
      </c>
      <c r="FF47" s="153"/>
      <c r="FH47" s="162"/>
      <c r="FI47" s="163"/>
      <c r="FJ47" s="154">
        <f>COUNT(FO10:FO13,FO15:FO20,FO22:FO27,FO29:FO34,FO36:FO38)</f>
        <v>25</v>
      </c>
      <c r="FK47" s="155"/>
      <c r="FL47" s="156">
        <f>SUM(FH51-FL51)</f>
        <v>126.75000000000003</v>
      </c>
      <c r="FM47" s="157"/>
      <c r="FN47" s="150">
        <f>SUM(FM51)</f>
        <v>0</v>
      </c>
      <c r="FO47" s="151"/>
      <c r="FP47" s="85"/>
      <c r="FQ47" s="152">
        <f>COUNT(FL9)</f>
        <v>1</v>
      </c>
      <c r="FR47" s="153"/>
      <c r="FS47" s="152">
        <f>FQ51</f>
        <v>0</v>
      </c>
      <c r="FT47" s="153"/>
      <c r="FU47" s="162"/>
      <c r="FV47" s="163"/>
      <c r="FW47" s="154">
        <f>COUNT(GB10:GB13,GB15:GB20,GB22:GB27,GB29:GB34,GB36:GB38)</f>
        <v>24</v>
      </c>
      <c r="FX47" s="155"/>
      <c r="FY47" s="156">
        <f>SUM(FU51-FY51)</f>
        <v>121.68333333333335</v>
      </c>
      <c r="FZ47" s="157"/>
      <c r="GA47" s="150">
        <f>SUM(FZ51)</f>
        <v>0</v>
      </c>
      <c r="GB47" s="151"/>
      <c r="GC47" s="85"/>
      <c r="GD47" s="152">
        <f>COUNT(FY9)</f>
        <v>1</v>
      </c>
      <c r="GE47" s="153"/>
      <c r="GF47" s="152">
        <f>GD51</f>
        <v>0</v>
      </c>
      <c r="GG47" s="153"/>
      <c r="GI47" s="162"/>
      <c r="GJ47" s="163"/>
      <c r="GK47" s="154">
        <f>COUNT(GP10:GP13,GP15:GP20,GP22:GP27,GP29:GP34,GP36:GP38)</f>
        <v>24</v>
      </c>
      <c r="GL47" s="155"/>
      <c r="GM47" s="156">
        <f>SUM(GI51-GM51)</f>
        <v>120.58333333333336</v>
      </c>
      <c r="GN47" s="157"/>
      <c r="GO47" s="150">
        <f>SUM(GN51)</f>
        <v>12.016666666666662</v>
      </c>
      <c r="GP47" s="151"/>
      <c r="GQ47" s="85"/>
      <c r="GR47" s="152">
        <f>COUNT(GM9)</f>
        <v>1</v>
      </c>
      <c r="GS47" s="153"/>
      <c r="GT47" s="152">
        <f>GR51</f>
        <v>0</v>
      </c>
      <c r="GU47" s="153"/>
      <c r="GV47" s="162"/>
      <c r="GW47" s="163"/>
      <c r="GX47" s="154">
        <f>COUNT(HC10:HC13,HC15:HC20,HC22:HC27,HC29:HC34,HC36:HC38)</f>
        <v>25</v>
      </c>
      <c r="GY47" s="155"/>
      <c r="GZ47" s="156">
        <f>SUM(GV51-GZ51)</f>
        <v>126.75000000000003</v>
      </c>
      <c r="HA47" s="157"/>
      <c r="HB47" s="150">
        <f>SUM(HA51)</f>
        <v>0</v>
      </c>
      <c r="HC47" s="151"/>
      <c r="HD47" s="85"/>
      <c r="HE47" s="152">
        <f>COUNT(GZ9)</f>
        <v>1</v>
      </c>
      <c r="HF47" s="153"/>
      <c r="HG47" s="152">
        <f>HE51</f>
        <v>0</v>
      </c>
      <c r="HH47" s="153"/>
      <c r="HJ47" s="162"/>
      <c r="HK47" s="163"/>
      <c r="HL47" s="154">
        <f>COUNT(HQ10:HQ13,HQ15:HQ20,HQ22:HQ27,HQ29:HQ34,HQ36:HQ38)</f>
        <v>25</v>
      </c>
      <c r="HM47" s="155"/>
      <c r="HN47" s="156">
        <f>SUM(HJ51-HN51)</f>
        <v>126.75000000000003</v>
      </c>
      <c r="HO47" s="157"/>
      <c r="HP47" s="150">
        <f>SUM(HO51)</f>
        <v>0</v>
      </c>
      <c r="HQ47" s="151"/>
      <c r="HR47" s="85"/>
      <c r="HS47" s="152">
        <f>COUNT(HN9)</f>
        <v>1</v>
      </c>
      <c r="HT47" s="153"/>
      <c r="HU47" s="152">
        <f>HS51</f>
        <v>0</v>
      </c>
      <c r="HV47" s="153"/>
      <c r="HW47" s="162"/>
      <c r="HX47" s="163"/>
      <c r="HY47" s="154">
        <f>COUNT(ID10:ID13,ID15:ID20,ID22:ID27,ID29:ID34,ID36:ID38)</f>
        <v>25</v>
      </c>
      <c r="HZ47" s="155"/>
      <c r="IA47" s="156">
        <f>SUM(HW51-IA51)</f>
        <v>126.75000000000003</v>
      </c>
      <c r="IB47" s="157"/>
      <c r="IC47" s="150">
        <f>SUM(IB51)</f>
        <v>4.0499999999999989</v>
      </c>
      <c r="ID47" s="151"/>
      <c r="IE47" s="85"/>
      <c r="IF47" s="152">
        <f>COUNT(IA9)</f>
        <v>1</v>
      </c>
      <c r="IG47" s="153"/>
      <c r="IH47" s="152">
        <f>IF51</f>
        <v>0</v>
      </c>
      <c r="II47" s="153"/>
      <c r="IJ47" s="1"/>
      <c r="IK47" s="162"/>
      <c r="IL47" s="163"/>
      <c r="IM47" s="154">
        <f>COUNT(IR10:IR13,IR15:IR20,IR22:IR27,IR29:IR34,IR36:IR38)</f>
        <v>23</v>
      </c>
      <c r="IN47" s="155"/>
      <c r="IO47" s="156">
        <f>SUM(IK51-IO51)</f>
        <v>90.11666666666666</v>
      </c>
      <c r="IP47" s="157"/>
      <c r="IQ47" s="150">
        <f>SUM(IP51)</f>
        <v>0</v>
      </c>
      <c r="IR47" s="151"/>
      <c r="IS47" s="85"/>
      <c r="IT47" s="152">
        <f>COUNT(IO9)</f>
        <v>1</v>
      </c>
      <c r="IU47" s="153"/>
      <c r="IV47" s="152">
        <f>IT51</f>
        <v>0</v>
      </c>
      <c r="IW47" s="153"/>
      <c r="IX47" s="162"/>
      <c r="IY47" s="163"/>
      <c r="IZ47" s="154">
        <f>COUNT(JE10:JE13,JE15:JE20,JE22:JE27,JE29:JE34,JE36:JE38)</f>
        <v>25</v>
      </c>
      <c r="JA47" s="155"/>
      <c r="JB47" s="156">
        <f>SUM(IX51-JB51)</f>
        <v>126.75000000000003</v>
      </c>
      <c r="JC47" s="157"/>
      <c r="JD47" s="150">
        <f>SUM(JC51)</f>
        <v>0</v>
      </c>
      <c r="JE47" s="151"/>
      <c r="JF47" s="85"/>
      <c r="JG47" s="152">
        <f>COUNT(JB9)</f>
        <v>1</v>
      </c>
      <c r="JH47" s="153"/>
      <c r="JI47" s="152">
        <f>JG51</f>
        <v>4</v>
      </c>
      <c r="JJ47" s="153"/>
    </row>
    <row r="48" spans="1:270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C48" s="38"/>
      <c r="AD48" s="38"/>
      <c r="AE48" s="24"/>
      <c r="AF48" s="24"/>
      <c r="AG48" s="24"/>
      <c r="AH48" s="24"/>
      <c r="AI48" s="24"/>
      <c r="AJ48" s="22"/>
      <c r="AK48" s="22"/>
      <c r="AL48" s="38"/>
      <c r="AM48" s="24"/>
      <c r="AN48" s="24"/>
      <c r="AO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D48" s="38"/>
      <c r="BE48" s="38"/>
      <c r="BF48" s="24"/>
      <c r="BG48" s="24"/>
      <c r="BH48" s="24"/>
      <c r="BI48" s="24"/>
      <c r="BJ48" s="24"/>
      <c r="BK48" s="22"/>
      <c r="BL48" s="22"/>
      <c r="BM48" s="38"/>
      <c r="BN48" s="24"/>
      <c r="BO48" s="24"/>
      <c r="BP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E48" s="38"/>
      <c r="CF48" s="38"/>
      <c r="CG48" s="24"/>
      <c r="CH48" s="24"/>
      <c r="CI48" s="24"/>
      <c r="CJ48" s="24"/>
      <c r="CK48" s="24"/>
      <c r="CL48" s="22"/>
      <c r="CM48" s="22"/>
      <c r="CN48" s="38"/>
      <c r="CO48" s="24"/>
      <c r="CP48" s="24"/>
      <c r="CQ48" s="25"/>
      <c r="CR48" s="38"/>
      <c r="CS48" s="38"/>
      <c r="CT48" s="24"/>
      <c r="CU48" s="24"/>
      <c r="CV48" s="24"/>
      <c r="CW48" s="24"/>
      <c r="CX48" s="24"/>
      <c r="CY48" s="22"/>
      <c r="CZ48" s="22"/>
      <c r="DA48" s="38"/>
      <c r="DB48" s="24"/>
      <c r="DC48" s="24"/>
      <c r="DD48" s="25"/>
      <c r="DF48" s="38"/>
      <c r="DG48" s="38"/>
      <c r="DH48" s="24"/>
      <c r="DI48" s="24"/>
      <c r="DJ48" s="24"/>
      <c r="DK48" s="24"/>
      <c r="DL48" s="24"/>
      <c r="DM48" s="22"/>
      <c r="DN48" s="22"/>
      <c r="DO48" s="38"/>
      <c r="DP48" s="24"/>
      <c r="DQ48" s="24"/>
      <c r="DR48" s="25"/>
      <c r="DS48" s="38"/>
      <c r="DT48" s="38"/>
      <c r="DU48" s="24"/>
      <c r="DV48" s="24"/>
      <c r="DW48" s="24"/>
      <c r="DX48" s="24"/>
      <c r="DY48" s="24"/>
      <c r="DZ48" s="22"/>
      <c r="EA48" s="22"/>
      <c r="EB48" s="38"/>
      <c r="EC48" s="24"/>
      <c r="ED48" s="24"/>
      <c r="EE48" s="25"/>
      <c r="EG48" s="38"/>
      <c r="EH48" s="38"/>
      <c r="EI48" s="24"/>
      <c r="EJ48" s="24"/>
      <c r="EK48" s="24"/>
      <c r="EL48" s="24"/>
      <c r="EM48" s="24"/>
      <c r="EN48" s="22"/>
      <c r="EO48" s="22"/>
      <c r="EP48" s="38"/>
      <c r="EQ48" s="24"/>
      <c r="ER48" s="24"/>
      <c r="ES48" s="25"/>
      <c r="ET48" s="38"/>
      <c r="EU48" s="38"/>
      <c r="EV48" s="24"/>
      <c r="EW48" s="24"/>
      <c r="EX48" s="24"/>
      <c r="EY48" s="24"/>
      <c r="EZ48" s="24"/>
      <c r="FA48" s="22"/>
      <c r="FB48" s="22"/>
      <c r="FC48" s="38"/>
      <c r="FD48" s="24"/>
      <c r="FE48" s="24"/>
      <c r="FF48" s="25"/>
      <c r="FH48" s="38"/>
      <c r="FI48" s="38"/>
      <c r="FJ48" s="24"/>
      <c r="FK48" s="24"/>
      <c r="FL48" s="24"/>
      <c r="FM48" s="24"/>
      <c r="FN48" s="24"/>
      <c r="FO48" s="22"/>
      <c r="FP48" s="22"/>
      <c r="FQ48" s="38"/>
      <c r="FR48" s="24"/>
      <c r="FS48" s="24"/>
      <c r="FT48" s="25"/>
      <c r="FU48" s="38"/>
      <c r="FV48" s="38"/>
      <c r="FW48" s="24"/>
      <c r="FX48" s="24"/>
      <c r="FY48" s="24"/>
      <c r="FZ48" s="24"/>
      <c r="GA48" s="24"/>
      <c r="GB48" s="22"/>
      <c r="GC48" s="22"/>
      <c r="GD48" s="38"/>
      <c r="GE48" s="24"/>
      <c r="GF48" s="24"/>
      <c r="GG48" s="25"/>
      <c r="GI48" s="38"/>
      <c r="GJ48" s="38"/>
      <c r="GK48" s="24"/>
      <c r="GL48" s="24"/>
      <c r="GM48" s="24"/>
      <c r="GN48" s="24"/>
      <c r="GO48" s="24"/>
      <c r="GP48" s="22"/>
      <c r="GQ48" s="22"/>
      <c r="GR48" s="38"/>
      <c r="GS48" s="24"/>
      <c r="GT48" s="24"/>
      <c r="GU48" s="25"/>
      <c r="GV48" s="38"/>
      <c r="GW48" s="38"/>
      <c r="GX48" s="24"/>
      <c r="GY48" s="24"/>
      <c r="GZ48" s="24"/>
      <c r="HA48" s="24"/>
      <c r="HB48" s="24"/>
      <c r="HC48" s="22"/>
      <c r="HD48" s="22"/>
      <c r="HE48" s="38"/>
      <c r="HF48" s="24"/>
      <c r="HG48" s="24"/>
      <c r="HH48" s="25"/>
      <c r="HJ48" s="38"/>
      <c r="HK48" s="38"/>
      <c r="HL48" s="24"/>
      <c r="HM48" s="24"/>
      <c r="HN48" s="24"/>
      <c r="HO48" s="24"/>
      <c r="HP48" s="24"/>
      <c r="HQ48" s="22"/>
      <c r="HR48" s="22"/>
      <c r="HS48" s="38"/>
      <c r="HT48" s="24"/>
      <c r="HU48" s="24"/>
      <c r="HV48" s="25"/>
      <c r="HW48" s="38"/>
      <c r="HX48" s="38"/>
      <c r="HY48" s="24"/>
      <c r="HZ48" s="24"/>
      <c r="IA48" s="24"/>
      <c r="IB48" s="24"/>
      <c r="IC48" s="24"/>
      <c r="ID48" s="22"/>
      <c r="IE48" s="22"/>
      <c r="IF48" s="38"/>
      <c r="IG48" s="24"/>
      <c r="IH48" s="24"/>
      <c r="II48" s="25"/>
      <c r="IK48" s="38"/>
      <c r="IL48" s="38"/>
      <c r="IM48" s="24"/>
      <c r="IN48" s="24"/>
      <c r="IO48" s="24"/>
      <c r="IP48" s="24"/>
      <c r="IQ48" s="24"/>
      <c r="IR48" s="22"/>
      <c r="IS48" s="22"/>
      <c r="IT48" s="38"/>
      <c r="IU48" s="24"/>
      <c r="IV48" s="24"/>
      <c r="IW48" s="25"/>
      <c r="IX48" s="38"/>
      <c r="IY48" s="38"/>
      <c r="IZ48" s="24"/>
      <c r="JA48" s="24"/>
      <c r="JB48" s="24"/>
      <c r="JC48" s="24"/>
      <c r="JD48" s="24"/>
      <c r="JE48" s="22"/>
      <c r="JF48" s="22"/>
      <c r="JG48" s="38"/>
      <c r="JH48" s="24"/>
      <c r="JI48" s="24"/>
      <c r="JJ48" s="25"/>
    </row>
    <row r="49" spans="1:270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C49" s="38"/>
      <c r="AD49" s="38"/>
      <c r="AE49" s="24"/>
      <c r="AF49" s="24"/>
      <c r="AG49" s="24"/>
      <c r="AH49" s="24"/>
      <c r="AI49" s="24"/>
      <c r="AJ49" s="22"/>
      <c r="AK49" s="22"/>
      <c r="AL49" s="38"/>
      <c r="AM49" s="24"/>
      <c r="AN49" s="24"/>
      <c r="AO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D49" s="38"/>
      <c r="BE49" s="38"/>
      <c r="BF49" s="24"/>
      <c r="BG49" s="24"/>
      <c r="BH49" s="24"/>
      <c r="BI49" s="24"/>
      <c r="BJ49" s="24"/>
      <c r="BK49" s="22"/>
      <c r="BL49" s="22"/>
      <c r="BM49" s="38"/>
      <c r="BN49" s="24"/>
      <c r="BO49" s="24"/>
      <c r="BP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E49" s="38"/>
      <c r="CF49" s="38"/>
      <c r="CG49" s="24"/>
      <c r="CH49" s="24"/>
      <c r="CI49" s="24"/>
      <c r="CJ49" s="24"/>
      <c r="CK49" s="24"/>
      <c r="CL49" s="22"/>
      <c r="CM49" s="22"/>
      <c r="CN49" s="38"/>
      <c r="CO49" s="24"/>
      <c r="CP49" s="24"/>
      <c r="CQ49" s="25"/>
      <c r="CR49" s="38"/>
      <c r="CS49" s="38"/>
      <c r="CT49" s="24"/>
      <c r="CU49" s="24"/>
      <c r="CV49" s="24"/>
      <c r="CW49" s="24"/>
      <c r="CX49" s="24"/>
      <c r="CY49" s="22"/>
      <c r="CZ49" s="22"/>
      <c r="DA49" s="38"/>
      <c r="DB49" s="24"/>
      <c r="DC49" s="24"/>
      <c r="DD49" s="25"/>
      <c r="DF49" s="38"/>
      <c r="DG49" s="38"/>
      <c r="DH49" s="24"/>
      <c r="DI49" s="24"/>
      <c r="DJ49" s="24"/>
      <c r="DK49" s="24"/>
      <c r="DL49" s="24"/>
      <c r="DM49" s="22"/>
      <c r="DN49" s="22"/>
      <c r="DO49" s="38"/>
      <c r="DP49" s="24"/>
      <c r="DQ49" s="24"/>
      <c r="DR49" s="25"/>
      <c r="DS49" s="38"/>
      <c r="DT49" s="38"/>
      <c r="DU49" s="24"/>
      <c r="DV49" s="24"/>
      <c r="DW49" s="24"/>
      <c r="DX49" s="24"/>
      <c r="DY49" s="24"/>
      <c r="DZ49" s="22"/>
      <c r="EA49" s="22"/>
      <c r="EB49" s="38"/>
      <c r="EC49" s="24"/>
      <c r="ED49" s="24"/>
      <c r="EE49" s="25"/>
      <c r="EG49" s="38"/>
      <c r="EH49" s="38"/>
      <c r="EI49" s="24"/>
      <c r="EJ49" s="24"/>
      <c r="EK49" s="24"/>
      <c r="EL49" s="24"/>
      <c r="EM49" s="24"/>
      <c r="EN49" s="22"/>
      <c r="EO49" s="22"/>
      <c r="EP49" s="38"/>
      <c r="EQ49" s="24"/>
      <c r="ER49" s="24"/>
      <c r="ES49" s="25"/>
      <c r="ET49" s="38"/>
      <c r="EU49" s="38"/>
      <c r="EV49" s="24"/>
      <c r="EW49" s="24"/>
      <c r="EX49" s="24"/>
      <c r="EY49" s="24"/>
      <c r="EZ49" s="24"/>
      <c r="FA49" s="22"/>
      <c r="FB49" s="22"/>
      <c r="FC49" s="38"/>
      <c r="FD49" s="24"/>
      <c r="FE49" s="24"/>
      <c r="FF49" s="25"/>
      <c r="FH49" s="38"/>
      <c r="FI49" s="38"/>
      <c r="FJ49" s="24"/>
      <c r="FK49" s="24"/>
      <c r="FL49" s="24"/>
      <c r="FM49" s="24"/>
      <c r="FN49" s="24"/>
      <c r="FO49" s="22"/>
      <c r="FP49" s="22"/>
      <c r="FQ49" s="38"/>
      <c r="FR49" s="24"/>
      <c r="FS49" s="24"/>
      <c r="FT49" s="25"/>
      <c r="FU49" s="38"/>
      <c r="FV49" s="38"/>
      <c r="FW49" s="24"/>
      <c r="FX49" s="24"/>
      <c r="FY49" s="24"/>
      <c r="FZ49" s="24"/>
      <c r="GA49" s="24"/>
      <c r="GB49" s="22"/>
      <c r="GC49" s="22"/>
      <c r="GD49" s="38"/>
      <c r="GE49" s="24"/>
      <c r="GF49" s="24"/>
      <c r="GG49" s="25"/>
      <c r="GI49" s="38"/>
      <c r="GJ49" s="38"/>
      <c r="GK49" s="24"/>
      <c r="GL49" s="24"/>
      <c r="GM49" s="24"/>
      <c r="GN49" s="24"/>
      <c r="GO49" s="24"/>
      <c r="GP49" s="22"/>
      <c r="GQ49" s="22"/>
      <c r="GR49" s="38"/>
      <c r="GS49" s="24"/>
      <c r="GT49" s="24"/>
      <c r="GU49" s="25"/>
      <c r="GV49" s="38"/>
      <c r="GW49" s="38"/>
      <c r="GX49" s="24"/>
      <c r="GY49" s="24"/>
      <c r="GZ49" s="24"/>
      <c r="HA49" s="24"/>
      <c r="HB49" s="24"/>
      <c r="HC49" s="22"/>
      <c r="HD49" s="22"/>
      <c r="HE49" s="38"/>
      <c r="HF49" s="24"/>
      <c r="HG49" s="24"/>
      <c r="HH49" s="25"/>
      <c r="HJ49" s="38"/>
      <c r="HK49" s="38"/>
      <c r="HL49" s="24"/>
      <c r="HM49" s="24"/>
      <c r="HN49" s="24"/>
      <c r="HO49" s="24"/>
      <c r="HP49" s="24"/>
      <c r="HQ49" s="22"/>
      <c r="HR49" s="22"/>
      <c r="HS49" s="38"/>
      <c r="HT49" s="24"/>
      <c r="HU49" s="24"/>
      <c r="HV49" s="25"/>
      <c r="HW49" s="38"/>
      <c r="HX49" s="38"/>
      <c r="HY49" s="24"/>
      <c r="HZ49" s="24"/>
      <c r="IA49" s="24"/>
      <c r="IB49" s="24"/>
      <c r="IC49" s="24"/>
      <c r="ID49" s="22"/>
      <c r="IE49" s="22"/>
      <c r="IF49" s="38"/>
      <c r="IG49" s="24"/>
      <c r="IH49" s="24"/>
      <c r="II49" s="25"/>
      <c r="IJ49" s="1"/>
      <c r="IK49" s="38"/>
      <c r="IL49" s="38"/>
      <c r="IM49" s="24"/>
      <c r="IN49" s="24"/>
      <c r="IO49" s="24"/>
      <c r="IP49" s="24"/>
      <c r="IQ49" s="24"/>
      <c r="IR49" s="22"/>
      <c r="IS49" s="22"/>
      <c r="IT49" s="38"/>
      <c r="IU49" s="24"/>
      <c r="IV49" s="24"/>
      <c r="IW49" s="25"/>
      <c r="IX49" s="38"/>
      <c r="IY49" s="38"/>
      <c r="IZ49" s="24"/>
      <c r="JA49" s="24"/>
      <c r="JB49" s="24"/>
      <c r="JC49" s="24"/>
      <c r="JD49" s="24"/>
      <c r="JE49" s="22"/>
      <c r="JF49" s="22"/>
      <c r="JG49" s="38"/>
      <c r="JH49" s="24"/>
      <c r="JI49" s="24"/>
      <c r="JJ49" s="25"/>
    </row>
    <row r="50" spans="1:270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C50" s="140" t="s">
        <v>18</v>
      </c>
      <c r="AD50" s="141"/>
      <c r="AE50" s="41" t="s">
        <v>13</v>
      </c>
      <c r="AF50" s="41" t="s">
        <v>14</v>
      </c>
      <c r="AG50" s="26" t="s">
        <v>19</v>
      </c>
      <c r="AH50" s="27" t="s">
        <v>6</v>
      </c>
      <c r="AI50" s="28" t="s">
        <v>13</v>
      </c>
      <c r="AJ50" s="29" t="s">
        <v>14</v>
      </c>
      <c r="AK50" s="142"/>
      <c r="AL50" s="45" t="s">
        <v>16</v>
      </c>
      <c r="AM50" s="46" t="s">
        <v>13</v>
      </c>
      <c r="AN50" s="47" t="s">
        <v>14</v>
      </c>
      <c r="AO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D50" s="140" t="s">
        <v>18</v>
      </c>
      <c r="BE50" s="141"/>
      <c r="BF50" s="41" t="s">
        <v>13</v>
      </c>
      <c r="BG50" s="41" t="s">
        <v>14</v>
      </c>
      <c r="BH50" s="26" t="s">
        <v>19</v>
      </c>
      <c r="BI50" s="27" t="s">
        <v>6</v>
      </c>
      <c r="BJ50" s="28" t="s">
        <v>13</v>
      </c>
      <c r="BK50" s="29" t="s">
        <v>14</v>
      </c>
      <c r="BL50" s="142"/>
      <c r="BM50" s="45" t="s">
        <v>16</v>
      </c>
      <c r="BN50" s="46" t="s">
        <v>13</v>
      </c>
      <c r="BO50" s="47" t="s">
        <v>14</v>
      </c>
      <c r="BP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E50" s="140" t="s">
        <v>18</v>
      </c>
      <c r="CF50" s="141"/>
      <c r="CG50" s="41" t="s">
        <v>13</v>
      </c>
      <c r="CH50" s="41" t="s">
        <v>14</v>
      </c>
      <c r="CI50" s="26" t="s">
        <v>19</v>
      </c>
      <c r="CJ50" s="27" t="s">
        <v>6</v>
      </c>
      <c r="CK50" s="28" t="s">
        <v>13</v>
      </c>
      <c r="CL50" s="29" t="s">
        <v>14</v>
      </c>
      <c r="CM50" s="142"/>
      <c r="CN50" s="45" t="s">
        <v>16</v>
      </c>
      <c r="CO50" s="46" t="s">
        <v>13</v>
      </c>
      <c r="CP50" s="47" t="s">
        <v>14</v>
      </c>
      <c r="CQ50" s="67"/>
      <c r="CR50" s="140" t="s">
        <v>18</v>
      </c>
      <c r="CS50" s="141"/>
      <c r="CT50" s="41" t="s">
        <v>13</v>
      </c>
      <c r="CU50" s="41" t="s">
        <v>14</v>
      </c>
      <c r="CV50" s="26" t="s">
        <v>19</v>
      </c>
      <c r="CW50" s="27" t="s">
        <v>6</v>
      </c>
      <c r="CX50" s="28" t="s">
        <v>13</v>
      </c>
      <c r="CY50" s="29" t="s">
        <v>14</v>
      </c>
      <c r="CZ50" s="142"/>
      <c r="DA50" s="45" t="s">
        <v>16</v>
      </c>
      <c r="DB50" s="46" t="s">
        <v>13</v>
      </c>
      <c r="DC50" s="47" t="s">
        <v>14</v>
      </c>
      <c r="DD50" s="67"/>
      <c r="DF50" s="140" t="s">
        <v>18</v>
      </c>
      <c r="DG50" s="141"/>
      <c r="DH50" s="41" t="s">
        <v>13</v>
      </c>
      <c r="DI50" s="41" t="s">
        <v>14</v>
      </c>
      <c r="DJ50" s="26" t="s">
        <v>19</v>
      </c>
      <c r="DK50" s="27" t="s">
        <v>6</v>
      </c>
      <c r="DL50" s="28" t="s">
        <v>13</v>
      </c>
      <c r="DM50" s="29" t="s">
        <v>14</v>
      </c>
      <c r="DN50" s="142"/>
      <c r="DO50" s="45" t="s">
        <v>16</v>
      </c>
      <c r="DP50" s="46" t="s">
        <v>13</v>
      </c>
      <c r="DQ50" s="47" t="s">
        <v>14</v>
      </c>
      <c r="DR50" s="67"/>
      <c r="DS50" s="140" t="s">
        <v>18</v>
      </c>
      <c r="DT50" s="141"/>
      <c r="DU50" s="41" t="s">
        <v>13</v>
      </c>
      <c r="DV50" s="41" t="s">
        <v>14</v>
      </c>
      <c r="DW50" s="26" t="s">
        <v>19</v>
      </c>
      <c r="DX50" s="27" t="s">
        <v>6</v>
      </c>
      <c r="DY50" s="28" t="s">
        <v>13</v>
      </c>
      <c r="DZ50" s="29" t="s">
        <v>14</v>
      </c>
      <c r="EA50" s="142"/>
      <c r="EB50" s="45" t="s">
        <v>16</v>
      </c>
      <c r="EC50" s="46" t="s">
        <v>13</v>
      </c>
      <c r="ED50" s="47" t="s">
        <v>14</v>
      </c>
      <c r="EE50" s="67"/>
      <c r="EG50" s="140" t="s">
        <v>18</v>
      </c>
      <c r="EH50" s="141"/>
      <c r="EI50" s="41" t="s">
        <v>13</v>
      </c>
      <c r="EJ50" s="41" t="s">
        <v>14</v>
      </c>
      <c r="EK50" s="26" t="s">
        <v>19</v>
      </c>
      <c r="EL50" s="27" t="s">
        <v>6</v>
      </c>
      <c r="EM50" s="28" t="s">
        <v>13</v>
      </c>
      <c r="EN50" s="29" t="s">
        <v>14</v>
      </c>
      <c r="EO50" s="142"/>
      <c r="EP50" s="45" t="s">
        <v>16</v>
      </c>
      <c r="EQ50" s="46" t="s">
        <v>13</v>
      </c>
      <c r="ER50" s="47" t="s">
        <v>14</v>
      </c>
      <c r="ES50" s="67"/>
      <c r="ET50" s="140" t="s">
        <v>18</v>
      </c>
      <c r="EU50" s="141"/>
      <c r="EV50" s="41" t="s">
        <v>13</v>
      </c>
      <c r="EW50" s="41" t="s">
        <v>14</v>
      </c>
      <c r="EX50" s="26" t="s">
        <v>19</v>
      </c>
      <c r="EY50" s="27" t="s">
        <v>6</v>
      </c>
      <c r="EZ50" s="28" t="s">
        <v>13</v>
      </c>
      <c r="FA50" s="29" t="s">
        <v>14</v>
      </c>
      <c r="FB50" s="142"/>
      <c r="FC50" s="45" t="s">
        <v>16</v>
      </c>
      <c r="FD50" s="46" t="s">
        <v>13</v>
      </c>
      <c r="FE50" s="47" t="s">
        <v>14</v>
      </c>
      <c r="FF50" s="67"/>
      <c r="FH50" s="140" t="s">
        <v>18</v>
      </c>
      <c r="FI50" s="141"/>
      <c r="FJ50" s="41" t="s">
        <v>13</v>
      </c>
      <c r="FK50" s="41" t="s">
        <v>14</v>
      </c>
      <c r="FL50" s="26" t="s">
        <v>19</v>
      </c>
      <c r="FM50" s="27" t="s">
        <v>6</v>
      </c>
      <c r="FN50" s="28" t="s">
        <v>13</v>
      </c>
      <c r="FO50" s="29" t="s">
        <v>14</v>
      </c>
      <c r="FP50" s="142"/>
      <c r="FQ50" s="45" t="s">
        <v>16</v>
      </c>
      <c r="FR50" s="46" t="s">
        <v>13</v>
      </c>
      <c r="FS50" s="47" t="s">
        <v>14</v>
      </c>
      <c r="FT50" s="67"/>
      <c r="FU50" s="140" t="s">
        <v>18</v>
      </c>
      <c r="FV50" s="141"/>
      <c r="FW50" s="41" t="s">
        <v>13</v>
      </c>
      <c r="FX50" s="41" t="s">
        <v>14</v>
      </c>
      <c r="FY50" s="26" t="s">
        <v>19</v>
      </c>
      <c r="FZ50" s="27" t="s">
        <v>6</v>
      </c>
      <c r="GA50" s="28" t="s">
        <v>13</v>
      </c>
      <c r="GB50" s="29" t="s">
        <v>14</v>
      </c>
      <c r="GC50" s="142"/>
      <c r="GD50" s="45" t="s">
        <v>16</v>
      </c>
      <c r="GE50" s="46" t="s">
        <v>13</v>
      </c>
      <c r="GF50" s="47" t="s">
        <v>14</v>
      </c>
      <c r="GG50" s="67"/>
      <c r="GI50" s="140" t="s">
        <v>18</v>
      </c>
      <c r="GJ50" s="141"/>
      <c r="GK50" s="41" t="s">
        <v>13</v>
      </c>
      <c r="GL50" s="41" t="s">
        <v>14</v>
      </c>
      <c r="GM50" s="26" t="s">
        <v>19</v>
      </c>
      <c r="GN50" s="27" t="s">
        <v>6</v>
      </c>
      <c r="GO50" s="28" t="s">
        <v>13</v>
      </c>
      <c r="GP50" s="29" t="s">
        <v>14</v>
      </c>
      <c r="GQ50" s="142"/>
      <c r="GR50" s="45" t="s">
        <v>16</v>
      </c>
      <c r="GS50" s="46" t="s">
        <v>13</v>
      </c>
      <c r="GT50" s="47" t="s">
        <v>14</v>
      </c>
      <c r="GU50" s="67"/>
      <c r="GV50" s="140" t="s">
        <v>18</v>
      </c>
      <c r="GW50" s="141"/>
      <c r="GX50" s="41" t="s">
        <v>13</v>
      </c>
      <c r="GY50" s="41" t="s">
        <v>14</v>
      </c>
      <c r="GZ50" s="26" t="s">
        <v>19</v>
      </c>
      <c r="HA50" s="27" t="s">
        <v>6</v>
      </c>
      <c r="HB50" s="28" t="s">
        <v>13</v>
      </c>
      <c r="HC50" s="29" t="s">
        <v>14</v>
      </c>
      <c r="HD50" s="142"/>
      <c r="HE50" s="45" t="s">
        <v>16</v>
      </c>
      <c r="HF50" s="46" t="s">
        <v>13</v>
      </c>
      <c r="HG50" s="47" t="s">
        <v>14</v>
      </c>
      <c r="HH50" s="67"/>
      <c r="HJ50" s="140" t="s">
        <v>18</v>
      </c>
      <c r="HK50" s="141"/>
      <c r="HL50" s="41" t="s">
        <v>13</v>
      </c>
      <c r="HM50" s="41" t="s">
        <v>14</v>
      </c>
      <c r="HN50" s="26" t="s">
        <v>19</v>
      </c>
      <c r="HO50" s="27" t="s">
        <v>6</v>
      </c>
      <c r="HP50" s="28" t="s">
        <v>13</v>
      </c>
      <c r="HQ50" s="29" t="s">
        <v>14</v>
      </c>
      <c r="HR50" s="142"/>
      <c r="HS50" s="45" t="s">
        <v>16</v>
      </c>
      <c r="HT50" s="46" t="s">
        <v>13</v>
      </c>
      <c r="HU50" s="47" t="s">
        <v>14</v>
      </c>
      <c r="HV50" s="67"/>
      <c r="HW50" s="140" t="s">
        <v>18</v>
      </c>
      <c r="HX50" s="141"/>
      <c r="HY50" s="41" t="s">
        <v>13</v>
      </c>
      <c r="HZ50" s="41" t="s">
        <v>14</v>
      </c>
      <c r="IA50" s="26" t="s">
        <v>19</v>
      </c>
      <c r="IB50" s="27" t="s">
        <v>6</v>
      </c>
      <c r="IC50" s="28" t="s">
        <v>13</v>
      </c>
      <c r="ID50" s="29" t="s">
        <v>14</v>
      </c>
      <c r="IE50" s="142"/>
      <c r="IF50" s="45" t="s">
        <v>16</v>
      </c>
      <c r="IG50" s="46" t="s">
        <v>13</v>
      </c>
      <c r="IH50" s="47" t="s">
        <v>14</v>
      </c>
      <c r="II50" s="67"/>
      <c r="IJ50"/>
      <c r="IK50" s="140" t="s">
        <v>18</v>
      </c>
      <c r="IL50" s="141"/>
      <c r="IM50" s="41" t="s">
        <v>13</v>
      </c>
      <c r="IN50" s="41" t="s">
        <v>14</v>
      </c>
      <c r="IO50" s="26" t="s">
        <v>19</v>
      </c>
      <c r="IP50" s="27" t="s">
        <v>6</v>
      </c>
      <c r="IQ50" s="28" t="s">
        <v>13</v>
      </c>
      <c r="IR50" s="29" t="s">
        <v>14</v>
      </c>
      <c r="IS50" s="142"/>
      <c r="IT50" s="45" t="s">
        <v>16</v>
      </c>
      <c r="IU50" s="46" t="s">
        <v>13</v>
      </c>
      <c r="IV50" s="47" t="s">
        <v>14</v>
      </c>
      <c r="IW50" s="67"/>
      <c r="IX50" s="140" t="s">
        <v>18</v>
      </c>
      <c r="IY50" s="141"/>
      <c r="IZ50" s="41" t="s">
        <v>13</v>
      </c>
      <c r="JA50" s="41" t="s">
        <v>14</v>
      </c>
      <c r="JB50" s="26" t="s">
        <v>19</v>
      </c>
      <c r="JC50" s="27" t="s">
        <v>6</v>
      </c>
      <c r="JD50" s="28" t="s">
        <v>13</v>
      </c>
      <c r="JE50" s="29" t="s">
        <v>14</v>
      </c>
      <c r="JF50" s="142"/>
      <c r="JG50" s="45" t="s">
        <v>16</v>
      </c>
      <c r="JH50" s="46" t="s">
        <v>13</v>
      </c>
      <c r="JI50" s="47" t="s">
        <v>14</v>
      </c>
      <c r="JJ50" s="67"/>
    </row>
    <row r="51" spans="1:270" s="2" customFormat="1" ht="29" thickBot="1" x14ac:dyDescent="0.4">
      <c r="A51" s="144">
        <f>SUM(C51+D51/60)</f>
        <v>147.4</v>
      </c>
      <c r="B51" s="145"/>
      <c r="C51" s="30">
        <f>SUM(K10:K13,K15:K20,K22:K27,K29:K34,K36:K38)</f>
        <v>136</v>
      </c>
      <c r="D51" s="30">
        <f>SUM(L10:L13,L15:L20,L22:L27,L29:L34,L36:L38)</f>
        <v>684.00000000000114</v>
      </c>
      <c r="E51" s="104">
        <f>C47*0.15</f>
        <v>3.75</v>
      </c>
      <c r="F51" s="31">
        <f>SUM(G51+H51/60)</f>
        <v>12.183333333333335</v>
      </c>
      <c r="G51" s="32">
        <f>SUM(K14,K21,K28,K35)</f>
        <v>11</v>
      </c>
      <c r="H51" s="32">
        <f>SUM(L14,L21,L28,L35)</f>
        <v>71.000000000000085</v>
      </c>
      <c r="I51" s="143"/>
      <c r="J51" s="48">
        <f>(K51+L51/60)</f>
        <v>0</v>
      </c>
      <c r="K51" s="49">
        <f>SUM(K9)</f>
        <v>0</v>
      </c>
      <c r="L51" s="68">
        <f>SUM(L9)</f>
        <v>0</v>
      </c>
      <c r="M51" s="67"/>
      <c r="O51" s="144">
        <f>SUM(Q51+R51/60)</f>
        <v>130.50000000000003</v>
      </c>
      <c r="P51" s="145"/>
      <c r="Q51" s="30">
        <f>SUM(Y10:Y13,Y15:Y20,Y22:Y27,Y29:Y34,Y36:Y38)</f>
        <v>117</v>
      </c>
      <c r="R51" s="30">
        <f>SUM(Z10:Z13,Z15:Z20,Z22:Z27,Z29:Z34,Z36:Z38)</f>
        <v>810.00000000000114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0</v>
      </c>
      <c r="Y51" s="49">
        <f>SUM(Y9)</f>
        <v>0</v>
      </c>
      <c r="Z51" s="68">
        <f>SUM(Z9)</f>
        <v>0</v>
      </c>
      <c r="AA51" s="67"/>
      <c r="AC51" s="144">
        <f>SUM(AE51+AF51/60)</f>
        <v>130.50000000000003</v>
      </c>
      <c r="AD51" s="145"/>
      <c r="AE51" s="30">
        <f>SUM(AM10:AM13,AM15:AM20,AM22:AM27,AM29:AM34,AM36:AM38)</f>
        <v>117</v>
      </c>
      <c r="AF51" s="30">
        <f>SUM(AN10:AN13,AN15:AN20,AN22:AN27,AN29:AN34,AN36:AN38)</f>
        <v>810.00000000000114</v>
      </c>
      <c r="AG51" s="104">
        <f>AE47*0.15</f>
        <v>3.75</v>
      </c>
      <c r="AH51" s="31">
        <f>SUM(AI51+AJ51/60)</f>
        <v>0</v>
      </c>
      <c r="AI51" s="32">
        <f>SUM(AM14,AM21,AM28,AM35)</f>
        <v>0</v>
      </c>
      <c r="AJ51" s="32">
        <f>SUM(AN14,AN21,AN28,AN35)</f>
        <v>0</v>
      </c>
      <c r="AK51" s="143"/>
      <c r="AL51" s="48">
        <f>(AM51+AN51/60)</f>
        <v>0</v>
      </c>
      <c r="AM51" s="49">
        <f>SUM(AM9)</f>
        <v>0</v>
      </c>
      <c r="AN51" s="68">
        <f>SUM(AN9)</f>
        <v>0</v>
      </c>
      <c r="AO51" s="67"/>
      <c r="AP51" s="144">
        <f>SUM(AR51+AS51/60)</f>
        <v>146.48333333333335</v>
      </c>
      <c r="AQ51" s="145"/>
      <c r="AR51" s="30">
        <f>SUM(AZ10:AZ13,AZ15:AZ20,AZ22:AZ27,AZ29:AZ34,AZ36:AZ38)</f>
        <v>133</v>
      </c>
      <c r="AS51" s="30">
        <f>SUM(BA10:BA13,BA15:BA20,BA22:BA27,BA29:BA34,BA36:BA38)</f>
        <v>809.00000000000091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0</v>
      </c>
      <c r="AZ51" s="49">
        <f>SUM(AZ9)</f>
        <v>0</v>
      </c>
      <c r="BA51" s="68">
        <f>SUM(BA9)</f>
        <v>0</v>
      </c>
      <c r="BB51" s="67"/>
      <c r="BD51" s="144">
        <f>SUM(BF51+BG51/60)</f>
        <v>145.81666666666669</v>
      </c>
      <c r="BE51" s="145"/>
      <c r="BF51" s="30">
        <f>SUM(BN10:BN13,BN15:BN20,BN22:BN27,BN29:BN34,BN36:BN38)</f>
        <v>133</v>
      </c>
      <c r="BG51" s="30">
        <f>SUM(BO10:BO13,BO15:BO20,BO22:BO27,BO29:BO34,BO36:BO38)</f>
        <v>769.00000000000102</v>
      </c>
      <c r="BH51" s="104">
        <f>BF47*0.15</f>
        <v>3.75</v>
      </c>
      <c r="BI51" s="31">
        <f>SUM(BJ51+BK51/60)</f>
        <v>11.566666666666666</v>
      </c>
      <c r="BJ51" s="32">
        <f>SUM(BN14,BN21,BN28,BN35)</f>
        <v>11</v>
      </c>
      <c r="BK51" s="32">
        <f>SUM(BO14,BO21,BO28,BO35)</f>
        <v>33.999999999999986</v>
      </c>
      <c r="BL51" s="143"/>
      <c r="BM51" s="48">
        <f>(BN51+BO51/60)</f>
        <v>0</v>
      </c>
      <c r="BN51" s="49">
        <f>SUM(BN9)</f>
        <v>0</v>
      </c>
      <c r="BO51" s="68">
        <f>SUM(BO9)</f>
        <v>0</v>
      </c>
      <c r="BP51" s="67"/>
      <c r="BQ51" s="144">
        <f>SUM(BS51+BT51/60)</f>
        <v>122.78333333333333</v>
      </c>
      <c r="BR51" s="145"/>
      <c r="BS51" s="30">
        <f>SUM(CA10:CA13,CA15:CA20,CA22:CA27,CA29:CA34,CA36:CA38)</f>
        <v>112</v>
      </c>
      <c r="BT51" s="30">
        <f>SUM(CB10:CB13,CB15:CB20,CB22:CB27,CB29:CB34,CB36:CB38)</f>
        <v>646.99999999999943</v>
      </c>
      <c r="BU51" s="104">
        <f>BS47*0.15</f>
        <v>3.5999999999999996</v>
      </c>
      <c r="BV51" s="31">
        <f>SUM(BW51+BX51/60)</f>
        <v>0</v>
      </c>
      <c r="BW51" s="32">
        <f>SUM(CA14,CA21,CA28,CA35)</f>
        <v>0</v>
      </c>
      <c r="BX51" s="32">
        <f>SUM(CB14,CB21,CB28,CB35)</f>
        <v>0</v>
      </c>
      <c r="BY51" s="143"/>
      <c r="BZ51" s="48">
        <f>(CA51+CB51/60)</f>
        <v>0</v>
      </c>
      <c r="CA51" s="49">
        <f>SUM(CA9)</f>
        <v>0</v>
      </c>
      <c r="CB51" s="68">
        <f>SUM(CB9)</f>
        <v>0</v>
      </c>
      <c r="CC51" s="67"/>
      <c r="CE51" s="144">
        <f>SUM(CG51+CH51/60)</f>
        <v>124.66666666666669</v>
      </c>
      <c r="CF51" s="145"/>
      <c r="CG51" s="30">
        <f>SUM(CO10:CO13,CO15:CO20,CO22:CO27,CO29:CO34,CO36:CO38)</f>
        <v>112</v>
      </c>
      <c r="CH51" s="30">
        <f>SUM(CP10:CP13,CP15:CP20,CP22:CP27,CP29:CP34,CP36:CP38)</f>
        <v>760.00000000000125</v>
      </c>
      <c r="CI51" s="104">
        <f>CG47*0.15</f>
        <v>3.5999999999999996</v>
      </c>
      <c r="CJ51" s="31">
        <f>SUM(CK51+CL51/60)</f>
        <v>0</v>
      </c>
      <c r="CK51" s="32">
        <f>SUM(CO14,CO21,CO28,CO35)</f>
        <v>0</v>
      </c>
      <c r="CL51" s="32">
        <f>SUM(CP14,CP21,CP28,CP35)</f>
        <v>0</v>
      </c>
      <c r="CM51" s="143"/>
      <c r="CN51" s="48">
        <f>(CO51+CP51/60)</f>
        <v>0</v>
      </c>
      <c r="CO51" s="49">
        <f>SUM(CO9)</f>
        <v>0</v>
      </c>
      <c r="CP51" s="68">
        <f>SUM(CP9)</f>
        <v>0</v>
      </c>
      <c r="CQ51" s="67"/>
      <c r="CR51" s="144">
        <f>SUM(CT51+CU51/60)</f>
        <v>124.03333333333335</v>
      </c>
      <c r="CS51" s="145"/>
      <c r="CT51" s="30">
        <f>SUM(DB10:DB13,DB15:DB20,DB22:DB27,DB29:DB34,DB36:DB38)</f>
        <v>111</v>
      </c>
      <c r="CU51" s="30">
        <f>SUM(DC10:DC13,DC15:DC20,DC22:DC27,DC29:DC34,DC36:DC38)</f>
        <v>782.00000000000102</v>
      </c>
      <c r="CV51" s="104">
        <f>CT47*0.15</f>
        <v>3.5999999999999996</v>
      </c>
      <c r="CW51" s="31">
        <f>SUM(CX51+CY51/60)</f>
        <v>0</v>
      </c>
      <c r="CX51" s="32">
        <f>SUM(DB14,DB21,DB28,DB35)</f>
        <v>0</v>
      </c>
      <c r="CY51" s="32">
        <f>SUM(DC14,DC21,DC28,DC35)</f>
        <v>0</v>
      </c>
      <c r="CZ51" s="143"/>
      <c r="DA51" s="48">
        <f>(DB51+DC51/60)</f>
        <v>0</v>
      </c>
      <c r="DB51" s="49">
        <f>SUM(DB9)</f>
        <v>0</v>
      </c>
      <c r="DC51" s="68">
        <f>SUM(DC9)</f>
        <v>0</v>
      </c>
      <c r="DD51" s="67"/>
      <c r="DF51" s="144">
        <f>SUM(DH51+DI51/60)</f>
        <v>130.50000000000003</v>
      </c>
      <c r="DG51" s="145"/>
      <c r="DH51" s="30">
        <f>SUM(DP10:DP13,DP15:DP20,DP22:DP27,DP29:DP34,DP36:DP38)</f>
        <v>117</v>
      </c>
      <c r="DI51" s="30">
        <f>SUM(DQ10:DQ13,DQ15:DQ20,DQ22:DQ27,DQ29:DQ34,DQ36:DQ38)</f>
        <v>810.00000000000114</v>
      </c>
      <c r="DJ51" s="104">
        <f>DH47*0.15</f>
        <v>3.75</v>
      </c>
      <c r="DK51" s="31">
        <f>SUM(DL51+DM51/60)</f>
        <v>0</v>
      </c>
      <c r="DL51" s="32">
        <f>SUM(DP14,DP21,DP28,DP35)</f>
        <v>0</v>
      </c>
      <c r="DM51" s="32">
        <f>SUM(DQ14,DQ21,DQ28,DQ35)</f>
        <v>0</v>
      </c>
      <c r="DN51" s="143"/>
      <c r="DO51" s="48">
        <f>(DP51+DQ51/60)</f>
        <v>0</v>
      </c>
      <c r="DP51" s="49">
        <f>SUM(DP9)</f>
        <v>0</v>
      </c>
      <c r="DQ51" s="68">
        <f>SUM(DQ9)</f>
        <v>0</v>
      </c>
      <c r="DR51" s="67"/>
      <c r="DS51" s="144">
        <f>SUM(DU51+DV51/60)</f>
        <v>127.91666666666666</v>
      </c>
      <c r="DT51" s="145"/>
      <c r="DU51" s="30">
        <f>SUM(EC10:EC13,EC15:EC20,EC22:EC27,EC29:EC34,EC36:EC38)</f>
        <v>117</v>
      </c>
      <c r="DV51" s="30">
        <f>SUM(ED10:ED13,ED15:ED20,ED22:ED27,ED29:ED34,ED36:ED38)</f>
        <v>654.99999999999989</v>
      </c>
      <c r="DW51" s="104">
        <f>DU47*0.15</f>
        <v>3.75</v>
      </c>
      <c r="DX51" s="31">
        <f>SUM(DY51+DZ51/60)</f>
        <v>0</v>
      </c>
      <c r="DY51" s="32">
        <f>SUM(EC14,EC21,EC28,EC35)</f>
        <v>0</v>
      </c>
      <c r="DZ51" s="32">
        <f>SUM(ED14,ED21,ED28,ED35)</f>
        <v>0</v>
      </c>
      <c r="EA51" s="143"/>
      <c r="EB51" s="48">
        <f>(EC51+ED51/60)</f>
        <v>0</v>
      </c>
      <c r="EC51" s="49">
        <f>SUM(EC9)</f>
        <v>0</v>
      </c>
      <c r="ED51" s="68">
        <f>SUM(ED9)</f>
        <v>0</v>
      </c>
      <c r="EE51" s="67"/>
      <c r="EG51" s="144">
        <f>SUM(EI51+EJ51/60)</f>
        <v>124.03333333333335</v>
      </c>
      <c r="EH51" s="145"/>
      <c r="EI51" s="30">
        <f>SUM(EQ10:EQ13,EQ15:EQ20,EQ22:EQ27,EQ29:EQ34,EQ36:EQ38)</f>
        <v>111</v>
      </c>
      <c r="EJ51" s="30">
        <f>SUM(ER10:ER13,ER15:ER20,ER22:ER27,ER29:ER34,ER36:ER38)</f>
        <v>782.00000000000102</v>
      </c>
      <c r="EK51" s="104">
        <f>EI47*0.15</f>
        <v>3.5999999999999996</v>
      </c>
      <c r="EL51" s="31">
        <f>SUM(EM51+EN51/60)</f>
        <v>0</v>
      </c>
      <c r="EM51" s="32">
        <f>SUM(EQ14,EQ21,EQ28,EQ35)</f>
        <v>0</v>
      </c>
      <c r="EN51" s="32">
        <f>SUM(ER14,ER21,ER28,ER35)</f>
        <v>0</v>
      </c>
      <c r="EO51" s="143"/>
      <c r="EP51" s="48">
        <f>(EQ51+ER51/60)</f>
        <v>0</v>
      </c>
      <c r="EQ51" s="49">
        <f>SUM(EQ9)</f>
        <v>0</v>
      </c>
      <c r="ER51" s="68">
        <f>SUM(ER9)</f>
        <v>0</v>
      </c>
      <c r="ES51" s="67"/>
      <c r="ET51" s="144">
        <f>SUM(EV51+EW51/60)</f>
        <v>130.50000000000003</v>
      </c>
      <c r="EU51" s="145"/>
      <c r="EV51" s="30">
        <f>SUM(FD10:FD13,FD15:FD20,FD22:FD27,FD29:FD34,FD36:FD38)</f>
        <v>117</v>
      </c>
      <c r="EW51" s="30">
        <f>SUM(FE10:FE13,FE15:FE20,FE22:FE27,FE29:FE34,FE36:FE38)</f>
        <v>810.00000000000114</v>
      </c>
      <c r="EX51" s="104">
        <f>EV47*0.15</f>
        <v>3.75</v>
      </c>
      <c r="EY51" s="31">
        <f>SUM(EZ51+FA51/60)</f>
        <v>0</v>
      </c>
      <c r="EZ51" s="32">
        <f>SUM(FD14,FD21,FD28,FD35)</f>
        <v>0</v>
      </c>
      <c r="FA51" s="32">
        <f>SUM(FE14,FE21,FE28,FE35)</f>
        <v>0</v>
      </c>
      <c r="FB51" s="143"/>
      <c r="FC51" s="48">
        <f>(FD51+FE51/60)</f>
        <v>0</v>
      </c>
      <c r="FD51" s="49">
        <f>SUM(FD9)</f>
        <v>0</v>
      </c>
      <c r="FE51" s="68">
        <f>SUM(FE9)</f>
        <v>0</v>
      </c>
      <c r="FF51" s="67"/>
      <c r="FH51" s="144">
        <f>SUM(FJ51+FK51/60)</f>
        <v>130.50000000000003</v>
      </c>
      <c r="FI51" s="145"/>
      <c r="FJ51" s="30">
        <f>SUM(FR10:FR13,FR15:FR20,FR22:FR27,FR29:FR34,FR36:FR38)</f>
        <v>117</v>
      </c>
      <c r="FK51" s="30">
        <f>SUM(FS10:FS13,FS15:FS20,FS22:FS27,FS29:FS34,FS36:FS38)</f>
        <v>810.00000000000114</v>
      </c>
      <c r="FL51" s="104">
        <f>FJ47*0.15</f>
        <v>3.75</v>
      </c>
      <c r="FM51" s="31">
        <f>SUM(FN51+FO51/60)</f>
        <v>0</v>
      </c>
      <c r="FN51" s="32">
        <f>SUM(FR14,FR21,FR28,FR35)</f>
        <v>0</v>
      </c>
      <c r="FO51" s="32">
        <f>SUM(FS14,FS21,FS28,FS35)</f>
        <v>0</v>
      </c>
      <c r="FP51" s="143"/>
      <c r="FQ51" s="48">
        <f>(FR51+FS51/60)</f>
        <v>0</v>
      </c>
      <c r="FR51" s="49">
        <f>SUM(FR9)</f>
        <v>0</v>
      </c>
      <c r="FS51" s="68">
        <f>SUM(FS9)</f>
        <v>0</v>
      </c>
      <c r="FT51" s="67"/>
      <c r="FU51" s="144">
        <f>SUM(FW51+FX51/60)</f>
        <v>125.28333333333335</v>
      </c>
      <c r="FV51" s="145"/>
      <c r="FW51" s="30">
        <f>SUM(GE10:GE13,GE15:GE20,GE22:GE27,GE29:GE34,GE36:GE38)</f>
        <v>113</v>
      </c>
      <c r="FX51" s="30">
        <f>SUM(GF10:GF13,GF15:GF20,GF22:GF27,GF29:GF34,GF36:GF38)</f>
        <v>737.00000000000045</v>
      </c>
      <c r="FY51" s="104">
        <f>FW47*0.15</f>
        <v>3.5999999999999996</v>
      </c>
      <c r="FZ51" s="31">
        <f>SUM(GA51+GB51/60)</f>
        <v>0</v>
      </c>
      <c r="GA51" s="32">
        <f>SUM(GE14,GE21,GE28,GE35)</f>
        <v>0</v>
      </c>
      <c r="GB51" s="32">
        <f>SUM(GF14,GF21,GF28,GF35)</f>
        <v>0</v>
      </c>
      <c r="GC51" s="143"/>
      <c r="GD51" s="48">
        <f>(GE51+GF51/60)</f>
        <v>0</v>
      </c>
      <c r="GE51" s="49">
        <f>SUM(GE9)</f>
        <v>0</v>
      </c>
      <c r="GF51" s="68">
        <f>SUM(GF9)</f>
        <v>0</v>
      </c>
      <c r="GG51" s="67"/>
      <c r="GI51" s="144">
        <f>SUM(GK51+GL51/60)</f>
        <v>124.18333333333335</v>
      </c>
      <c r="GJ51" s="145"/>
      <c r="GK51" s="30">
        <f>SUM(GS10:GS13,GS15:GS20,GS22:GS27,GS29:GS34,GS36:GS38)</f>
        <v>111</v>
      </c>
      <c r="GL51" s="30">
        <f>SUM(GT10:GT13,GT15:GT20,GT22:GT27,GT29:GT34,GT36:GT38)</f>
        <v>791.00000000000102</v>
      </c>
      <c r="GM51" s="104">
        <f>GK47*0.15</f>
        <v>3.5999999999999996</v>
      </c>
      <c r="GN51" s="31">
        <f>SUM(GO51+GP51/60)</f>
        <v>12.016666666666662</v>
      </c>
      <c r="GO51" s="32">
        <f>SUM(GS14,GS21,GS28,GS35)</f>
        <v>11</v>
      </c>
      <c r="GP51" s="32">
        <f>SUM(GT14,GT21,GT28,GT35)</f>
        <v>60.999999999999766</v>
      </c>
      <c r="GQ51" s="143"/>
      <c r="GR51" s="48">
        <f>(GS51+GT51/60)</f>
        <v>0</v>
      </c>
      <c r="GS51" s="49">
        <f>SUM(GS9)</f>
        <v>0</v>
      </c>
      <c r="GT51" s="68">
        <f>SUM(GT9)</f>
        <v>0</v>
      </c>
      <c r="GU51" s="67"/>
      <c r="GV51" s="144">
        <f>SUM(GX51+GY51/60)</f>
        <v>130.50000000000003</v>
      </c>
      <c r="GW51" s="145"/>
      <c r="GX51" s="30">
        <f>SUM(HF10:HF13,HF15:HF20,HF22:HF27,HF29:HF34,HF36:HF38)</f>
        <v>117</v>
      </c>
      <c r="GY51" s="30">
        <f>SUM(HG10:HG13,HG15:HG20,HG22:HG27,HG29:HG34,HG36:HG38)</f>
        <v>810.00000000000114</v>
      </c>
      <c r="GZ51" s="104">
        <f>GX47*0.15</f>
        <v>3.75</v>
      </c>
      <c r="HA51" s="31">
        <f>SUM(HB51+HC51/60)</f>
        <v>0</v>
      </c>
      <c r="HB51" s="32">
        <f>SUM(HF14,HF21,HF28,HF35)</f>
        <v>0</v>
      </c>
      <c r="HC51" s="32">
        <f>SUM(HG14,HG21,HG28,HG35)</f>
        <v>0</v>
      </c>
      <c r="HD51" s="143"/>
      <c r="HE51" s="48">
        <f>(HF51+HG51/60)</f>
        <v>0</v>
      </c>
      <c r="HF51" s="49">
        <f>SUM(HF9)</f>
        <v>0</v>
      </c>
      <c r="HG51" s="68">
        <f>SUM(HG9)</f>
        <v>0</v>
      </c>
      <c r="HH51" s="67"/>
      <c r="HJ51" s="144">
        <f>SUM(HL51+HM51/60)</f>
        <v>130.50000000000003</v>
      </c>
      <c r="HK51" s="145"/>
      <c r="HL51" s="30">
        <f>SUM(HT10:HT13,HT15:HT20,HT22:HT27,HT29:HT34,HT36:HT38)</f>
        <v>117</v>
      </c>
      <c r="HM51" s="30">
        <f>SUM(HU10:HU13,HU15:HU20,HU22:HU27,HU29:HU34,HU36:HU38)</f>
        <v>810.00000000000114</v>
      </c>
      <c r="HN51" s="104">
        <f>HL47*0.15</f>
        <v>3.75</v>
      </c>
      <c r="HO51" s="31">
        <f>SUM(HP51+HQ51/60)</f>
        <v>0</v>
      </c>
      <c r="HP51" s="32">
        <f>SUM(HT14,HT21,HT28,HT35)</f>
        <v>0</v>
      </c>
      <c r="HQ51" s="32">
        <f>SUM(HU14,HU21,HU28,HU35)</f>
        <v>0</v>
      </c>
      <c r="HR51" s="143"/>
      <c r="HS51" s="48">
        <f>(HT51+HU51/60)</f>
        <v>0</v>
      </c>
      <c r="HT51" s="49">
        <f>SUM(HT9)</f>
        <v>0</v>
      </c>
      <c r="HU51" s="68">
        <f>SUM(HU9)</f>
        <v>0</v>
      </c>
      <c r="HV51" s="67"/>
      <c r="HW51" s="144">
        <f>SUM(HY51+HZ51/60)</f>
        <v>130.50000000000003</v>
      </c>
      <c r="HX51" s="145"/>
      <c r="HY51" s="30">
        <f>SUM(IG10:IG13,IG15:IG20,IG22:IG27,IG29:IG34,IG36:IG38)</f>
        <v>117</v>
      </c>
      <c r="HZ51" s="30">
        <f>SUM(IH10:IH13,IH15:IH20,IH22:IH27,IH29:IH34,IH36:IH38)</f>
        <v>810.00000000000114</v>
      </c>
      <c r="IA51" s="104">
        <f>HY47*0.15</f>
        <v>3.75</v>
      </c>
      <c r="IB51" s="31">
        <f>SUM(IC51+ID51/60)</f>
        <v>4.0499999999999989</v>
      </c>
      <c r="IC51" s="32">
        <f>SUM(IG14,IG21,IG28,IG35)</f>
        <v>4</v>
      </c>
      <c r="ID51" s="32">
        <f>SUM(IH14,IH21,IH28,IH35)</f>
        <v>2.9999999999999361</v>
      </c>
      <c r="IE51" s="143"/>
      <c r="IF51" s="48">
        <f>(IG51+IH51/60)</f>
        <v>0</v>
      </c>
      <c r="IG51" s="49">
        <f>SUM(IG9)</f>
        <v>0</v>
      </c>
      <c r="IH51" s="68">
        <f>SUM(IH9)</f>
        <v>0</v>
      </c>
      <c r="II51" s="67"/>
      <c r="IJ51" s="1"/>
      <c r="IK51" s="144">
        <f>SUM(IM51+IN51/60)</f>
        <v>93.566666666666663</v>
      </c>
      <c r="IL51" s="145"/>
      <c r="IM51" s="30">
        <f>SUM(IU10:IU13,IU15:IU20,IU22:IU27,IU29:IU34,IU36:IU38)</f>
        <v>84</v>
      </c>
      <c r="IN51" s="30">
        <f>SUM(IV10:IV13,IV15:IV20,IV22:IV27,IV29:IV34,IV36:IV38)</f>
        <v>574.00000000000023</v>
      </c>
      <c r="IO51" s="104">
        <f>IM47*0.15</f>
        <v>3.4499999999999997</v>
      </c>
      <c r="IP51" s="31">
        <f>SUM(IQ51+IR51/60)</f>
        <v>0</v>
      </c>
      <c r="IQ51" s="32">
        <f>SUM(IU14,IU21,IU28,IU35)</f>
        <v>0</v>
      </c>
      <c r="IR51" s="32">
        <f>SUM(IV14,IV21,IV28,IV35)</f>
        <v>0</v>
      </c>
      <c r="IS51" s="143"/>
      <c r="IT51" s="48">
        <f>(IU51+IV51/60)</f>
        <v>0</v>
      </c>
      <c r="IU51" s="49">
        <f>SUM(IU9)</f>
        <v>0</v>
      </c>
      <c r="IV51" s="68">
        <f>SUM(IV9)</f>
        <v>0</v>
      </c>
      <c r="IW51" s="67"/>
      <c r="IX51" s="144">
        <f>SUM(IZ51+JA51/60)</f>
        <v>130.50000000000003</v>
      </c>
      <c r="IY51" s="145"/>
      <c r="IZ51" s="30">
        <f>SUM(JH10:JH13,JH15:JH20,JH22:JH27,JH29:JH34,JH36:JH38)</f>
        <v>117</v>
      </c>
      <c r="JA51" s="30">
        <f>SUM(JI10:JI13,JI15:JI20,JI22:JI27,JI29:JI34,JI36:JI38)</f>
        <v>810.00000000000114</v>
      </c>
      <c r="JB51" s="104">
        <f>IZ47*0.15</f>
        <v>3.75</v>
      </c>
      <c r="JC51" s="31">
        <f>SUM(JD51+JE51/60)</f>
        <v>0</v>
      </c>
      <c r="JD51" s="32">
        <f>SUM(JH14,JH21,JH28,JH35)</f>
        <v>0</v>
      </c>
      <c r="JE51" s="32">
        <f>SUM(JI14,JI21,JI28,JI35)</f>
        <v>0</v>
      </c>
      <c r="JF51" s="143"/>
      <c r="JG51" s="48">
        <f>(JH51+JI51/60)</f>
        <v>4</v>
      </c>
      <c r="JH51" s="49">
        <f>SUM(JH9)</f>
        <v>4</v>
      </c>
      <c r="JI51" s="68">
        <f>SUM(JI9)</f>
        <v>0</v>
      </c>
      <c r="JJ51" s="67"/>
    </row>
    <row r="53" spans="1:270" x14ac:dyDescent="0.35">
      <c r="A53" t="s">
        <v>24</v>
      </c>
      <c r="C53" s="20" t="str">
        <f>+C2</f>
        <v>UDDIN GEAS</v>
      </c>
      <c r="E53" s="101"/>
      <c r="F53" s="101"/>
      <c r="O53" t="s">
        <v>24</v>
      </c>
      <c r="Q53" s="20" t="str">
        <f>+Q2</f>
        <v>HOSSAIN AMZAD</v>
      </c>
      <c r="S53" s="101"/>
      <c r="T53" s="101"/>
      <c r="AC53" t="s">
        <v>24</v>
      </c>
      <c r="AE53" s="20" t="str">
        <f>+AE2</f>
        <v>RABBI MD FAZLE</v>
      </c>
      <c r="AG53" s="101"/>
      <c r="AH53" s="101"/>
      <c r="AP53" t="s">
        <v>24</v>
      </c>
      <c r="AR53" s="20" t="str">
        <f>+AR2</f>
        <v>ISLAM SHAKILUR</v>
      </c>
      <c r="AT53" s="101"/>
      <c r="AU53" s="101"/>
      <c r="BD53" t="s">
        <v>24</v>
      </c>
      <c r="BF53" s="20" t="str">
        <f>+BF2</f>
        <v>SAHA RONJON</v>
      </c>
      <c r="BH53" s="101"/>
      <c r="BI53" s="101"/>
      <c r="BQ53" t="s">
        <v>24</v>
      </c>
      <c r="BS53" s="20" t="str">
        <f>+BS2</f>
        <v>SEIKH SAHIN</v>
      </c>
      <c r="BU53" s="101"/>
      <c r="BV53" s="101"/>
      <c r="CE53" t="s">
        <v>24</v>
      </c>
      <c r="CG53" s="20" t="str">
        <f>+CG2</f>
        <v>ISLAM MD RABIUL</v>
      </c>
      <c r="CI53" s="101"/>
      <c r="CJ53" s="101"/>
      <c r="CR53" t="s">
        <v>24</v>
      </c>
      <c r="CT53" s="20" t="str">
        <f>+CT2</f>
        <v>ALOM MAHBUB</v>
      </c>
      <c r="CV53" s="101"/>
      <c r="CW53" s="101"/>
      <c r="DF53" t="s">
        <v>24</v>
      </c>
      <c r="DH53" s="20" t="str">
        <f>+DH2</f>
        <v>MIA MD ROBIN</v>
      </c>
      <c r="DJ53" s="101"/>
      <c r="DK53" s="101"/>
      <c r="DS53" t="s">
        <v>24</v>
      </c>
      <c r="DU53" s="20" t="str">
        <f>+DU2</f>
        <v>HASAN MD RIDOY</v>
      </c>
      <c r="DW53" s="101"/>
      <c r="DX53" s="101"/>
      <c r="EG53" t="s">
        <v>24</v>
      </c>
      <c r="EI53" s="20" t="str">
        <f>+EI2</f>
        <v>UDDIN MD SALAH</v>
      </c>
      <c r="EK53" s="101"/>
      <c r="EL53" s="101"/>
      <c r="ET53" t="s">
        <v>24</v>
      </c>
      <c r="EV53" s="20" t="str">
        <f>+EV2</f>
        <v>SHAGOR ISMIYEL HOSSAN</v>
      </c>
      <c r="EX53" s="101"/>
      <c r="EY53" s="101"/>
      <c r="FH53" t="s">
        <v>24</v>
      </c>
      <c r="FJ53" s="20" t="str">
        <f>+FJ2</f>
        <v>MIA ONTOR</v>
      </c>
      <c r="FL53" s="101"/>
      <c r="FM53" s="101"/>
      <c r="FU53" t="s">
        <v>24</v>
      </c>
      <c r="FW53" s="20" t="str">
        <f>+FW2</f>
        <v>KYAW MYO LWIN</v>
      </c>
      <c r="FY53" s="101"/>
      <c r="FZ53" s="101"/>
      <c r="GI53" t="s">
        <v>24</v>
      </c>
      <c r="GK53" s="20" t="str">
        <f>+GK2</f>
        <v>MYO MYINT AYE</v>
      </c>
      <c r="GM53" s="101"/>
      <c r="GN53" s="101"/>
      <c r="GV53" t="s">
        <v>24</v>
      </c>
      <c r="GX53" s="20" t="str">
        <f>+GX2</f>
        <v>SHARMA SANJAY</v>
      </c>
      <c r="GZ53" s="101"/>
      <c r="HA53" s="101"/>
      <c r="HJ53" t="s">
        <v>24</v>
      </c>
      <c r="HL53" s="20" t="str">
        <f>+HL2</f>
        <v>BIBEK</v>
      </c>
      <c r="HN53" s="101"/>
      <c r="HO53" s="101"/>
      <c r="HW53" t="s">
        <v>24</v>
      </c>
      <c r="HY53" s="20" t="str">
        <f>+HY2</f>
        <v>SATENDRA KUMAR</v>
      </c>
      <c r="IA53" s="101"/>
      <c r="IB53" s="101"/>
      <c r="IJ53" s="1"/>
      <c r="IK53" t="s">
        <v>24</v>
      </c>
      <c r="IM53" s="20" t="str">
        <f>+IM2</f>
        <v>AMIN AL</v>
      </c>
      <c r="IO53" s="101"/>
      <c r="IP53" s="101"/>
      <c r="IX53" t="s">
        <v>24</v>
      </c>
      <c r="IZ53" s="20" t="str">
        <f>+IZ2</f>
        <v>HOSAIN MD AMRAN</v>
      </c>
      <c r="JB53" s="101"/>
      <c r="JC53" s="101"/>
    </row>
    <row r="54" spans="1:270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C54" t="s">
        <v>25</v>
      </c>
      <c r="AE54" s="10">
        <f>+AE5</f>
        <v>25</v>
      </c>
      <c r="AF54" s="13" t="s">
        <v>30</v>
      </c>
      <c r="AG54">
        <v>65.38</v>
      </c>
      <c r="AH54" t="s">
        <v>30</v>
      </c>
      <c r="AI54">
        <f>SUM(AE54*AG54)</f>
        <v>1634.5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D54" t="s">
        <v>25</v>
      </c>
      <c r="BF54" s="10">
        <f>+BF5</f>
        <v>25</v>
      </c>
      <c r="BG54" s="13" t="s">
        <v>30</v>
      </c>
      <c r="BH54">
        <v>65.38</v>
      </c>
      <c r="BI54" t="s">
        <v>30</v>
      </c>
      <c r="BJ54">
        <f>SUM(BF54*BH54)</f>
        <v>1634.5</v>
      </c>
      <c r="BQ54" t="s">
        <v>25</v>
      </c>
      <c r="BS54" s="10">
        <f>+BS5</f>
        <v>24</v>
      </c>
      <c r="BT54" s="13" t="s">
        <v>30</v>
      </c>
      <c r="BU54">
        <v>65.38</v>
      </c>
      <c r="BV54" t="s">
        <v>30</v>
      </c>
      <c r="BW54">
        <f>SUM(BS54*BU54)</f>
        <v>1569.12</v>
      </c>
      <c r="CE54" t="s">
        <v>25</v>
      </c>
      <c r="CG54" s="10">
        <f>+CG5</f>
        <v>24</v>
      </c>
      <c r="CH54" s="13" t="s">
        <v>30</v>
      </c>
      <c r="CI54">
        <v>65.38</v>
      </c>
      <c r="CJ54" t="s">
        <v>30</v>
      </c>
      <c r="CK54">
        <f>SUM(CG54*CI54)</f>
        <v>1569.12</v>
      </c>
      <c r="CR54" t="s">
        <v>25</v>
      </c>
      <c r="CT54" s="10">
        <f>+CT5</f>
        <v>24</v>
      </c>
      <c r="CU54" s="13" t="s">
        <v>30</v>
      </c>
      <c r="CV54">
        <v>65.38</v>
      </c>
      <c r="CW54" t="s">
        <v>30</v>
      </c>
      <c r="CX54">
        <f>SUM(CT54*CV54)</f>
        <v>1569.12</v>
      </c>
      <c r="DF54" t="s">
        <v>25</v>
      </c>
      <c r="DH54" s="10">
        <f>+DH5</f>
        <v>25</v>
      </c>
      <c r="DI54" s="13" t="s">
        <v>30</v>
      </c>
      <c r="DJ54">
        <v>65.38</v>
      </c>
      <c r="DK54" t="s">
        <v>30</v>
      </c>
      <c r="DL54">
        <f>SUM(DH54*DJ54)</f>
        <v>1634.5</v>
      </c>
      <c r="DS54" t="s">
        <v>25</v>
      </c>
      <c r="DU54" s="10">
        <f>+DU5</f>
        <v>25</v>
      </c>
      <c r="DV54" s="13" t="s">
        <v>30</v>
      </c>
      <c r="DW54">
        <v>65.38</v>
      </c>
      <c r="DX54" t="s">
        <v>30</v>
      </c>
      <c r="DY54">
        <f>SUM(DU54*DW54)</f>
        <v>1634.5</v>
      </c>
      <c r="EG54" t="s">
        <v>25</v>
      </c>
      <c r="EI54" s="10">
        <f>+EI5</f>
        <v>24</v>
      </c>
      <c r="EJ54" s="13" t="s">
        <v>30</v>
      </c>
      <c r="EK54">
        <v>65.38</v>
      </c>
      <c r="EL54" t="s">
        <v>30</v>
      </c>
      <c r="EM54">
        <f>SUM(EI54*EK54)</f>
        <v>1569.12</v>
      </c>
      <c r="ET54" t="s">
        <v>25</v>
      </c>
      <c r="EV54" s="10">
        <f>+EV5</f>
        <v>25</v>
      </c>
      <c r="EW54" s="13" t="s">
        <v>30</v>
      </c>
      <c r="EX54">
        <v>65.38</v>
      </c>
      <c r="EY54" t="s">
        <v>30</v>
      </c>
      <c r="EZ54">
        <f>SUM(EV54*EX54)</f>
        <v>1634.5</v>
      </c>
      <c r="FH54" t="s">
        <v>25</v>
      </c>
      <c r="FJ54" s="10">
        <f>+FJ5</f>
        <v>25</v>
      </c>
      <c r="FK54" s="13" t="s">
        <v>30</v>
      </c>
      <c r="FL54">
        <v>65.38</v>
      </c>
      <c r="FM54" t="s">
        <v>30</v>
      </c>
      <c r="FN54">
        <f>SUM(FJ54*FL54)</f>
        <v>1634.5</v>
      </c>
      <c r="FU54" t="s">
        <v>25</v>
      </c>
      <c r="FW54" s="10">
        <f>+FW5</f>
        <v>24</v>
      </c>
      <c r="FX54" s="13" t="s">
        <v>30</v>
      </c>
      <c r="FY54">
        <v>65.38</v>
      </c>
      <c r="FZ54" t="s">
        <v>30</v>
      </c>
      <c r="GA54">
        <f>SUM(FW54*FY54)</f>
        <v>1569.12</v>
      </c>
      <c r="GI54" t="s">
        <v>25</v>
      </c>
      <c r="GK54" s="10">
        <f>+GK5</f>
        <v>24</v>
      </c>
      <c r="GL54" s="13" t="s">
        <v>30</v>
      </c>
      <c r="GM54">
        <v>65.38</v>
      </c>
      <c r="GN54" t="s">
        <v>30</v>
      </c>
      <c r="GO54">
        <f>SUM(GK54*GM54)</f>
        <v>1569.12</v>
      </c>
      <c r="GV54" t="s">
        <v>25</v>
      </c>
      <c r="GX54" s="10">
        <f>+GX5</f>
        <v>25</v>
      </c>
      <c r="GY54" s="13" t="s">
        <v>30</v>
      </c>
      <c r="GZ54">
        <v>65.38</v>
      </c>
      <c r="HA54" t="s">
        <v>30</v>
      </c>
      <c r="HB54">
        <f>SUM(GX54*GZ54)</f>
        <v>1634.5</v>
      </c>
      <c r="HJ54" t="s">
        <v>25</v>
      </c>
      <c r="HL54" s="10">
        <f>+HL5</f>
        <v>25</v>
      </c>
      <c r="HM54" s="13" t="s">
        <v>30</v>
      </c>
      <c r="HN54">
        <v>65.38</v>
      </c>
      <c r="HO54" t="s">
        <v>30</v>
      </c>
      <c r="HP54">
        <f>SUM(HL54*HN54)</f>
        <v>1634.5</v>
      </c>
      <c r="HW54" t="s">
        <v>25</v>
      </c>
      <c r="HY54" s="10">
        <f>+HY5</f>
        <v>25</v>
      </c>
      <c r="HZ54" s="13" t="s">
        <v>30</v>
      </c>
      <c r="IA54">
        <v>65.38</v>
      </c>
      <c r="IB54" t="s">
        <v>30</v>
      </c>
      <c r="IC54">
        <f>SUM(HY54*IA54)</f>
        <v>1634.5</v>
      </c>
      <c r="IK54" t="s">
        <v>25</v>
      </c>
      <c r="IM54" s="10">
        <f>+IM5</f>
        <v>23</v>
      </c>
      <c r="IN54" s="13" t="s">
        <v>30</v>
      </c>
      <c r="IO54">
        <v>65.38</v>
      </c>
      <c r="IP54" t="s">
        <v>30</v>
      </c>
      <c r="IQ54">
        <f>SUM(IM54*IO54)</f>
        <v>1503.7399999999998</v>
      </c>
      <c r="IX54" t="s">
        <v>25</v>
      </c>
      <c r="IZ54" s="10">
        <f>+IZ5</f>
        <v>25</v>
      </c>
      <c r="JA54" s="13" t="s">
        <v>30</v>
      </c>
      <c r="JB54">
        <v>65.38</v>
      </c>
      <c r="JC54" t="s">
        <v>30</v>
      </c>
      <c r="JD54">
        <f>SUM(IZ54*JB54)</f>
        <v>1634.5</v>
      </c>
    </row>
    <row r="55" spans="1:270" x14ac:dyDescent="0.35">
      <c r="A55" t="s">
        <v>26</v>
      </c>
      <c r="C55" s="11">
        <f>+C6</f>
        <v>143.65</v>
      </c>
      <c r="D55" s="13" t="s">
        <v>30</v>
      </c>
      <c r="E55">
        <v>13.08</v>
      </c>
      <c r="F55" t="s">
        <v>30</v>
      </c>
      <c r="G55">
        <f>SUM(C55*E55)</f>
        <v>1878.942</v>
      </c>
      <c r="O55" t="s">
        <v>26</v>
      </c>
      <c r="Q55" s="11">
        <f>+Q6</f>
        <v>126.75000000000003</v>
      </c>
      <c r="R55" s="13" t="s">
        <v>30</v>
      </c>
      <c r="S55">
        <v>13.08</v>
      </c>
      <c r="T55" t="s">
        <v>30</v>
      </c>
      <c r="U55">
        <f>SUM(Q55*S55)</f>
        <v>1657.8900000000003</v>
      </c>
      <c r="AC55" t="s">
        <v>26</v>
      </c>
      <c r="AE55" s="11">
        <f>+AE6</f>
        <v>126.75000000000003</v>
      </c>
      <c r="AF55" s="13" t="s">
        <v>30</v>
      </c>
      <c r="AG55">
        <v>13.08</v>
      </c>
      <c r="AH55" t="s">
        <v>30</v>
      </c>
      <c r="AI55">
        <f>SUM(AE55*AG55)</f>
        <v>1657.8900000000003</v>
      </c>
      <c r="AP55" t="s">
        <v>26</v>
      </c>
      <c r="AR55" s="11">
        <f>+AR6</f>
        <v>142.73333333333335</v>
      </c>
      <c r="AS55" s="13" t="s">
        <v>30</v>
      </c>
      <c r="AT55">
        <v>13.08</v>
      </c>
      <c r="AU55" t="s">
        <v>30</v>
      </c>
      <c r="AV55">
        <f>SUM(AR55*AT55)</f>
        <v>1866.9520000000002</v>
      </c>
      <c r="BD55" t="s">
        <v>26</v>
      </c>
      <c r="BF55" s="11">
        <f>+BF6</f>
        <v>142.06666666666669</v>
      </c>
      <c r="BG55" s="13" t="s">
        <v>30</v>
      </c>
      <c r="BH55">
        <v>13.08</v>
      </c>
      <c r="BI55" t="s">
        <v>30</v>
      </c>
      <c r="BJ55">
        <f>SUM(BF55*BH55)</f>
        <v>1858.2320000000004</v>
      </c>
      <c r="BQ55" t="s">
        <v>26</v>
      </c>
      <c r="BS55" s="11">
        <f>+BS6</f>
        <v>119.18333333333334</v>
      </c>
      <c r="BT55" s="13" t="s">
        <v>30</v>
      </c>
      <c r="BU55">
        <v>13.08</v>
      </c>
      <c r="BV55" t="s">
        <v>30</v>
      </c>
      <c r="BW55">
        <f>SUM(BS55*BU55)</f>
        <v>1558.9180000000001</v>
      </c>
      <c r="CE55" t="s">
        <v>26</v>
      </c>
      <c r="CG55" s="11">
        <f>+CG6</f>
        <v>121.06666666666669</v>
      </c>
      <c r="CH55" s="13" t="s">
        <v>30</v>
      </c>
      <c r="CI55">
        <v>13.08</v>
      </c>
      <c r="CJ55" t="s">
        <v>30</v>
      </c>
      <c r="CK55">
        <f>SUM(CG55*CI55)</f>
        <v>1583.5520000000004</v>
      </c>
      <c r="CR55" t="s">
        <v>26</v>
      </c>
      <c r="CT55" s="11">
        <f>+CT6</f>
        <v>120.43333333333335</v>
      </c>
      <c r="CU55" s="13" t="s">
        <v>30</v>
      </c>
      <c r="CV55">
        <v>13.08</v>
      </c>
      <c r="CW55" t="s">
        <v>30</v>
      </c>
      <c r="CX55">
        <f>SUM(CT55*CV55)</f>
        <v>1575.2680000000003</v>
      </c>
      <c r="DF55" t="s">
        <v>26</v>
      </c>
      <c r="DH55" s="11">
        <f>+DH6</f>
        <v>126.75000000000003</v>
      </c>
      <c r="DI55" s="13" t="s">
        <v>30</v>
      </c>
      <c r="DJ55">
        <v>13.08</v>
      </c>
      <c r="DK55" t="s">
        <v>30</v>
      </c>
      <c r="DL55">
        <f>SUM(DH55*DJ55)</f>
        <v>1657.8900000000003</v>
      </c>
      <c r="DS55" t="s">
        <v>26</v>
      </c>
      <c r="DU55" s="11">
        <f>+DU6</f>
        <v>124.16666666666666</v>
      </c>
      <c r="DV55" s="13" t="s">
        <v>30</v>
      </c>
      <c r="DW55">
        <v>13.08</v>
      </c>
      <c r="DX55" t="s">
        <v>30</v>
      </c>
      <c r="DY55">
        <f>SUM(DU55*DW55)</f>
        <v>1624.1</v>
      </c>
      <c r="EG55" t="s">
        <v>26</v>
      </c>
      <c r="EI55" s="11">
        <f>+EI6</f>
        <v>120.43333333333335</v>
      </c>
      <c r="EJ55" s="13" t="s">
        <v>30</v>
      </c>
      <c r="EK55">
        <v>13.08</v>
      </c>
      <c r="EL55" t="s">
        <v>30</v>
      </c>
      <c r="EM55">
        <f>SUM(EI55*EK55)</f>
        <v>1575.2680000000003</v>
      </c>
      <c r="ET55" t="s">
        <v>26</v>
      </c>
      <c r="EV55" s="11">
        <f>+EV6</f>
        <v>126.75000000000003</v>
      </c>
      <c r="EW55" s="13" t="s">
        <v>30</v>
      </c>
      <c r="EX55">
        <v>13.08</v>
      </c>
      <c r="EY55" t="s">
        <v>30</v>
      </c>
      <c r="EZ55">
        <f>SUM(EV55*EX55)</f>
        <v>1657.8900000000003</v>
      </c>
      <c r="FH55" t="s">
        <v>26</v>
      </c>
      <c r="FJ55" s="11">
        <f>+FJ6</f>
        <v>126.75000000000003</v>
      </c>
      <c r="FK55" s="13" t="s">
        <v>30</v>
      </c>
      <c r="FL55">
        <v>13.08</v>
      </c>
      <c r="FM55" t="s">
        <v>30</v>
      </c>
      <c r="FN55">
        <f>SUM(FJ55*FL55)</f>
        <v>1657.8900000000003</v>
      </c>
      <c r="FU55" t="s">
        <v>26</v>
      </c>
      <c r="FW55" s="11">
        <f>+FW6</f>
        <v>121.68333333333335</v>
      </c>
      <c r="FX55" s="13" t="s">
        <v>30</v>
      </c>
      <c r="FY55">
        <v>13.08</v>
      </c>
      <c r="FZ55" t="s">
        <v>30</v>
      </c>
      <c r="GA55">
        <f>SUM(FW55*FY55)</f>
        <v>1591.6180000000002</v>
      </c>
      <c r="GI55" t="s">
        <v>26</v>
      </c>
      <c r="GK55" s="11">
        <f>+GK6</f>
        <v>120.58333333333336</v>
      </c>
      <c r="GL55" s="13" t="s">
        <v>30</v>
      </c>
      <c r="GM55">
        <v>13.08</v>
      </c>
      <c r="GN55" t="s">
        <v>30</v>
      </c>
      <c r="GO55">
        <f>SUM(GK55*GM55)</f>
        <v>1577.2300000000002</v>
      </c>
      <c r="GV55" t="s">
        <v>26</v>
      </c>
      <c r="GX55" s="11">
        <f>+GX6</f>
        <v>126.75000000000003</v>
      </c>
      <c r="GY55" s="13" t="s">
        <v>30</v>
      </c>
      <c r="GZ55">
        <v>13.08</v>
      </c>
      <c r="HA55" t="s">
        <v>30</v>
      </c>
      <c r="HB55">
        <f>SUM(GX55*GZ55)</f>
        <v>1657.8900000000003</v>
      </c>
      <c r="HJ55" t="s">
        <v>26</v>
      </c>
      <c r="HL55" s="11">
        <f>+HL6</f>
        <v>126.75000000000003</v>
      </c>
      <c r="HM55" s="13" t="s">
        <v>30</v>
      </c>
      <c r="HN55">
        <v>13.08</v>
      </c>
      <c r="HO55" t="s">
        <v>30</v>
      </c>
      <c r="HP55">
        <f>SUM(HL55*HN55)</f>
        <v>1657.8900000000003</v>
      </c>
      <c r="HW55" t="s">
        <v>26</v>
      </c>
      <c r="HY55" s="11">
        <f>+HY6</f>
        <v>126.75000000000003</v>
      </c>
      <c r="HZ55" s="13" t="s">
        <v>30</v>
      </c>
      <c r="IA55">
        <v>13.08</v>
      </c>
      <c r="IB55" t="s">
        <v>30</v>
      </c>
      <c r="IC55">
        <f>SUM(HY55*IA55)</f>
        <v>1657.8900000000003</v>
      </c>
      <c r="IJ55" s="1"/>
      <c r="IK55" t="s">
        <v>26</v>
      </c>
      <c r="IM55" s="11">
        <f>+IM6</f>
        <v>90.11666666666666</v>
      </c>
      <c r="IN55" s="13" t="s">
        <v>30</v>
      </c>
      <c r="IO55">
        <v>13.08</v>
      </c>
      <c r="IP55" t="s">
        <v>30</v>
      </c>
      <c r="IQ55">
        <f>SUM(IM55*IO55)</f>
        <v>1178.7259999999999</v>
      </c>
      <c r="IX55" t="s">
        <v>26</v>
      </c>
      <c r="IZ55" s="11">
        <f>+IZ6</f>
        <v>126.75000000000003</v>
      </c>
      <c r="JA55" s="13" t="s">
        <v>30</v>
      </c>
      <c r="JB55">
        <v>13.08</v>
      </c>
      <c r="JC55" t="s">
        <v>30</v>
      </c>
      <c r="JD55">
        <f>SUM(IZ55*JB55)</f>
        <v>1657.8900000000003</v>
      </c>
    </row>
    <row r="56" spans="1:270" x14ac:dyDescent="0.35">
      <c r="A56" t="s">
        <v>27</v>
      </c>
      <c r="C56" s="10">
        <f>+G5</f>
        <v>12.183333333333335</v>
      </c>
      <c r="D56" s="13" t="s">
        <v>30</v>
      </c>
      <c r="E56">
        <v>17.43</v>
      </c>
      <c r="F56" t="s">
        <v>30</v>
      </c>
      <c r="G56">
        <f>SUM(C56*E56)</f>
        <v>212.35550000000003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C56" t="s">
        <v>27</v>
      </c>
      <c r="AE56" s="10">
        <f>+AI5</f>
        <v>0</v>
      </c>
      <c r="AF56" s="13" t="s">
        <v>30</v>
      </c>
      <c r="AG56">
        <v>17.43</v>
      </c>
      <c r="AH56" t="s">
        <v>30</v>
      </c>
      <c r="AI56">
        <f>SUM(AE56*AG56)</f>
        <v>0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  <c r="BD56" t="s">
        <v>27</v>
      </c>
      <c r="BF56" s="10">
        <f>+BJ5</f>
        <v>11.566666666666666</v>
      </c>
      <c r="BG56" s="13" t="s">
        <v>30</v>
      </c>
      <c r="BH56">
        <v>17.43</v>
      </c>
      <c r="BI56" t="s">
        <v>30</v>
      </c>
      <c r="BJ56">
        <f>SUM(BF56*BH56)</f>
        <v>201.607</v>
      </c>
      <c r="BQ56" t="s">
        <v>27</v>
      </c>
      <c r="BS56" s="10">
        <f>+BW5</f>
        <v>0</v>
      </c>
      <c r="BT56" s="13" t="s">
        <v>30</v>
      </c>
      <c r="BU56">
        <v>17.43</v>
      </c>
      <c r="BV56" t="s">
        <v>30</v>
      </c>
      <c r="BW56">
        <f>SUM(BS56*BU56)</f>
        <v>0</v>
      </c>
      <c r="CE56" t="s">
        <v>27</v>
      </c>
      <c r="CG56" s="10">
        <f>+CK5</f>
        <v>0</v>
      </c>
      <c r="CH56" s="13" t="s">
        <v>30</v>
      </c>
      <c r="CI56">
        <v>17.43</v>
      </c>
      <c r="CJ56" t="s">
        <v>30</v>
      </c>
      <c r="CK56">
        <f>SUM(CG56*CI56)</f>
        <v>0</v>
      </c>
      <c r="CR56" t="s">
        <v>27</v>
      </c>
      <c r="CT56" s="10">
        <f>+CX5</f>
        <v>0</v>
      </c>
      <c r="CU56" s="13" t="s">
        <v>30</v>
      </c>
      <c r="CV56">
        <v>17.43</v>
      </c>
      <c r="CW56" t="s">
        <v>30</v>
      </c>
      <c r="CX56">
        <f>SUM(CT56*CV56)</f>
        <v>0</v>
      </c>
      <c r="DF56" t="s">
        <v>27</v>
      </c>
      <c r="DH56" s="10">
        <f>+DL5</f>
        <v>0</v>
      </c>
      <c r="DI56" s="13" t="s">
        <v>30</v>
      </c>
      <c r="DJ56">
        <v>17.43</v>
      </c>
      <c r="DK56" t="s">
        <v>30</v>
      </c>
      <c r="DL56">
        <f>SUM(DH56*DJ56)</f>
        <v>0</v>
      </c>
      <c r="DS56" t="s">
        <v>27</v>
      </c>
      <c r="DU56" s="10">
        <f>+DY5</f>
        <v>0</v>
      </c>
      <c r="DV56" s="13" t="s">
        <v>30</v>
      </c>
      <c r="DW56">
        <v>17.43</v>
      </c>
      <c r="DX56" t="s">
        <v>30</v>
      </c>
      <c r="DY56">
        <f>SUM(DU56*DW56)</f>
        <v>0</v>
      </c>
      <c r="EG56" t="s">
        <v>27</v>
      </c>
      <c r="EI56" s="10">
        <f>+EM5</f>
        <v>0</v>
      </c>
      <c r="EJ56" s="13" t="s">
        <v>30</v>
      </c>
      <c r="EK56">
        <v>17.43</v>
      </c>
      <c r="EL56" t="s">
        <v>30</v>
      </c>
      <c r="EM56">
        <f>SUM(EI56*EK56)</f>
        <v>0</v>
      </c>
      <c r="ET56" t="s">
        <v>27</v>
      </c>
      <c r="EV56" s="10">
        <f>+EZ5</f>
        <v>0</v>
      </c>
      <c r="EW56" s="13" t="s">
        <v>30</v>
      </c>
      <c r="EX56">
        <v>17.43</v>
      </c>
      <c r="EY56" t="s">
        <v>30</v>
      </c>
      <c r="EZ56">
        <f>SUM(EV56*EX56)</f>
        <v>0</v>
      </c>
      <c r="FH56" t="s">
        <v>27</v>
      </c>
      <c r="FJ56" s="10">
        <f>+FN5</f>
        <v>0</v>
      </c>
      <c r="FK56" s="13" t="s">
        <v>30</v>
      </c>
      <c r="FL56">
        <v>17.43</v>
      </c>
      <c r="FM56" t="s">
        <v>30</v>
      </c>
      <c r="FN56">
        <f>SUM(FJ56*FL56)</f>
        <v>0</v>
      </c>
      <c r="FU56" t="s">
        <v>27</v>
      </c>
      <c r="FW56" s="10">
        <f>+GA5</f>
        <v>0</v>
      </c>
      <c r="FX56" s="13" t="s">
        <v>30</v>
      </c>
      <c r="FY56">
        <v>17.43</v>
      </c>
      <c r="FZ56" t="s">
        <v>30</v>
      </c>
      <c r="GA56">
        <f>SUM(FW56*FY56)</f>
        <v>0</v>
      </c>
      <c r="GI56" t="s">
        <v>27</v>
      </c>
      <c r="GK56" s="10">
        <f>+GO5</f>
        <v>12.016666666666662</v>
      </c>
      <c r="GL56" s="13" t="s">
        <v>30</v>
      </c>
      <c r="GM56">
        <v>17.43</v>
      </c>
      <c r="GN56" t="s">
        <v>30</v>
      </c>
      <c r="GO56">
        <f>SUM(GK56*GM56)</f>
        <v>209.45049999999992</v>
      </c>
      <c r="GV56" t="s">
        <v>27</v>
      </c>
      <c r="GX56" s="10">
        <f>+HB5</f>
        <v>0</v>
      </c>
      <c r="GY56" s="13" t="s">
        <v>30</v>
      </c>
      <c r="GZ56">
        <v>17.43</v>
      </c>
      <c r="HA56" t="s">
        <v>30</v>
      </c>
      <c r="HB56">
        <f>SUM(GX56*GZ56)</f>
        <v>0</v>
      </c>
      <c r="HJ56" t="s">
        <v>27</v>
      </c>
      <c r="HL56" s="10">
        <f>+HP5</f>
        <v>0</v>
      </c>
      <c r="HM56" s="13" t="s">
        <v>30</v>
      </c>
      <c r="HN56">
        <v>17.43</v>
      </c>
      <c r="HO56" t="s">
        <v>30</v>
      </c>
      <c r="HP56">
        <f>SUM(HL56*HN56)</f>
        <v>0</v>
      </c>
      <c r="HW56" t="s">
        <v>27</v>
      </c>
      <c r="HY56" s="10">
        <f>+IC5</f>
        <v>4.0499999999999989</v>
      </c>
      <c r="HZ56" s="13" t="s">
        <v>30</v>
      </c>
      <c r="IA56">
        <v>17.43</v>
      </c>
      <c r="IB56" t="s">
        <v>30</v>
      </c>
      <c r="IC56">
        <f>SUM(HY56*IA56)</f>
        <v>70.591499999999982</v>
      </c>
      <c r="IK56" t="s">
        <v>27</v>
      </c>
      <c r="IM56" s="10">
        <f>+IQ5</f>
        <v>0</v>
      </c>
      <c r="IN56" s="13" t="s">
        <v>30</v>
      </c>
      <c r="IO56">
        <v>17.43</v>
      </c>
      <c r="IP56" t="s">
        <v>30</v>
      </c>
      <c r="IQ56">
        <f>SUM(IM56*IO56)</f>
        <v>0</v>
      </c>
      <c r="IX56" t="s">
        <v>27</v>
      </c>
      <c r="IZ56" s="10">
        <f>+JD5</f>
        <v>0</v>
      </c>
      <c r="JA56" s="13" t="s">
        <v>30</v>
      </c>
      <c r="JB56">
        <v>17.43</v>
      </c>
      <c r="JC56" t="s">
        <v>30</v>
      </c>
      <c r="JD56">
        <f>SUM(IZ56*JB56)</f>
        <v>0</v>
      </c>
    </row>
    <row r="57" spans="1:270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C57" t="s">
        <v>28</v>
      </c>
      <c r="AE57" s="10">
        <f>+AN5</f>
        <v>1</v>
      </c>
      <c r="AF57" s="13" t="s">
        <v>30</v>
      </c>
      <c r="AG57">
        <v>65.38</v>
      </c>
      <c r="AH57" t="s">
        <v>30</v>
      </c>
      <c r="AI57">
        <f>SUM(AE57*AG57)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D57" t="s">
        <v>28</v>
      </c>
      <c r="BF57" s="10">
        <f>+BO5</f>
        <v>1</v>
      </c>
      <c r="BG57" s="13" t="s">
        <v>30</v>
      </c>
      <c r="BH57">
        <v>65.38</v>
      </c>
      <c r="BI57" t="s">
        <v>30</v>
      </c>
      <c r="BJ57">
        <f>SUM(BF57*BH57)</f>
        <v>65.38</v>
      </c>
      <c r="BQ57" t="s">
        <v>28</v>
      </c>
      <c r="BS57" s="10">
        <f>+CB5</f>
        <v>1</v>
      </c>
      <c r="BT57" s="13" t="s">
        <v>30</v>
      </c>
      <c r="BU57">
        <v>65.38</v>
      </c>
      <c r="BV57" t="s">
        <v>30</v>
      </c>
      <c r="BW57">
        <f>SUM(BS57*BU57)</f>
        <v>65.38</v>
      </c>
      <c r="CE57" t="s">
        <v>28</v>
      </c>
      <c r="CG57" s="10">
        <f>+CP5</f>
        <v>1</v>
      </c>
      <c r="CH57" s="13" t="s">
        <v>30</v>
      </c>
      <c r="CI57">
        <v>65.38</v>
      </c>
      <c r="CJ57" t="s">
        <v>30</v>
      </c>
      <c r="CK57">
        <f>SUM(CG57*CI57)</f>
        <v>65.38</v>
      </c>
      <c r="CR57" t="s">
        <v>28</v>
      </c>
      <c r="CT57" s="10">
        <f>+DC5</f>
        <v>1</v>
      </c>
      <c r="CU57" s="13" t="s">
        <v>30</v>
      </c>
      <c r="CV57">
        <v>65.38</v>
      </c>
      <c r="CW57" t="s">
        <v>30</v>
      </c>
      <c r="CX57">
        <f>SUM(CT57*CV57)</f>
        <v>65.38</v>
      </c>
      <c r="DF57" t="s">
        <v>28</v>
      </c>
      <c r="DH57" s="10">
        <f>+DQ5</f>
        <v>1</v>
      </c>
      <c r="DI57" s="13" t="s">
        <v>30</v>
      </c>
      <c r="DJ57">
        <v>65.38</v>
      </c>
      <c r="DK57" t="s">
        <v>30</v>
      </c>
      <c r="DL57">
        <f>SUM(DH57*DJ57)</f>
        <v>65.38</v>
      </c>
      <c r="DS57" t="s">
        <v>28</v>
      </c>
      <c r="DU57" s="10">
        <f>+ED5</f>
        <v>1</v>
      </c>
      <c r="DV57" s="13" t="s">
        <v>30</v>
      </c>
      <c r="DW57">
        <v>65.38</v>
      </c>
      <c r="DX57" t="s">
        <v>30</v>
      </c>
      <c r="DY57">
        <f>SUM(DU57*DW57)</f>
        <v>65.38</v>
      </c>
      <c r="EG57" t="s">
        <v>28</v>
      </c>
      <c r="EI57" s="10">
        <f>+ER5</f>
        <v>1</v>
      </c>
      <c r="EJ57" s="13" t="s">
        <v>30</v>
      </c>
      <c r="EK57">
        <v>65.38</v>
      </c>
      <c r="EL57" t="s">
        <v>30</v>
      </c>
      <c r="EM57">
        <f>SUM(EI57*EK57)</f>
        <v>65.38</v>
      </c>
      <c r="ET57" t="s">
        <v>28</v>
      </c>
      <c r="EV57" s="10">
        <f>+FE5</f>
        <v>1</v>
      </c>
      <c r="EW57" s="13" t="s">
        <v>30</v>
      </c>
      <c r="EX57">
        <v>65.38</v>
      </c>
      <c r="EY57" t="s">
        <v>30</v>
      </c>
      <c r="EZ57">
        <f>SUM(EV57*EX57)</f>
        <v>65.38</v>
      </c>
      <c r="FH57" t="s">
        <v>28</v>
      </c>
      <c r="FJ57" s="10">
        <f>+FS5</f>
        <v>1</v>
      </c>
      <c r="FK57" s="13" t="s">
        <v>30</v>
      </c>
      <c r="FL57">
        <v>65.38</v>
      </c>
      <c r="FM57" t="s">
        <v>30</v>
      </c>
      <c r="FN57">
        <f>SUM(FJ57*FL57)</f>
        <v>65.38</v>
      </c>
      <c r="FU57" t="s">
        <v>28</v>
      </c>
      <c r="FW57" s="10">
        <f>+GF5</f>
        <v>1</v>
      </c>
      <c r="FX57" s="13" t="s">
        <v>30</v>
      </c>
      <c r="FY57">
        <v>65.38</v>
      </c>
      <c r="FZ57" t="s">
        <v>30</v>
      </c>
      <c r="GA57">
        <f>SUM(FW57*FY57)</f>
        <v>65.38</v>
      </c>
      <c r="GI57" t="s">
        <v>28</v>
      </c>
      <c r="GK57" s="10">
        <f>+GT5</f>
        <v>1</v>
      </c>
      <c r="GL57" s="13" t="s">
        <v>30</v>
      </c>
      <c r="GM57">
        <v>65.38</v>
      </c>
      <c r="GN57" t="s">
        <v>30</v>
      </c>
      <c r="GO57">
        <f>SUM(GK57*GM57)</f>
        <v>65.38</v>
      </c>
      <c r="GV57" t="s">
        <v>28</v>
      </c>
      <c r="GX57" s="10">
        <f>+HG5</f>
        <v>1</v>
      </c>
      <c r="GY57" s="13" t="s">
        <v>30</v>
      </c>
      <c r="GZ57">
        <v>65.38</v>
      </c>
      <c r="HA57" t="s">
        <v>30</v>
      </c>
      <c r="HB57">
        <f>SUM(GX57*GZ57)</f>
        <v>65.38</v>
      </c>
      <c r="HJ57" t="s">
        <v>28</v>
      </c>
      <c r="HL57" s="10">
        <f>+HU5</f>
        <v>1</v>
      </c>
      <c r="HM57" s="13" t="s">
        <v>30</v>
      </c>
      <c r="HN57">
        <v>65.38</v>
      </c>
      <c r="HO57" t="s">
        <v>30</v>
      </c>
      <c r="HP57">
        <f>SUM(HL57*HN57)</f>
        <v>65.38</v>
      </c>
      <c r="HW57" t="s">
        <v>28</v>
      </c>
      <c r="HY57" s="10">
        <f>+IH5</f>
        <v>1</v>
      </c>
      <c r="HZ57" s="13" t="s">
        <v>30</v>
      </c>
      <c r="IA57">
        <v>65.38</v>
      </c>
      <c r="IB57" t="s">
        <v>30</v>
      </c>
      <c r="IC57">
        <f>SUM(HY57*IA57)</f>
        <v>65.38</v>
      </c>
      <c r="IJ57" s="1"/>
      <c r="IK57" t="s">
        <v>28</v>
      </c>
      <c r="IM57" s="10">
        <f>+IV5</f>
        <v>1</v>
      </c>
      <c r="IN57" s="13" t="s">
        <v>30</v>
      </c>
      <c r="IO57">
        <v>65.38</v>
      </c>
      <c r="IP57" t="s">
        <v>30</v>
      </c>
      <c r="IQ57">
        <f>SUM(IM57*IO57)</f>
        <v>65.38</v>
      </c>
      <c r="IX57" t="s">
        <v>28</v>
      </c>
      <c r="IZ57" s="10">
        <f>+JI5</f>
        <v>1</v>
      </c>
      <c r="JA57" s="13" t="s">
        <v>30</v>
      </c>
      <c r="JB57">
        <v>65.38</v>
      </c>
      <c r="JC57" t="s">
        <v>30</v>
      </c>
      <c r="JD57">
        <f>SUM(IZ57*JB57)</f>
        <v>65.38</v>
      </c>
    </row>
    <row r="58" spans="1:270" x14ac:dyDescent="0.35">
      <c r="A58" t="s">
        <v>29</v>
      </c>
      <c r="C58" s="10">
        <f>+L6</f>
        <v>0</v>
      </c>
      <c r="D58" s="13" t="s">
        <v>30</v>
      </c>
      <c r="E58">
        <v>17.43</v>
      </c>
      <c r="F58" t="s">
        <v>30</v>
      </c>
      <c r="G58">
        <f>SUM(C58*E58)</f>
        <v>0</v>
      </c>
      <c r="O58" t="s">
        <v>29</v>
      </c>
      <c r="Q58" s="10">
        <f>+Z6</f>
        <v>0</v>
      </c>
      <c r="R58" s="13" t="s">
        <v>30</v>
      </c>
      <c r="S58">
        <v>17.43</v>
      </c>
      <c r="T58" t="s">
        <v>30</v>
      </c>
      <c r="U58">
        <f>SUM(Q58*S58)</f>
        <v>0</v>
      </c>
      <c r="AC58" t="s">
        <v>29</v>
      </c>
      <c r="AE58" s="10">
        <f>+AN6</f>
        <v>0</v>
      </c>
      <c r="AF58" s="13" t="s">
        <v>30</v>
      </c>
      <c r="AG58">
        <v>17.43</v>
      </c>
      <c r="AH58" t="s">
        <v>30</v>
      </c>
      <c r="AI58">
        <f>SUM(AE58*AG58)</f>
        <v>0</v>
      </c>
      <c r="AP58" t="s">
        <v>29</v>
      </c>
      <c r="AR58" s="10">
        <f>+BA6</f>
        <v>0</v>
      </c>
      <c r="AS58" s="13" t="s">
        <v>30</v>
      </c>
      <c r="AT58">
        <v>17.43</v>
      </c>
      <c r="AU58" t="s">
        <v>30</v>
      </c>
      <c r="AV58">
        <f>SUM(AR58*AT58)</f>
        <v>0</v>
      </c>
      <c r="BD58" t="s">
        <v>29</v>
      </c>
      <c r="BF58" s="10">
        <f>+BO6</f>
        <v>0</v>
      </c>
      <c r="BG58" s="13" t="s">
        <v>30</v>
      </c>
      <c r="BH58">
        <v>17.43</v>
      </c>
      <c r="BI58" t="s">
        <v>30</v>
      </c>
      <c r="BJ58">
        <f>SUM(BF58*BH58)</f>
        <v>0</v>
      </c>
      <c r="BQ58" t="s">
        <v>29</v>
      </c>
      <c r="BS58" s="10">
        <f>+CB6</f>
        <v>0</v>
      </c>
      <c r="BT58" s="13" t="s">
        <v>30</v>
      </c>
      <c r="BU58">
        <v>17.43</v>
      </c>
      <c r="BV58" t="s">
        <v>30</v>
      </c>
      <c r="BW58">
        <f>SUM(BS58*BU58)</f>
        <v>0</v>
      </c>
      <c r="CE58" t="s">
        <v>29</v>
      </c>
      <c r="CG58" s="10">
        <f>+CP6</f>
        <v>0</v>
      </c>
      <c r="CH58" s="13" t="s">
        <v>30</v>
      </c>
      <c r="CI58">
        <v>17.43</v>
      </c>
      <c r="CJ58" t="s">
        <v>30</v>
      </c>
      <c r="CK58">
        <f>SUM(CG58*CI58)</f>
        <v>0</v>
      </c>
      <c r="CR58" t="s">
        <v>29</v>
      </c>
      <c r="CT58" s="10">
        <f>+DC6</f>
        <v>0</v>
      </c>
      <c r="CU58" s="13" t="s">
        <v>30</v>
      </c>
      <c r="CV58">
        <v>17.43</v>
      </c>
      <c r="CW58" t="s">
        <v>30</v>
      </c>
      <c r="CX58">
        <f>SUM(CT58*CV58)</f>
        <v>0</v>
      </c>
      <c r="DF58" t="s">
        <v>29</v>
      </c>
      <c r="DH58" s="10">
        <f>+DQ6</f>
        <v>0</v>
      </c>
      <c r="DI58" s="13" t="s">
        <v>30</v>
      </c>
      <c r="DJ58">
        <v>17.43</v>
      </c>
      <c r="DK58" t="s">
        <v>30</v>
      </c>
      <c r="DL58">
        <f>SUM(DH58*DJ58)</f>
        <v>0</v>
      </c>
      <c r="DS58" t="s">
        <v>29</v>
      </c>
      <c r="DU58" s="10">
        <f>+ED6</f>
        <v>0</v>
      </c>
      <c r="DV58" s="13" t="s">
        <v>30</v>
      </c>
      <c r="DW58">
        <v>17.43</v>
      </c>
      <c r="DX58" t="s">
        <v>30</v>
      </c>
      <c r="DY58">
        <f>SUM(DU58*DW58)</f>
        <v>0</v>
      </c>
      <c r="EG58" t="s">
        <v>29</v>
      </c>
      <c r="EI58" s="10">
        <f>+ER6</f>
        <v>0</v>
      </c>
      <c r="EJ58" s="13" t="s">
        <v>30</v>
      </c>
      <c r="EK58">
        <v>17.43</v>
      </c>
      <c r="EL58" t="s">
        <v>30</v>
      </c>
      <c r="EM58">
        <f>SUM(EI58*EK58)</f>
        <v>0</v>
      </c>
      <c r="ET58" t="s">
        <v>29</v>
      </c>
      <c r="EV58" s="10">
        <f>+FE6</f>
        <v>0</v>
      </c>
      <c r="EW58" s="13" t="s">
        <v>30</v>
      </c>
      <c r="EX58">
        <v>17.43</v>
      </c>
      <c r="EY58" t="s">
        <v>30</v>
      </c>
      <c r="EZ58">
        <f>SUM(EV58*EX58)</f>
        <v>0</v>
      </c>
      <c r="FH58" t="s">
        <v>29</v>
      </c>
      <c r="FJ58" s="10">
        <f>+FS6</f>
        <v>0</v>
      </c>
      <c r="FK58" s="13" t="s">
        <v>30</v>
      </c>
      <c r="FL58">
        <v>17.43</v>
      </c>
      <c r="FM58" t="s">
        <v>30</v>
      </c>
      <c r="FN58">
        <f>SUM(FJ58*FL58)</f>
        <v>0</v>
      </c>
      <c r="FU58" t="s">
        <v>29</v>
      </c>
      <c r="FW58" s="10">
        <f>+GF6</f>
        <v>0</v>
      </c>
      <c r="FX58" s="13" t="s">
        <v>30</v>
      </c>
      <c r="FY58">
        <v>17.43</v>
      </c>
      <c r="FZ58" t="s">
        <v>30</v>
      </c>
      <c r="GA58">
        <f>SUM(FW58*FY58)</f>
        <v>0</v>
      </c>
      <c r="GI58" t="s">
        <v>29</v>
      </c>
      <c r="GK58" s="10">
        <f>+GT6</f>
        <v>0</v>
      </c>
      <c r="GL58" s="13" t="s">
        <v>30</v>
      </c>
      <c r="GM58">
        <v>17.43</v>
      </c>
      <c r="GN58" t="s">
        <v>30</v>
      </c>
      <c r="GO58">
        <f>SUM(GK58*GM58)</f>
        <v>0</v>
      </c>
      <c r="GV58" t="s">
        <v>29</v>
      </c>
      <c r="GX58" s="10">
        <f>+HG6</f>
        <v>0</v>
      </c>
      <c r="GY58" s="13" t="s">
        <v>30</v>
      </c>
      <c r="GZ58">
        <v>17.43</v>
      </c>
      <c r="HA58" t="s">
        <v>30</v>
      </c>
      <c r="HB58">
        <f>SUM(GX58*GZ58)</f>
        <v>0</v>
      </c>
      <c r="HJ58" t="s">
        <v>29</v>
      </c>
      <c r="HL58" s="10">
        <f>+HU6</f>
        <v>0</v>
      </c>
      <c r="HM58" s="13" t="s">
        <v>30</v>
      </c>
      <c r="HN58">
        <v>17.43</v>
      </c>
      <c r="HO58" t="s">
        <v>30</v>
      </c>
      <c r="HP58">
        <f>SUM(HL58*HN58)</f>
        <v>0</v>
      </c>
      <c r="HW58" t="s">
        <v>29</v>
      </c>
      <c r="HY58" s="10">
        <f>+IH6</f>
        <v>0</v>
      </c>
      <c r="HZ58" s="13" t="s">
        <v>30</v>
      </c>
      <c r="IA58">
        <v>17.43</v>
      </c>
      <c r="IB58" t="s">
        <v>30</v>
      </c>
      <c r="IC58">
        <f>SUM(HY58*IA58)</f>
        <v>0</v>
      </c>
      <c r="IK58" t="s">
        <v>29</v>
      </c>
      <c r="IM58" s="10">
        <f>+IV6</f>
        <v>0</v>
      </c>
      <c r="IN58" s="13" t="s">
        <v>30</v>
      </c>
      <c r="IO58">
        <v>17.43</v>
      </c>
      <c r="IP58" t="s">
        <v>30</v>
      </c>
      <c r="IQ58">
        <f>SUM(IM58*IO58)</f>
        <v>0</v>
      </c>
      <c r="IX58" t="s">
        <v>29</v>
      </c>
      <c r="IZ58" s="10">
        <f>+JI6</f>
        <v>4</v>
      </c>
      <c r="JA58" s="13" t="s">
        <v>30</v>
      </c>
      <c r="JB58">
        <v>17.43</v>
      </c>
      <c r="JC58" t="s">
        <v>30</v>
      </c>
      <c r="JD58">
        <f>SUM(IZ58*JB58)</f>
        <v>69.72</v>
      </c>
    </row>
    <row r="59" spans="1:270" x14ac:dyDescent="0.35">
      <c r="D59" s="13"/>
      <c r="E59" s="14"/>
      <c r="F59" s="14" t="s">
        <v>30</v>
      </c>
      <c r="G59" s="14">
        <f>SUM(G54:G58)</f>
        <v>3791.1775000000002</v>
      </c>
      <c r="R59" s="13"/>
      <c r="S59" s="14"/>
      <c r="T59" s="14" t="s">
        <v>30</v>
      </c>
      <c r="U59" s="14">
        <f>SUM(U54:U58)</f>
        <v>3357.7700000000004</v>
      </c>
      <c r="AF59" s="13"/>
      <c r="AG59" s="14"/>
      <c r="AH59" s="14" t="s">
        <v>30</v>
      </c>
      <c r="AI59" s="14">
        <f>SUM(AI54:AI58)</f>
        <v>3357.7700000000004</v>
      </c>
      <c r="AS59" s="13"/>
      <c r="AT59" s="14"/>
      <c r="AU59" s="14" t="s">
        <v>30</v>
      </c>
      <c r="AV59" s="14">
        <f>SUM(AV54:AV58)</f>
        <v>3566.8320000000003</v>
      </c>
      <c r="BG59" s="13"/>
      <c r="BH59" s="14"/>
      <c r="BI59" s="14" t="s">
        <v>30</v>
      </c>
      <c r="BJ59" s="14">
        <f>SUM(BJ54:BJ58)</f>
        <v>3759.7190000000005</v>
      </c>
      <c r="BT59" s="13"/>
      <c r="BU59" s="14"/>
      <c r="BV59" s="14" t="s">
        <v>30</v>
      </c>
      <c r="BW59" s="14">
        <f>SUM(BW54:BW58)</f>
        <v>3193.4180000000001</v>
      </c>
      <c r="CH59" s="13"/>
      <c r="CI59" s="14"/>
      <c r="CJ59" s="14" t="s">
        <v>30</v>
      </c>
      <c r="CK59" s="14">
        <f>SUM(CK54:CK58)</f>
        <v>3218.0520000000006</v>
      </c>
      <c r="CU59" s="13"/>
      <c r="CV59" s="14"/>
      <c r="CW59" s="14" t="s">
        <v>30</v>
      </c>
      <c r="CX59" s="14">
        <f>SUM(CX54:CX58)</f>
        <v>3209.768</v>
      </c>
      <c r="DI59" s="13"/>
      <c r="DJ59" s="14"/>
      <c r="DK59" s="14" t="s">
        <v>30</v>
      </c>
      <c r="DL59" s="14">
        <f>SUM(DL54:DL58)</f>
        <v>3357.7700000000004</v>
      </c>
      <c r="DV59" s="13"/>
      <c r="DW59" s="14"/>
      <c r="DX59" s="14" t="s">
        <v>30</v>
      </c>
      <c r="DY59" s="14">
        <f>SUM(DY54:DY58)</f>
        <v>3323.98</v>
      </c>
      <c r="EJ59" s="13"/>
      <c r="EK59" s="14"/>
      <c r="EL59" s="14" t="s">
        <v>30</v>
      </c>
      <c r="EM59" s="14">
        <f>SUM(EM54:EM58)</f>
        <v>3209.768</v>
      </c>
      <c r="EW59" s="13"/>
      <c r="EX59" s="14"/>
      <c r="EY59" s="14" t="s">
        <v>30</v>
      </c>
      <c r="EZ59" s="14">
        <f>SUM(EZ54:EZ58)</f>
        <v>3357.7700000000004</v>
      </c>
      <c r="FK59" s="13"/>
      <c r="FL59" s="14"/>
      <c r="FM59" s="14" t="s">
        <v>30</v>
      </c>
      <c r="FN59" s="14">
        <f>SUM(FN54:FN58)</f>
        <v>3357.7700000000004</v>
      </c>
      <c r="FX59" s="13"/>
      <c r="FY59" s="14"/>
      <c r="FZ59" s="14" t="s">
        <v>30</v>
      </c>
      <c r="GA59" s="14">
        <f>SUM(GA54:GA58)</f>
        <v>3226.1180000000004</v>
      </c>
      <c r="GL59" s="13"/>
      <c r="GM59" s="14"/>
      <c r="GN59" s="14" t="s">
        <v>30</v>
      </c>
      <c r="GO59" s="14">
        <f>SUM(GO54:GO58)</f>
        <v>3421.1805000000004</v>
      </c>
      <c r="GY59" s="13"/>
      <c r="GZ59" s="14"/>
      <c r="HA59" s="14" t="s">
        <v>30</v>
      </c>
      <c r="HB59" s="14">
        <f>SUM(HB54:HB58)</f>
        <v>3357.7700000000004</v>
      </c>
      <c r="HM59" s="13"/>
      <c r="HN59" s="14"/>
      <c r="HO59" s="14" t="s">
        <v>30</v>
      </c>
      <c r="HP59" s="14">
        <f>SUM(HP54:HP58)</f>
        <v>3357.7700000000004</v>
      </c>
      <c r="HZ59" s="13"/>
      <c r="IA59" s="14"/>
      <c r="IB59" s="14" t="s">
        <v>30</v>
      </c>
      <c r="IC59" s="14">
        <f>SUM(IC54:IC58)</f>
        <v>3428.3615000000004</v>
      </c>
      <c r="IJ59" s="1"/>
      <c r="IN59" s="13"/>
      <c r="IO59" s="14"/>
      <c r="IP59" s="14" t="s">
        <v>30</v>
      </c>
      <c r="IQ59" s="14">
        <f>SUM(IQ54:IQ58)</f>
        <v>2747.8459999999995</v>
      </c>
      <c r="JA59" s="13"/>
      <c r="JB59" s="14"/>
      <c r="JC59" s="14" t="s">
        <v>30</v>
      </c>
      <c r="JD59" s="14">
        <f>SUM(JD54:JD58)</f>
        <v>3427.4900000000002</v>
      </c>
    </row>
    <row r="60" spans="1:270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F60" s="13"/>
      <c r="AG60" t="s">
        <v>31</v>
      </c>
      <c r="AH60" t="s">
        <v>30</v>
      </c>
      <c r="AI60">
        <v>200</v>
      </c>
      <c r="AS60" s="13"/>
      <c r="AT60" t="s">
        <v>31</v>
      </c>
      <c r="AU60" t="s">
        <v>30</v>
      </c>
      <c r="AV60">
        <v>200</v>
      </c>
      <c r="BG60" s="13"/>
      <c r="BH60" t="s">
        <v>31</v>
      </c>
      <c r="BI60" t="s">
        <v>30</v>
      </c>
      <c r="BJ60">
        <v>200</v>
      </c>
      <c r="BT60" s="13"/>
      <c r="BU60" t="s">
        <v>31</v>
      </c>
      <c r="BV60" t="s">
        <v>30</v>
      </c>
      <c r="BW60">
        <v>200</v>
      </c>
      <c r="CH60" s="13"/>
      <c r="CI60" t="s">
        <v>31</v>
      </c>
      <c r="CJ60" t="s">
        <v>30</v>
      </c>
      <c r="CK60">
        <v>200</v>
      </c>
      <c r="CU60" s="13"/>
      <c r="CV60" t="s">
        <v>31</v>
      </c>
      <c r="CW60" t="s">
        <v>30</v>
      </c>
      <c r="CX60">
        <v>200</v>
      </c>
      <c r="DI60" s="13"/>
      <c r="DJ60" t="s">
        <v>31</v>
      </c>
      <c r="DK60" t="s">
        <v>30</v>
      </c>
      <c r="DL60">
        <v>200</v>
      </c>
      <c r="DV60" s="13"/>
      <c r="DW60" t="s">
        <v>31</v>
      </c>
      <c r="DX60" t="s">
        <v>30</v>
      </c>
      <c r="DY60">
        <v>200</v>
      </c>
      <c r="EJ60" s="13"/>
      <c r="EK60" t="s">
        <v>31</v>
      </c>
      <c r="EL60" t="s">
        <v>30</v>
      </c>
      <c r="EM60">
        <v>200</v>
      </c>
      <c r="EW60" s="13"/>
      <c r="EX60" t="s">
        <v>31</v>
      </c>
      <c r="EY60" t="s">
        <v>30</v>
      </c>
      <c r="EZ60">
        <v>200</v>
      </c>
      <c r="FK60" s="13"/>
      <c r="FL60" t="s">
        <v>31</v>
      </c>
      <c r="FM60" t="s">
        <v>30</v>
      </c>
      <c r="FN60">
        <v>200</v>
      </c>
      <c r="FX60" s="13"/>
      <c r="FY60" t="s">
        <v>31</v>
      </c>
      <c r="FZ60" t="s">
        <v>30</v>
      </c>
      <c r="GA60">
        <v>200</v>
      </c>
      <c r="GL60" s="13"/>
      <c r="GM60" t="s">
        <v>31</v>
      </c>
      <c r="GN60" t="s">
        <v>30</v>
      </c>
      <c r="GO60">
        <v>200</v>
      </c>
      <c r="GY60" s="13"/>
      <c r="GZ60" t="s">
        <v>31</v>
      </c>
      <c r="HA60" t="s">
        <v>30</v>
      </c>
      <c r="HB60">
        <v>200</v>
      </c>
      <c r="HM60" s="13"/>
      <c r="HN60" t="s">
        <v>31</v>
      </c>
      <c r="HO60" t="s">
        <v>30</v>
      </c>
      <c r="HP60">
        <v>200</v>
      </c>
      <c r="HZ60" s="13"/>
      <c r="IA60" t="s">
        <v>31</v>
      </c>
      <c r="IB60" t="s">
        <v>30</v>
      </c>
      <c r="IC60">
        <v>200</v>
      </c>
      <c r="IN60" s="13"/>
      <c r="IO60" t="s">
        <v>31</v>
      </c>
      <c r="IP60" t="s">
        <v>30</v>
      </c>
      <c r="IQ60">
        <v>200</v>
      </c>
      <c r="JA60" s="13"/>
      <c r="JB60" t="s">
        <v>31</v>
      </c>
      <c r="JC60" t="s">
        <v>30</v>
      </c>
      <c r="JD60">
        <v>200</v>
      </c>
    </row>
    <row r="61" spans="1:270" x14ac:dyDescent="0.35">
      <c r="IJ61" s="1"/>
    </row>
    <row r="62" spans="1:270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G62" s="15" t="s">
        <v>32</v>
      </c>
      <c r="AH62" s="15" t="s">
        <v>30</v>
      </c>
      <c r="AI62" s="15">
        <v>550</v>
      </c>
      <c r="AJ62" s="16"/>
      <c r="AK62" s="16"/>
      <c r="AL62" s="17"/>
      <c r="AO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H62" s="15" t="s">
        <v>32</v>
      </c>
      <c r="BI62" s="15" t="s">
        <v>30</v>
      </c>
      <c r="BJ62" s="15">
        <v>550</v>
      </c>
      <c r="BK62" s="16"/>
      <c r="BL62" s="16"/>
      <c r="BM62" s="17"/>
      <c r="BP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I62" s="15" t="s">
        <v>32</v>
      </c>
      <c r="CJ62" s="15" t="s">
        <v>30</v>
      </c>
      <c r="CK62" s="15">
        <v>550</v>
      </c>
      <c r="CL62" s="16"/>
      <c r="CM62" s="16"/>
      <c r="CN62" s="17"/>
      <c r="CQ62" s="18"/>
      <c r="CV62" s="15" t="s">
        <v>32</v>
      </c>
      <c r="CW62" s="15" t="s">
        <v>30</v>
      </c>
      <c r="CX62" s="15">
        <v>550</v>
      </c>
      <c r="CY62" s="16"/>
      <c r="CZ62" s="16"/>
      <c r="DA62" s="17"/>
      <c r="DD62" s="18"/>
      <c r="DJ62" s="15" t="s">
        <v>32</v>
      </c>
      <c r="DK62" s="15" t="s">
        <v>30</v>
      </c>
      <c r="DL62" s="15">
        <v>550</v>
      </c>
      <c r="DM62" s="16"/>
      <c r="DN62" s="16"/>
      <c r="DO62" s="17"/>
      <c r="DR62" s="18"/>
      <c r="DW62" s="15" t="s">
        <v>32</v>
      </c>
      <c r="DX62" s="15" t="s">
        <v>30</v>
      </c>
      <c r="DY62" s="15">
        <v>550</v>
      </c>
      <c r="DZ62" s="16"/>
      <c r="EA62" s="16"/>
      <c r="EB62" s="17"/>
      <c r="EE62" s="18"/>
      <c r="EK62" s="15" t="s">
        <v>32</v>
      </c>
      <c r="EL62" s="15" t="s">
        <v>30</v>
      </c>
      <c r="EM62" s="15">
        <v>550</v>
      </c>
      <c r="EN62" s="16"/>
      <c r="EO62" s="16"/>
      <c r="EP62" s="17"/>
      <c r="ES62" s="18"/>
      <c r="EX62" s="15" t="s">
        <v>32</v>
      </c>
      <c r="EY62" s="15" t="s">
        <v>30</v>
      </c>
      <c r="EZ62" s="15">
        <v>550</v>
      </c>
      <c r="FA62" s="16"/>
      <c r="FB62" s="16"/>
      <c r="FC62" s="17"/>
      <c r="FF62" s="18"/>
      <c r="FL62" s="15" t="s">
        <v>32</v>
      </c>
      <c r="FM62" s="15" t="s">
        <v>30</v>
      </c>
      <c r="FN62" s="15">
        <v>550</v>
      </c>
      <c r="FO62" s="16"/>
      <c r="FP62" s="16"/>
      <c r="FQ62" s="17"/>
      <c r="FT62" s="18"/>
      <c r="FY62" s="15" t="s">
        <v>32</v>
      </c>
      <c r="FZ62" s="15" t="s">
        <v>30</v>
      </c>
      <c r="GA62" s="15">
        <v>550</v>
      </c>
      <c r="GB62" s="16"/>
      <c r="GC62" s="16"/>
      <c r="GD62" s="17"/>
      <c r="GG62" s="18"/>
      <c r="GM62" s="15" t="s">
        <v>32</v>
      </c>
      <c r="GN62" s="15" t="s">
        <v>30</v>
      </c>
      <c r="GO62" s="15">
        <v>550</v>
      </c>
      <c r="GP62" s="16"/>
      <c r="GQ62" s="16"/>
      <c r="GR62" s="17"/>
      <c r="GU62" s="18"/>
      <c r="GZ62" s="15" t="s">
        <v>32</v>
      </c>
      <c r="HA62" s="15" t="s">
        <v>30</v>
      </c>
      <c r="HB62" s="15">
        <v>550</v>
      </c>
      <c r="HC62" s="16"/>
      <c r="HD62" s="16"/>
      <c r="HE62" s="17"/>
      <c r="HH62" s="18"/>
      <c r="HN62" s="15" t="s">
        <v>32</v>
      </c>
      <c r="HO62" s="15" t="s">
        <v>30</v>
      </c>
      <c r="HP62" s="15">
        <v>550</v>
      </c>
      <c r="HQ62" s="16"/>
      <c r="HR62" s="16"/>
      <c r="HS62" s="17"/>
      <c r="HV62" s="18"/>
      <c r="IA62" s="15" t="s">
        <v>32</v>
      </c>
      <c r="IB62" s="15" t="s">
        <v>30</v>
      </c>
      <c r="IC62" s="15">
        <v>550</v>
      </c>
      <c r="ID62" s="16"/>
      <c r="IE62" s="16"/>
      <c r="IF62" s="17"/>
      <c r="II62" s="18"/>
      <c r="IJ62"/>
      <c r="IO62" s="15" t="s">
        <v>32</v>
      </c>
      <c r="IP62" s="15" t="s">
        <v>30</v>
      </c>
      <c r="IQ62" s="15">
        <v>550</v>
      </c>
      <c r="IR62" s="16"/>
      <c r="IS62" s="16"/>
      <c r="IT62" s="17"/>
      <c r="IW62" s="18"/>
      <c r="JB62" s="15" t="s">
        <v>32</v>
      </c>
      <c r="JC62" s="15" t="s">
        <v>30</v>
      </c>
      <c r="JD62" s="15">
        <v>550</v>
      </c>
      <c r="JE62" s="16"/>
      <c r="JF62" s="16"/>
      <c r="JG62" s="17"/>
      <c r="JJ62" s="18"/>
    </row>
    <row r="63" spans="1:270" ht="15" thickBot="1" x14ac:dyDescent="0.4">
      <c r="E63" t="s">
        <v>33</v>
      </c>
      <c r="F63" s="19" t="s">
        <v>30</v>
      </c>
      <c r="G63" s="19">
        <f>SUM(G59+G60+G61-G62)</f>
        <v>3441.1775000000002</v>
      </c>
      <c r="S63" t="s">
        <v>33</v>
      </c>
      <c r="T63" s="19" t="s">
        <v>30</v>
      </c>
      <c r="U63" s="19">
        <f>SUM(U59+U60+U61-U62)</f>
        <v>3007.7700000000004</v>
      </c>
      <c r="AG63" t="s">
        <v>33</v>
      </c>
      <c r="AH63" s="19" t="s">
        <v>30</v>
      </c>
      <c r="AI63" s="19">
        <f>SUM(AI59+AI60+AI61-AI62)</f>
        <v>3007.7700000000004</v>
      </c>
      <c r="AT63" t="s">
        <v>33</v>
      </c>
      <c r="AU63" s="19" t="s">
        <v>30</v>
      </c>
      <c r="AV63" s="19">
        <f>SUM(AV59+AV60+AV61-AV62)</f>
        <v>3216.8320000000003</v>
      </c>
      <c r="BH63" t="s">
        <v>33</v>
      </c>
      <c r="BI63" s="19" t="s">
        <v>30</v>
      </c>
      <c r="BJ63" s="19">
        <f>SUM(BJ59+BJ60+BJ61-BJ62)</f>
        <v>3409.7190000000005</v>
      </c>
      <c r="BU63" t="s">
        <v>33</v>
      </c>
      <c r="BV63" s="19" t="s">
        <v>30</v>
      </c>
      <c r="BW63" s="19">
        <f>SUM(BW59+BW60+BW61-BW62)</f>
        <v>2843.4180000000001</v>
      </c>
      <c r="CI63" t="s">
        <v>33</v>
      </c>
      <c r="CJ63" s="19" t="s">
        <v>30</v>
      </c>
      <c r="CK63" s="19">
        <f>SUM(CK59+CK60+CK61-CK62)</f>
        <v>2868.0520000000006</v>
      </c>
      <c r="CV63" t="s">
        <v>33</v>
      </c>
      <c r="CW63" s="19" t="s">
        <v>30</v>
      </c>
      <c r="CX63" s="19">
        <f>SUM(CX59+CX60+CX61-CX62)</f>
        <v>2859.768</v>
      </c>
      <c r="DJ63" t="s">
        <v>33</v>
      </c>
      <c r="DK63" s="19" t="s">
        <v>30</v>
      </c>
      <c r="DL63" s="19">
        <f>SUM(DL59+DL60+DL61-DL62)</f>
        <v>3007.7700000000004</v>
      </c>
      <c r="DW63" t="s">
        <v>33</v>
      </c>
      <c r="DX63" s="19" t="s">
        <v>30</v>
      </c>
      <c r="DY63" s="19">
        <f>SUM(DY59+DY60+DY61-DY62)</f>
        <v>2973.98</v>
      </c>
      <c r="EK63" t="s">
        <v>33</v>
      </c>
      <c r="EL63" s="19" t="s">
        <v>30</v>
      </c>
      <c r="EM63" s="19">
        <f>SUM(EM59+EM60+EM61-EM62)</f>
        <v>2859.768</v>
      </c>
      <c r="EX63" t="s">
        <v>33</v>
      </c>
      <c r="EY63" s="19" t="s">
        <v>30</v>
      </c>
      <c r="EZ63" s="19">
        <f>SUM(EZ59+EZ60+EZ61-EZ62)</f>
        <v>3007.7700000000004</v>
      </c>
      <c r="FL63" t="s">
        <v>33</v>
      </c>
      <c r="FM63" s="19" t="s">
        <v>30</v>
      </c>
      <c r="FN63" s="19">
        <f>SUM(FN59+FN60+FN61-FN62)</f>
        <v>3007.7700000000004</v>
      </c>
      <c r="FY63" t="s">
        <v>33</v>
      </c>
      <c r="FZ63" s="19" t="s">
        <v>30</v>
      </c>
      <c r="GA63" s="19">
        <f>SUM(GA59+GA60+GA61-GA62)</f>
        <v>2876.1180000000004</v>
      </c>
      <c r="GM63" t="s">
        <v>33</v>
      </c>
      <c r="GN63" s="19" t="s">
        <v>30</v>
      </c>
      <c r="GO63" s="19">
        <f>SUM(GO59+GO60+GO61-GO62)</f>
        <v>3071.1805000000004</v>
      </c>
      <c r="GZ63" t="s">
        <v>33</v>
      </c>
      <c r="HA63" s="19" t="s">
        <v>30</v>
      </c>
      <c r="HB63" s="19">
        <f>SUM(HB59+HB60+HB61-HB62)</f>
        <v>3007.7700000000004</v>
      </c>
      <c r="HN63" t="s">
        <v>33</v>
      </c>
      <c r="HO63" s="19" t="s">
        <v>30</v>
      </c>
      <c r="HP63" s="19">
        <f>SUM(HP59+HP60+HP61-HP62)</f>
        <v>3007.7700000000004</v>
      </c>
      <c r="IA63" t="s">
        <v>33</v>
      </c>
      <c r="IB63" s="19" t="s">
        <v>30</v>
      </c>
      <c r="IC63" s="19">
        <f>SUM(IC59+IC60+IC61-IC62)</f>
        <v>3078.3615000000004</v>
      </c>
      <c r="IJ63" s="1"/>
      <c r="IO63" t="s">
        <v>33</v>
      </c>
      <c r="IP63" s="19" t="s">
        <v>30</v>
      </c>
      <c r="IQ63" s="19">
        <f>SUM(IQ59+IQ60+IQ61-IQ62)</f>
        <v>2397.8459999999995</v>
      </c>
      <c r="JB63" t="s">
        <v>33</v>
      </c>
      <c r="JC63" s="19" t="s">
        <v>30</v>
      </c>
      <c r="JD63" s="19">
        <f>SUM(JD59+JD60+JD61-JD62)</f>
        <v>3077.4900000000002</v>
      </c>
    </row>
    <row r="64" spans="1:270" ht="15" thickTop="1" x14ac:dyDescent="0.35">
      <c r="HW64" s="112"/>
      <c r="HX64" s="112"/>
      <c r="HY64" s="112"/>
      <c r="HZ64" s="112"/>
      <c r="IA64" s="113"/>
      <c r="IB64" s="22"/>
      <c r="IC64" s="22"/>
      <c r="ID64" s="106"/>
      <c r="IE64" s="38"/>
      <c r="IF64" s="107"/>
      <c r="IG64" s="108"/>
    </row>
    <row r="65" spans="231:241" x14ac:dyDescent="0.35">
      <c r="HW65" s="112"/>
      <c r="HX65" s="112"/>
      <c r="HY65" s="112"/>
      <c r="HZ65" s="112"/>
      <c r="IA65" s="113"/>
      <c r="IB65" s="22"/>
      <c r="IC65" s="22"/>
      <c r="ID65" s="106"/>
      <c r="IE65" s="38"/>
      <c r="IF65" s="107"/>
      <c r="IG65" s="108"/>
    </row>
    <row r="66" spans="231:241" x14ac:dyDescent="0.35">
      <c r="HW66" s="112"/>
      <c r="HX66" s="112"/>
      <c r="HY66" s="112"/>
      <c r="HZ66" s="112"/>
      <c r="IA66" s="113"/>
      <c r="IB66" s="22"/>
      <c r="IC66" s="22"/>
      <c r="ID66" s="106"/>
      <c r="IE66" s="38"/>
      <c r="IF66" s="107"/>
      <c r="IG66" s="108"/>
    </row>
    <row r="67" spans="231:241" x14ac:dyDescent="0.35">
      <c r="HW67" s="114"/>
      <c r="HX67" s="114"/>
      <c r="HY67" s="114"/>
      <c r="HZ67" s="114"/>
      <c r="IA67" s="115"/>
      <c r="IB67" s="116"/>
      <c r="IC67" s="116"/>
      <c r="ID67" s="109"/>
      <c r="IE67" s="110"/>
      <c r="IF67" s="110"/>
      <c r="IG67" s="111"/>
    </row>
    <row r="68" spans="231:241" x14ac:dyDescent="0.35">
      <c r="HW68" s="112"/>
      <c r="HX68" s="112"/>
      <c r="HY68" s="112"/>
      <c r="HZ68" s="112"/>
      <c r="IA68" s="113"/>
      <c r="IB68" s="22"/>
      <c r="IC68" s="22"/>
      <c r="ID68" s="106"/>
      <c r="IE68" s="38"/>
      <c r="IF68" s="107"/>
      <c r="IG68" s="108"/>
    </row>
    <row r="69" spans="231:241" x14ac:dyDescent="0.35">
      <c r="HW69" s="112"/>
      <c r="HX69" s="112"/>
      <c r="HY69" s="112"/>
      <c r="HZ69" s="112"/>
      <c r="IA69" s="113"/>
      <c r="IB69" s="22"/>
      <c r="IC69" s="22"/>
      <c r="ID69" s="106"/>
      <c r="IE69" s="38"/>
      <c r="IF69" s="107"/>
      <c r="IG69" s="108"/>
    </row>
    <row r="70" spans="231:241" x14ac:dyDescent="0.35">
      <c r="HW70" s="112"/>
      <c r="HX70" s="112"/>
      <c r="HY70" s="112"/>
      <c r="HZ70" s="112"/>
      <c r="IA70" s="113"/>
      <c r="IB70" s="22"/>
      <c r="IC70" s="22"/>
      <c r="ID70" s="106"/>
      <c r="IE70" s="38"/>
      <c r="IF70" s="107"/>
      <c r="IG70" s="108"/>
    </row>
    <row r="71" spans="231:241" x14ac:dyDescent="0.35">
      <c r="HW71" s="112"/>
      <c r="HX71" s="112"/>
      <c r="HY71" s="112"/>
      <c r="HZ71" s="112"/>
      <c r="IA71" s="113"/>
      <c r="IB71" s="22"/>
      <c r="IC71" s="22"/>
      <c r="ID71" s="106"/>
      <c r="IE71" s="38"/>
      <c r="IF71" s="107"/>
      <c r="IG71" s="108"/>
    </row>
    <row r="72" spans="231:241" x14ac:dyDescent="0.35">
      <c r="HW72" s="112"/>
      <c r="HX72" s="112"/>
      <c r="HY72" s="112"/>
      <c r="HZ72" s="112"/>
      <c r="IA72" s="113"/>
      <c r="IB72" s="22"/>
      <c r="IC72" s="22"/>
      <c r="ID72" s="106"/>
      <c r="IE72" s="38"/>
      <c r="IF72" s="107"/>
      <c r="IG72" s="108"/>
    </row>
    <row r="73" spans="231:241" x14ac:dyDescent="0.35">
      <c r="HW73" s="112"/>
      <c r="HX73" s="112"/>
      <c r="HY73" s="112"/>
      <c r="HZ73" s="112"/>
      <c r="IA73" s="113"/>
      <c r="IB73" s="22"/>
      <c r="IC73" s="22"/>
      <c r="ID73" s="106"/>
      <c r="IE73" s="38"/>
      <c r="IF73" s="107"/>
      <c r="IG73" s="108"/>
    </row>
    <row r="74" spans="231:241" x14ac:dyDescent="0.35">
      <c r="HW74" s="114"/>
      <c r="HX74" s="114"/>
      <c r="HY74" s="114"/>
      <c r="HZ74" s="114"/>
      <c r="IA74" s="115"/>
      <c r="IB74" s="116"/>
      <c r="IC74" s="116"/>
      <c r="ID74" s="109"/>
      <c r="IE74" s="110"/>
      <c r="IF74" s="110"/>
      <c r="IG74" s="111"/>
    </row>
    <row r="75" spans="231:241" x14ac:dyDescent="0.35">
      <c r="HW75" s="112"/>
      <c r="HX75" s="112"/>
      <c r="HY75" s="112"/>
      <c r="HZ75" s="112"/>
      <c r="IA75" s="113"/>
      <c r="IB75" s="22"/>
      <c r="IC75" s="22"/>
      <c r="ID75" s="106"/>
      <c r="IE75" s="38"/>
      <c r="IF75" s="107"/>
      <c r="IG75" s="108"/>
    </row>
    <row r="76" spans="231:241" x14ac:dyDescent="0.35">
      <c r="HW76" s="112"/>
      <c r="HX76" s="112"/>
      <c r="HY76" s="112"/>
      <c r="HZ76" s="112"/>
      <c r="IA76" s="113"/>
      <c r="IB76" s="22"/>
      <c r="IC76" s="22"/>
      <c r="ID76" s="106"/>
      <c r="IE76" s="38"/>
      <c r="IF76" s="107"/>
      <c r="IG76" s="108"/>
    </row>
    <row r="77" spans="231:241" x14ac:dyDescent="0.35">
      <c r="HW77" s="112"/>
      <c r="HX77" s="112"/>
      <c r="HY77" s="112"/>
      <c r="HZ77" s="112"/>
      <c r="IA77" s="113"/>
      <c r="IB77" s="22"/>
      <c r="IC77" s="22"/>
      <c r="ID77" s="106"/>
      <c r="IE77" s="38"/>
      <c r="IF77" s="107"/>
      <c r="IG77" s="108"/>
    </row>
    <row r="78" spans="231:241" x14ac:dyDescent="0.35">
      <c r="HW78" s="112"/>
      <c r="HX78" s="112"/>
      <c r="HY78" s="112"/>
      <c r="HZ78" s="112"/>
      <c r="IA78" s="113"/>
      <c r="IB78" s="22"/>
      <c r="IC78" s="22"/>
      <c r="ID78" s="106"/>
      <c r="IE78" s="38"/>
      <c r="IF78" s="107"/>
      <c r="IG78" s="108"/>
    </row>
    <row r="79" spans="231:241" x14ac:dyDescent="0.35">
      <c r="HW79" s="112"/>
      <c r="HX79" s="112"/>
      <c r="HY79" s="112"/>
      <c r="HZ79" s="112"/>
      <c r="IA79" s="113"/>
      <c r="IB79" s="22"/>
      <c r="IC79" s="22"/>
      <c r="ID79" s="106"/>
      <c r="IE79" s="38"/>
      <c r="IF79" s="107"/>
      <c r="IG79" s="108"/>
    </row>
    <row r="80" spans="231:241" x14ac:dyDescent="0.35">
      <c r="HW80" s="112"/>
      <c r="HX80" s="112"/>
      <c r="HY80" s="112"/>
      <c r="HZ80" s="112"/>
      <c r="IA80" s="113"/>
      <c r="IB80" s="22"/>
      <c r="IC80" s="22"/>
      <c r="ID80" s="106"/>
      <c r="IE80" s="38"/>
      <c r="IF80" s="107"/>
      <c r="IG80" s="108"/>
    </row>
    <row r="81" spans="231:241" x14ac:dyDescent="0.35">
      <c r="HW81" s="114"/>
      <c r="HX81" s="114"/>
      <c r="HY81" s="114"/>
      <c r="HZ81" s="114"/>
      <c r="IA81" s="115"/>
      <c r="IB81" s="116"/>
      <c r="IC81" s="116"/>
      <c r="ID81" s="109"/>
      <c r="IE81" s="110"/>
      <c r="IF81" s="110"/>
      <c r="IG81" s="111"/>
    </row>
    <row r="82" spans="231:241" x14ac:dyDescent="0.35">
      <c r="HW82" s="112"/>
      <c r="HX82" s="112"/>
      <c r="HY82" s="112"/>
      <c r="HZ82" s="112"/>
      <c r="IA82" s="113"/>
      <c r="IB82" s="22"/>
      <c r="IC82" s="22"/>
      <c r="ID82" s="106"/>
      <c r="IE82" s="38"/>
      <c r="IF82" s="107"/>
      <c r="IG82" s="108"/>
    </row>
    <row r="83" spans="231:241" x14ac:dyDescent="0.35">
      <c r="HW83" s="112"/>
      <c r="HX83" s="112"/>
      <c r="HY83" s="112"/>
      <c r="HZ83" s="112"/>
      <c r="IA83" s="113"/>
      <c r="IB83" s="22"/>
      <c r="IC83" s="22"/>
      <c r="ID83" s="106"/>
      <c r="IE83" s="38"/>
      <c r="IF83" s="107"/>
      <c r="IG83" s="108"/>
    </row>
    <row r="84" spans="231:241" x14ac:dyDescent="0.35">
      <c r="HW84" s="112"/>
      <c r="HX84" s="112"/>
      <c r="HY84" s="112"/>
      <c r="HZ84" s="112"/>
      <c r="IA84" s="113"/>
      <c r="IB84" s="22"/>
      <c r="IC84" s="22"/>
      <c r="ID84" s="106"/>
      <c r="IE84" s="38"/>
      <c r="IF84" s="107"/>
      <c r="IG84" s="108"/>
    </row>
    <row r="85" spans="231:241" x14ac:dyDescent="0.35">
      <c r="HW85" s="112"/>
      <c r="HX85" s="112"/>
      <c r="HY85" s="112"/>
      <c r="HZ85" s="112"/>
      <c r="IA85" s="113"/>
      <c r="IB85" s="22"/>
      <c r="IC85" s="22"/>
      <c r="ID85" s="106"/>
      <c r="IE85" s="38"/>
      <c r="IF85" s="107"/>
      <c r="IG85" s="108"/>
    </row>
    <row r="86" spans="231:241" x14ac:dyDescent="0.35">
      <c r="HW86" s="117"/>
      <c r="HX86" s="117"/>
      <c r="HY86" s="117"/>
      <c r="HZ86" s="117"/>
      <c r="IA86" s="117"/>
      <c r="IB86" s="118"/>
      <c r="IC86" s="118"/>
      <c r="ID86" s="119"/>
      <c r="IE86" s="119"/>
      <c r="IF86" s="119"/>
      <c r="IG86" s="108"/>
    </row>
    <row r="87" spans="231:241" x14ac:dyDescent="0.35">
      <c r="HW87" s="117"/>
      <c r="HX87" s="117"/>
      <c r="HY87" s="117"/>
      <c r="HZ87" s="117"/>
      <c r="IA87" s="117"/>
      <c r="IB87" s="118"/>
      <c r="IC87" s="118"/>
      <c r="ID87" s="119"/>
      <c r="IE87" s="119"/>
      <c r="IF87" s="119"/>
      <c r="IG87" s="108"/>
    </row>
    <row r="88" spans="231:241" x14ac:dyDescent="0.35">
      <c r="HW88" s="117"/>
      <c r="HX88" s="117"/>
      <c r="HY88" s="117"/>
      <c r="HZ88" s="117"/>
      <c r="IA88" s="117"/>
      <c r="IB88" s="118"/>
      <c r="IC88" s="118"/>
      <c r="ID88" s="119"/>
      <c r="IE88" s="119"/>
      <c r="IF88" s="119"/>
      <c r="IG88" s="108"/>
    </row>
    <row r="89" spans="231:241" x14ac:dyDescent="0.35">
      <c r="HW89" s="117"/>
      <c r="HX89" s="117"/>
      <c r="HY89" s="117"/>
      <c r="HZ89" s="117"/>
      <c r="IA89" s="117"/>
      <c r="IB89" s="118"/>
      <c r="IC89" s="118"/>
      <c r="ID89" s="119"/>
      <c r="IE89" s="119"/>
      <c r="IF89" s="119"/>
      <c r="IG89" s="108"/>
    </row>
    <row r="90" spans="231:241" x14ac:dyDescent="0.35">
      <c r="HW90" s="120"/>
      <c r="HX90" s="120"/>
      <c r="HY90" s="120"/>
      <c r="HZ90" s="120"/>
      <c r="IA90" s="120"/>
      <c r="IB90" s="118"/>
      <c r="IC90" s="118"/>
      <c r="ID90" s="119"/>
      <c r="IE90" s="119"/>
      <c r="IF90" s="119"/>
      <c r="IG90" s="108"/>
    </row>
    <row r="91" spans="231:241" x14ac:dyDescent="0.35">
      <c r="HW91" s="24"/>
      <c r="HX91" s="24"/>
      <c r="HY91" s="24"/>
      <c r="HZ91" s="24"/>
      <c r="IA91" s="24"/>
      <c r="IB91" s="22"/>
      <c r="IC91" s="22"/>
      <c r="ID91" s="38"/>
      <c r="IE91" s="24"/>
      <c r="IF91" s="24"/>
      <c r="IG91" s="25"/>
    </row>
    <row r="92" spans="231:241" x14ac:dyDescent="0.35">
      <c r="HW92" s="167"/>
      <c r="HX92" s="167"/>
      <c r="HY92" s="167"/>
      <c r="HZ92" s="167"/>
      <c r="IA92" s="168"/>
      <c r="IB92" s="168"/>
      <c r="IC92" s="121"/>
      <c r="ID92" s="169"/>
      <c r="IE92" s="169"/>
      <c r="IF92" s="169"/>
      <c r="IG92" s="169"/>
    </row>
    <row r="93" spans="231:241" x14ac:dyDescent="0.35">
      <c r="HW93" s="170"/>
      <c r="HX93" s="167"/>
      <c r="HY93" s="171"/>
      <c r="HZ93" s="167"/>
      <c r="IA93" s="172"/>
      <c r="IB93" s="168"/>
      <c r="IC93" s="121"/>
      <c r="ID93" s="173"/>
      <c r="IE93" s="169"/>
      <c r="IF93" s="173"/>
      <c r="IG93" s="173"/>
    </row>
    <row r="94" spans="231:241" x14ac:dyDescent="0.35">
      <c r="HW94" s="24"/>
      <c r="HX94" s="24"/>
      <c r="HY94" s="24"/>
      <c r="HZ94" s="24"/>
      <c r="IA94" s="24"/>
      <c r="IB94" s="22"/>
      <c r="IC94" s="22"/>
      <c r="ID94" s="38"/>
      <c r="IE94" s="24"/>
      <c r="IF94" s="24"/>
      <c r="IG94" s="25"/>
    </row>
    <row r="95" spans="231:241" x14ac:dyDescent="0.35">
      <c r="HW95" s="24"/>
      <c r="HX95" s="24"/>
      <c r="HY95" s="24"/>
      <c r="HZ95" s="24"/>
      <c r="IA95" s="24"/>
      <c r="IB95" s="22"/>
      <c r="IC95" s="22"/>
      <c r="ID95" s="38"/>
      <c r="IE95" s="24"/>
      <c r="IF95" s="24"/>
      <c r="IG95" s="25"/>
    </row>
    <row r="96" spans="231:241" x14ac:dyDescent="0.35">
      <c r="HW96" s="39"/>
      <c r="HX96" s="39"/>
      <c r="HY96" s="124"/>
      <c r="HZ96" s="121"/>
      <c r="IA96" s="121"/>
      <c r="IB96" s="123"/>
      <c r="IC96" s="123"/>
      <c r="ID96" s="122"/>
      <c r="IE96" s="122"/>
      <c r="IF96" s="122"/>
      <c r="IG96" s="39"/>
    </row>
    <row r="97" spans="231:241" x14ac:dyDescent="0.35">
      <c r="HW97" s="22"/>
      <c r="HX97" s="22"/>
      <c r="HY97" s="125"/>
      <c r="HZ97" s="116"/>
      <c r="IA97" s="116"/>
      <c r="IB97" s="116"/>
      <c r="IC97" s="116"/>
      <c r="ID97" s="126"/>
      <c r="IE97" s="126"/>
      <c r="IF97" s="126"/>
      <c r="IG97" s="38"/>
    </row>
  </sheetData>
  <mergeCells count="335">
    <mergeCell ref="IX50:IY50"/>
    <mergeCell ref="JF50:JF51"/>
    <mergeCell ref="IX51:IY51"/>
    <mergeCell ref="IX1:JJ1"/>
    <mergeCell ref="JH2:JJ2"/>
    <mergeCell ref="IX8:IY8"/>
    <mergeCell ref="IX46:IY47"/>
    <mergeCell ref="IZ46:JA46"/>
    <mergeCell ref="JB46:JC46"/>
    <mergeCell ref="JD46:JE46"/>
    <mergeCell ref="JG46:JH46"/>
    <mergeCell ref="JI46:JJ46"/>
    <mergeCell ref="IZ47:JA47"/>
    <mergeCell ref="JB47:JC47"/>
    <mergeCell ref="JD47:JE47"/>
    <mergeCell ref="JG47:JH47"/>
    <mergeCell ref="JI47:JJ47"/>
    <mergeCell ref="HW92:HX92"/>
    <mergeCell ref="HY92:HZ92"/>
    <mergeCell ref="IA92:IB92"/>
    <mergeCell ref="ID92:IE92"/>
    <mergeCell ref="IF92:IG92"/>
    <mergeCell ref="HW93:HX93"/>
    <mergeCell ref="HY93:HZ93"/>
    <mergeCell ref="IA93:IB93"/>
    <mergeCell ref="ID93:IE93"/>
    <mergeCell ref="IF93:IG93"/>
    <mergeCell ref="CR1:DD1"/>
    <mergeCell ref="A8:B8"/>
    <mergeCell ref="O8:P8"/>
    <mergeCell ref="AC8:AD8"/>
    <mergeCell ref="AP8:AQ8"/>
    <mergeCell ref="BD8:BE8"/>
    <mergeCell ref="A1:M1"/>
    <mergeCell ref="O1:AA1"/>
    <mergeCell ref="AC1:AO1"/>
    <mergeCell ref="AP1:BB1"/>
    <mergeCell ref="BD1:BP1"/>
    <mergeCell ref="BQ8:BR8"/>
    <mergeCell ref="CE8:CF8"/>
    <mergeCell ref="K2:M2"/>
    <mergeCell ref="AZ2:BB2"/>
    <mergeCell ref="BN2:BP2"/>
    <mergeCell ref="A46:B47"/>
    <mergeCell ref="C46:D46"/>
    <mergeCell ref="E46:F46"/>
    <mergeCell ref="G46:H46"/>
    <mergeCell ref="J46:K46"/>
    <mergeCell ref="L46:M46"/>
    <mergeCell ref="BQ1:CC1"/>
    <mergeCell ref="CE1:CQ1"/>
    <mergeCell ref="S47:T47"/>
    <mergeCell ref="U47:V47"/>
    <mergeCell ref="X47:Y47"/>
    <mergeCell ref="BD46:BE47"/>
    <mergeCell ref="BF46:BG46"/>
    <mergeCell ref="BH46:BI46"/>
    <mergeCell ref="BJ46:BK46"/>
    <mergeCell ref="BM46:BN46"/>
    <mergeCell ref="BO46:BP46"/>
    <mergeCell ref="AP46:AQ47"/>
    <mergeCell ref="AR46:AS46"/>
    <mergeCell ref="AT46:AU46"/>
    <mergeCell ref="AV46:AW46"/>
    <mergeCell ref="AY46:AZ46"/>
    <mergeCell ref="BA46:BB46"/>
    <mergeCell ref="AR47:AS47"/>
    <mergeCell ref="AT47:AU47"/>
    <mergeCell ref="AV47:AW47"/>
    <mergeCell ref="AY47:AZ47"/>
    <mergeCell ref="CE46:CF47"/>
    <mergeCell ref="CG46:CH46"/>
    <mergeCell ref="CI46:CJ46"/>
    <mergeCell ref="CK46:CL46"/>
    <mergeCell ref="CN46:CO46"/>
    <mergeCell ref="CP46:CQ46"/>
    <mergeCell ref="BQ46:BR47"/>
    <mergeCell ref="BS46:BT46"/>
    <mergeCell ref="BU46:BV46"/>
    <mergeCell ref="BW46:BX46"/>
    <mergeCell ref="BZ46:CA46"/>
    <mergeCell ref="CB46:CC46"/>
    <mergeCell ref="BS47:BT47"/>
    <mergeCell ref="BU47:BV47"/>
    <mergeCell ref="BW47:BX47"/>
    <mergeCell ref="BZ47:CA47"/>
    <mergeCell ref="Z47:AA47"/>
    <mergeCell ref="AE47:AF47"/>
    <mergeCell ref="AG47:AH47"/>
    <mergeCell ref="AI47:AJ47"/>
    <mergeCell ref="AL47:AM47"/>
    <mergeCell ref="AN47:AO47"/>
    <mergeCell ref="C47:D47"/>
    <mergeCell ref="E47:F47"/>
    <mergeCell ref="G47:H47"/>
    <mergeCell ref="J47:K47"/>
    <mergeCell ref="L47:M47"/>
    <mergeCell ref="Q47:R47"/>
    <mergeCell ref="AC46:AD47"/>
    <mergeCell ref="AE46:AF46"/>
    <mergeCell ref="AG46:AH46"/>
    <mergeCell ref="AI46:AJ46"/>
    <mergeCell ref="AL46:AM46"/>
    <mergeCell ref="AN46:AO46"/>
    <mergeCell ref="O46:P47"/>
    <mergeCell ref="Q46:R46"/>
    <mergeCell ref="S46:T46"/>
    <mergeCell ref="U46:V46"/>
    <mergeCell ref="X46:Y46"/>
    <mergeCell ref="Z46:AA46"/>
    <mergeCell ref="DL47:DM47"/>
    <mergeCell ref="DO47:DP47"/>
    <mergeCell ref="CB47:CC47"/>
    <mergeCell ref="CG47:CH47"/>
    <mergeCell ref="CI47:CJ47"/>
    <mergeCell ref="CK47:CL47"/>
    <mergeCell ref="CN47:CO47"/>
    <mergeCell ref="CP47:CQ47"/>
    <mergeCell ref="BA47:BB47"/>
    <mergeCell ref="BF47:BG47"/>
    <mergeCell ref="BH47:BI47"/>
    <mergeCell ref="BJ47:BK47"/>
    <mergeCell ref="BM47:BN47"/>
    <mergeCell ref="BO47:BP47"/>
    <mergeCell ref="CR46:CS47"/>
    <mergeCell ref="CT46:CU46"/>
    <mergeCell ref="CV46:CW46"/>
    <mergeCell ref="CX46:CY46"/>
    <mergeCell ref="DA46:DB46"/>
    <mergeCell ref="DC46:DD46"/>
    <mergeCell ref="CT47:CU47"/>
    <mergeCell ref="CV47:CW47"/>
    <mergeCell ref="CX47:CY47"/>
    <mergeCell ref="DA47:DB47"/>
    <mergeCell ref="CM50:CM51"/>
    <mergeCell ref="AC50:AD50"/>
    <mergeCell ref="AK50:AK51"/>
    <mergeCell ref="AP50:AQ50"/>
    <mergeCell ref="AX50:AX51"/>
    <mergeCell ref="BD50:BE50"/>
    <mergeCell ref="BL50:BL51"/>
    <mergeCell ref="A50:B50"/>
    <mergeCell ref="I50:I51"/>
    <mergeCell ref="O50:P50"/>
    <mergeCell ref="W50:W51"/>
    <mergeCell ref="A51:B51"/>
    <mergeCell ref="O51:P51"/>
    <mergeCell ref="AC51:AD51"/>
    <mergeCell ref="AP51:AQ51"/>
    <mergeCell ref="BD51:BE51"/>
    <mergeCell ref="BQ51:BR51"/>
    <mergeCell ref="CE51:CF51"/>
    <mergeCell ref="BQ50:BR50"/>
    <mergeCell ref="BY50:BY51"/>
    <mergeCell ref="CE50:CF50"/>
    <mergeCell ref="DQ47:DR47"/>
    <mergeCell ref="CR50:CS50"/>
    <mergeCell ref="CZ50:CZ51"/>
    <mergeCell ref="DN50:DN51"/>
    <mergeCell ref="CR51:CS51"/>
    <mergeCell ref="DS1:EE1"/>
    <mergeCell ref="DU47:DV47"/>
    <mergeCell ref="DW47:DX47"/>
    <mergeCell ref="DY47:DZ47"/>
    <mergeCell ref="EB47:EC47"/>
    <mergeCell ref="DF1:DR1"/>
    <mergeCell ref="CR8:CS8"/>
    <mergeCell ref="DF8:DG8"/>
    <mergeCell ref="DF46:DG47"/>
    <mergeCell ref="DH46:DI46"/>
    <mergeCell ref="DJ46:DK46"/>
    <mergeCell ref="DL46:DM46"/>
    <mergeCell ref="DO46:DP46"/>
    <mergeCell ref="DQ46:DR46"/>
    <mergeCell ref="DF51:DG51"/>
    <mergeCell ref="DF50:DG50"/>
    <mergeCell ref="DC47:DD47"/>
    <mergeCell ref="DH47:DI47"/>
    <mergeCell ref="DJ47:DK47"/>
    <mergeCell ref="EP46:EQ46"/>
    <mergeCell ref="ER46:ES46"/>
    <mergeCell ref="EG1:ES1"/>
    <mergeCell ref="DS8:DT8"/>
    <mergeCell ref="EG8:EH8"/>
    <mergeCell ref="DS46:DT47"/>
    <mergeCell ref="DU46:DV46"/>
    <mergeCell ref="DW46:DX46"/>
    <mergeCell ref="DY46:DZ46"/>
    <mergeCell ref="EB46:EC46"/>
    <mergeCell ref="ED46:EE46"/>
    <mergeCell ref="ET1:FF1"/>
    <mergeCell ref="FH1:FT1"/>
    <mergeCell ref="FU1:GG1"/>
    <mergeCell ref="GI1:GU1"/>
    <mergeCell ref="ET8:EU8"/>
    <mergeCell ref="FH8:FI8"/>
    <mergeCell ref="FU8:FV8"/>
    <mergeCell ref="GI8:GJ8"/>
    <mergeCell ref="DS50:DT50"/>
    <mergeCell ref="EA50:EA51"/>
    <mergeCell ref="EG50:EH50"/>
    <mergeCell ref="EO50:EO51"/>
    <mergeCell ref="DS51:DT51"/>
    <mergeCell ref="EG51:EH51"/>
    <mergeCell ref="ED47:EE47"/>
    <mergeCell ref="EI47:EJ47"/>
    <mergeCell ref="EK47:EL47"/>
    <mergeCell ref="EM47:EN47"/>
    <mergeCell ref="EP47:EQ47"/>
    <mergeCell ref="ER47:ES47"/>
    <mergeCell ref="EG46:EH47"/>
    <mergeCell ref="EI46:EJ46"/>
    <mergeCell ref="EK46:EL46"/>
    <mergeCell ref="EM46:EN46"/>
    <mergeCell ref="ET46:EU47"/>
    <mergeCell ref="EV46:EW46"/>
    <mergeCell ref="EX46:EY46"/>
    <mergeCell ref="EZ46:FA46"/>
    <mergeCell ref="FC46:FD46"/>
    <mergeCell ref="FE46:FF46"/>
    <mergeCell ref="EV47:EW47"/>
    <mergeCell ref="EX47:EY47"/>
    <mergeCell ref="EZ47:FA47"/>
    <mergeCell ref="FC47:FD47"/>
    <mergeCell ref="FW47:FX47"/>
    <mergeCell ref="FY47:FZ47"/>
    <mergeCell ref="GA47:GB47"/>
    <mergeCell ref="GD47:GE47"/>
    <mergeCell ref="FH46:FI47"/>
    <mergeCell ref="FJ46:FK46"/>
    <mergeCell ref="FL46:FM46"/>
    <mergeCell ref="FN46:FO46"/>
    <mergeCell ref="FQ46:FR46"/>
    <mergeCell ref="FS46:FT46"/>
    <mergeCell ref="GF47:GG47"/>
    <mergeCell ref="GK47:GL47"/>
    <mergeCell ref="GM47:GN47"/>
    <mergeCell ref="GO47:GP47"/>
    <mergeCell ref="GR47:GS47"/>
    <mergeCell ref="GT47:GU47"/>
    <mergeCell ref="FE47:FF47"/>
    <mergeCell ref="FJ47:FK47"/>
    <mergeCell ref="FL47:FM47"/>
    <mergeCell ref="FN47:FO47"/>
    <mergeCell ref="FQ47:FR47"/>
    <mergeCell ref="FS47:FT47"/>
    <mergeCell ref="GI46:GJ47"/>
    <mergeCell ref="GK46:GL46"/>
    <mergeCell ref="GM46:GN46"/>
    <mergeCell ref="GO46:GP46"/>
    <mergeCell ref="GR46:GS46"/>
    <mergeCell ref="GT46:GU46"/>
    <mergeCell ref="FU46:FV47"/>
    <mergeCell ref="FW46:FX46"/>
    <mergeCell ref="FY46:FZ46"/>
    <mergeCell ref="GA46:GB46"/>
    <mergeCell ref="GD46:GE46"/>
    <mergeCell ref="GF46:GG46"/>
    <mergeCell ref="GI50:GJ50"/>
    <mergeCell ref="GQ50:GQ51"/>
    <mergeCell ref="ET51:EU51"/>
    <mergeCell ref="FH51:FI51"/>
    <mergeCell ref="FU51:FV51"/>
    <mergeCell ref="GI51:GJ51"/>
    <mergeCell ref="ET50:EU50"/>
    <mergeCell ref="FB50:FB51"/>
    <mergeCell ref="FH50:FI50"/>
    <mergeCell ref="FP50:FP51"/>
    <mergeCell ref="FU50:FV50"/>
    <mergeCell ref="GC50:GC51"/>
    <mergeCell ref="HS46:HT46"/>
    <mergeCell ref="HU46:HV46"/>
    <mergeCell ref="HN47:HO47"/>
    <mergeCell ref="HP47:HQ47"/>
    <mergeCell ref="HS47:HT47"/>
    <mergeCell ref="HU47:HV47"/>
    <mergeCell ref="GV1:HH1"/>
    <mergeCell ref="HJ1:HV1"/>
    <mergeCell ref="GV8:GW8"/>
    <mergeCell ref="HJ8:HK8"/>
    <mergeCell ref="GV46:GW47"/>
    <mergeCell ref="GX46:GY46"/>
    <mergeCell ref="GZ46:HA46"/>
    <mergeCell ref="HB46:HC46"/>
    <mergeCell ref="HE46:HF46"/>
    <mergeCell ref="HG46:HH46"/>
    <mergeCell ref="HW1:II1"/>
    <mergeCell ref="HW8:HX8"/>
    <mergeCell ref="HW46:HX47"/>
    <mergeCell ref="HY46:HZ46"/>
    <mergeCell ref="IA46:IB46"/>
    <mergeCell ref="IC46:ID46"/>
    <mergeCell ref="IF46:IG46"/>
    <mergeCell ref="IH46:II46"/>
    <mergeCell ref="GV50:GW50"/>
    <mergeCell ref="HD50:HD51"/>
    <mergeCell ref="HJ50:HK50"/>
    <mergeCell ref="HR50:HR51"/>
    <mergeCell ref="GV51:GW51"/>
    <mergeCell ref="HJ51:HK51"/>
    <mergeCell ref="GX47:GY47"/>
    <mergeCell ref="GZ47:HA47"/>
    <mergeCell ref="HB47:HC47"/>
    <mergeCell ref="HE47:HF47"/>
    <mergeCell ref="HG47:HH47"/>
    <mergeCell ref="HL47:HM47"/>
    <mergeCell ref="HJ46:HK47"/>
    <mergeCell ref="HL46:HM46"/>
    <mergeCell ref="HN46:HO46"/>
    <mergeCell ref="HP46:HQ46"/>
    <mergeCell ref="IK50:IL50"/>
    <mergeCell ref="IS50:IS51"/>
    <mergeCell ref="IK51:IL51"/>
    <mergeCell ref="HW50:HX50"/>
    <mergeCell ref="IE50:IE51"/>
    <mergeCell ref="HW51:HX51"/>
    <mergeCell ref="HY47:HZ47"/>
    <mergeCell ref="IA47:IB47"/>
    <mergeCell ref="IC47:ID47"/>
    <mergeCell ref="IF47:IG47"/>
    <mergeCell ref="IH47:II47"/>
    <mergeCell ref="IK1:IW1"/>
    <mergeCell ref="IU2:IW2"/>
    <mergeCell ref="IK8:IL8"/>
    <mergeCell ref="IK46:IL47"/>
    <mergeCell ref="IM46:IN46"/>
    <mergeCell ref="IO46:IP46"/>
    <mergeCell ref="IQ46:IR46"/>
    <mergeCell ref="IT46:IU46"/>
    <mergeCell ref="IV46:IW46"/>
    <mergeCell ref="IM47:IN47"/>
    <mergeCell ref="IO47:IP47"/>
    <mergeCell ref="IQ47:IR47"/>
    <mergeCell ref="IT47:IU47"/>
    <mergeCell ref="IV47:IW47"/>
  </mergeCells>
  <printOptions verticalCentered="1"/>
  <pageMargins left="0.23622047244094491" right="0" top="0" bottom="0" header="0" footer="0"/>
  <pageSetup paperSize="9" scale="54" orientation="landscape" r:id="rId1"/>
  <colBreaks count="10" manualBreakCount="10">
    <brk id="14" max="62" man="1"/>
    <brk id="41" max="62" man="1"/>
    <brk id="68" max="62" man="1"/>
    <brk id="95" max="62" man="1"/>
    <brk id="122" max="62" man="1"/>
    <brk id="149" max="62" man="1"/>
    <brk id="176" max="62" man="1"/>
    <brk id="203" max="62" man="1"/>
    <brk id="230" max="62" man="1"/>
    <brk id="257" max="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3F58-2774-4B2C-B870-0CA0AD892D4E}">
  <sheetPr>
    <tabColor rgb="FF00B0F0"/>
  </sheetPr>
  <dimension ref="A1:KL97"/>
  <sheetViews>
    <sheetView view="pageBreakPreview" topLeftCell="CN1" zoomScale="69" zoomScaleNormal="85" zoomScaleSheetLayoutView="51" workbookViewId="0">
      <selection activeCell="Y2" sqref="Y2:AA2"/>
    </sheetView>
  </sheetViews>
  <sheetFormatPr defaultColWidth="8.81640625" defaultRowHeight="14.5" x14ac:dyDescent="0.35"/>
  <cols>
    <col min="1" max="2" width="5.7265625" customWidth="1"/>
    <col min="3" max="3" width="11.26953125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7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9.453125" bestFit="1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453125" style="3" customWidth="1"/>
    <col min="24" max="24" width="8.81640625" style="2"/>
    <col min="25" max="25" width="8" customWidth="1"/>
    <col min="26" max="26" width="9" bestFit="1" customWidth="1"/>
    <col min="27" max="27" width="13.81640625" style="1" customWidth="1"/>
    <col min="28" max="29" width="5.7265625" customWidth="1"/>
    <col min="30" max="30" width="9.453125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7.453125" style="3" customWidth="1"/>
    <col min="37" max="37" width="8.81640625" style="2"/>
    <col min="38" max="38" width="9.7265625" customWidth="1"/>
    <col min="39" max="39" width="9" bestFit="1" customWidth="1"/>
    <col min="40" max="40" width="13.81640625" style="1" customWidth="1"/>
    <col min="41" max="41" width="7.7265625" customWidth="1"/>
    <col min="42" max="43" width="5.7265625" customWidth="1"/>
    <col min="44" max="44" width="9.453125" bestFit="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453125" style="3" customWidth="1"/>
    <col min="51" max="51" width="8.81640625" style="2"/>
    <col min="52" max="52" width="10.453125" customWidth="1"/>
    <col min="53" max="53" width="9" bestFit="1" customWidth="1"/>
    <col min="54" max="54" width="13.81640625" style="1" customWidth="1"/>
    <col min="55" max="56" width="5.7265625" customWidth="1"/>
    <col min="57" max="57" width="10.1796875" bestFit="1" customWidth="1"/>
    <col min="58" max="58" width="8.7265625" customWidth="1"/>
    <col min="59" max="59" width="9" bestFit="1" customWidth="1"/>
    <col min="60" max="60" width="7.7265625" customWidth="1"/>
    <col min="61" max="61" width="9.1796875" bestFit="1" customWidth="1"/>
    <col min="62" max="62" width="8.453125" style="3" customWidth="1"/>
    <col min="63" max="63" width="7.453125" style="3" customWidth="1"/>
    <col min="64" max="64" width="9" style="2" bestFit="1" customWidth="1"/>
    <col min="65" max="65" width="10" customWidth="1"/>
    <col min="66" max="66" width="9.1796875" bestFit="1" customWidth="1"/>
    <col min="67" max="67" width="13.81640625" style="1" customWidth="1"/>
    <col min="68" max="68" width="7.7265625" customWidth="1"/>
    <col min="69" max="70" width="5.7265625" customWidth="1"/>
    <col min="71" max="71" width="9.453125" bestFit="1" customWidth="1"/>
    <col min="72" max="72" width="8.7265625" customWidth="1"/>
    <col min="74" max="74" width="7.7265625" customWidth="1"/>
    <col min="75" max="75" width="9" bestFit="1" customWidth="1"/>
    <col min="76" max="76" width="8.453125" style="3" customWidth="1"/>
    <col min="77" max="77" width="7.453125" style="3" customWidth="1"/>
    <col min="78" max="78" width="8.81640625" style="2"/>
    <col min="79" max="79" width="7" customWidth="1"/>
    <col min="80" max="80" width="9" bestFit="1" customWidth="1"/>
    <col min="81" max="81" width="13.81640625" style="1" customWidth="1"/>
    <col min="82" max="82" width="7.7265625" customWidth="1"/>
    <col min="83" max="84" width="5.7265625" customWidth="1"/>
    <col min="85" max="85" width="9.453125" bestFit="1" customWidth="1"/>
    <col min="86" max="86" width="8.7265625" customWidth="1"/>
    <col min="88" max="88" width="7.7265625" customWidth="1"/>
    <col min="89" max="89" width="9" bestFit="1" customWidth="1"/>
    <col min="90" max="90" width="8.453125" style="3" customWidth="1"/>
    <col min="91" max="91" width="7.453125" style="3" customWidth="1"/>
    <col min="92" max="92" width="8.81640625" style="2"/>
    <col min="93" max="93" width="7" customWidth="1"/>
    <col min="94" max="94" width="9" bestFit="1" customWidth="1"/>
    <col min="95" max="95" width="13.81640625" style="1" customWidth="1"/>
    <col min="96" max="97" width="5.7265625" customWidth="1"/>
    <col min="98" max="98" width="9.453125" bestFit="1" customWidth="1"/>
    <col min="99" max="99" width="8.7265625" customWidth="1"/>
    <col min="101" max="101" width="7.7265625" customWidth="1"/>
    <col min="102" max="102" width="9" bestFit="1" customWidth="1"/>
    <col min="103" max="103" width="8.453125" style="3" customWidth="1"/>
    <col min="104" max="104" width="7.453125" style="3" customWidth="1"/>
    <col min="105" max="105" width="8.81640625" style="2"/>
    <col min="106" max="106" width="7" customWidth="1"/>
    <col min="107" max="107" width="9" bestFit="1" customWidth="1"/>
    <col min="108" max="108" width="13.81640625" style="1" customWidth="1"/>
    <col min="109" max="109" width="7.7265625" customWidth="1"/>
    <col min="110" max="111" width="5.7265625" customWidth="1"/>
    <col min="112" max="112" width="9.453125" customWidth="1"/>
    <col min="113" max="113" width="8.7265625" customWidth="1"/>
    <col min="115" max="115" width="7.7265625" customWidth="1"/>
    <col min="116" max="116" width="9" bestFit="1" customWidth="1"/>
    <col min="117" max="117" width="8.453125" style="3" customWidth="1"/>
    <col min="118" max="118" width="7.453125" style="3" customWidth="1"/>
    <col min="119" max="119" width="8.81640625" style="2"/>
    <col min="120" max="120" width="7" customWidth="1"/>
    <col min="121" max="121" width="9" bestFit="1" customWidth="1"/>
    <col min="122" max="122" width="13.81640625" style="1" customWidth="1"/>
    <col min="123" max="123" width="7.7265625" customWidth="1"/>
    <col min="124" max="125" width="5.7265625" customWidth="1"/>
    <col min="126" max="126" width="9.81640625" customWidth="1"/>
    <col min="127" max="127" width="8.7265625" customWidth="1"/>
    <col min="129" max="129" width="7.7265625" customWidth="1"/>
    <col min="130" max="130" width="9" bestFit="1" customWidth="1"/>
    <col min="131" max="131" width="8.453125" style="3" customWidth="1"/>
    <col min="132" max="132" width="7.453125" style="3" customWidth="1"/>
    <col min="133" max="133" width="8.81640625" style="2"/>
    <col min="134" max="134" width="7" customWidth="1"/>
    <col min="135" max="135" width="9" bestFit="1" customWidth="1"/>
    <col min="136" max="136" width="13.81640625" style="1" customWidth="1"/>
    <col min="137" max="138" width="5.7265625" customWidth="1"/>
    <col min="139" max="139" width="10" customWidth="1"/>
    <col min="140" max="140" width="8.7265625" customWidth="1"/>
    <col min="142" max="142" width="7.7265625" customWidth="1"/>
    <col min="143" max="143" width="9" bestFit="1" customWidth="1"/>
    <col min="144" max="144" width="8.453125" style="3" customWidth="1"/>
    <col min="145" max="145" width="7.453125" style="3" customWidth="1"/>
    <col min="146" max="146" width="8.81640625" style="2"/>
    <col min="147" max="147" width="7" customWidth="1"/>
    <col min="148" max="148" width="9" bestFit="1" customWidth="1"/>
    <col min="149" max="149" width="13.81640625" style="1" customWidth="1"/>
    <col min="150" max="150" width="7.7265625" customWidth="1"/>
    <col min="151" max="152" width="5.7265625" customWidth="1"/>
    <col min="153" max="153" width="9.453125" bestFit="1" customWidth="1"/>
    <col min="154" max="154" width="8.7265625" customWidth="1"/>
    <col min="156" max="156" width="7.7265625" customWidth="1"/>
    <col min="157" max="157" width="9" bestFit="1" customWidth="1"/>
    <col min="158" max="158" width="8.453125" style="3" customWidth="1"/>
    <col min="159" max="159" width="7.453125" style="3" customWidth="1"/>
    <col min="160" max="160" width="8.81640625" style="2"/>
    <col min="161" max="161" width="7" customWidth="1"/>
    <col min="162" max="162" width="9" bestFit="1" customWidth="1"/>
    <col min="163" max="163" width="13.81640625" style="1" customWidth="1"/>
    <col min="164" max="165" width="5.7265625" customWidth="1"/>
    <col min="166" max="166" width="9.453125" bestFit="1" customWidth="1"/>
    <col min="167" max="167" width="8.7265625" customWidth="1"/>
    <col min="169" max="169" width="7.7265625" customWidth="1"/>
    <col min="170" max="170" width="9" bestFit="1" customWidth="1"/>
    <col min="171" max="171" width="8.453125" style="3" customWidth="1"/>
    <col min="172" max="172" width="7.453125" style="3" customWidth="1"/>
    <col min="173" max="173" width="8.81640625" style="2"/>
    <col min="174" max="174" width="7" customWidth="1"/>
    <col min="175" max="175" width="9" bestFit="1" customWidth="1"/>
    <col min="176" max="176" width="13.81640625" style="1" customWidth="1"/>
    <col min="177" max="177" width="7.7265625" customWidth="1"/>
    <col min="178" max="179" width="5.7265625" customWidth="1"/>
    <col min="180" max="180" width="9.453125" bestFit="1" customWidth="1"/>
    <col min="181" max="181" width="8.7265625" customWidth="1"/>
    <col min="183" max="183" width="7.7265625" customWidth="1"/>
    <col min="184" max="184" width="9" bestFit="1" customWidth="1"/>
    <col min="185" max="185" width="8.453125" style="3" customWidth="1"/>
    <col min="186" max="186" width="7.453125" style="3" customWidth="1"/>
    <col min="187" max="187" width="8.81640625" style="2"/>
    <col min="188" max="188" width="10" customWidth="1"/>
    <col min="189" max="189" width="9" bestFit="1" customWidth="1"/>
    <col min="190" max="190" width="14.54296875" style="1" customWidth="1"/>
    <col min="191" max="192" width="5.7265625" customWidth="1"/>
    <col min="193" max="193" width="10.7265625" customWidth="1"/>
    <col min="194" max="194" width="8.7265625" customWidth="1"/>
    <col min="196" max="196" width="9.81640625" customWidth="1"/>
    <col min="197" max="197" width="9" bestFit="1" customWidth="1"/>
    <col min="198" max="198" width="8.453125" style="3" customWidth="1"/>
    <col min="199" max="199" width="7.26953125" style="3" customWidth="1"/>
    <col min="200" max="200" width="8.81640625" style="2"/>
    <col min="201" max="201" width="7" customWidth="1"/>
    <col min="202" max="202" width="9" bestFit="1" customWidth="1"/>
    <col min="203" max="203" width="13.81640625" style="1" customWidth="1"/>
    <col min="204" max="204" width="7.7265625" customWidth="1"/>
    <col min="205" max="206" width="5.7265625" customWidth="1"/>
    <col min="207" max="207" width="9.7265625" customWidth="1"/>
    <col min="208" max="208" width="8.7265625" customWidth="1"/>
    <col min="210" max="210" width="7.7265625" customWidth="1"/>
    <col min="211" max="211" width="9" bestFit="1" customWidth="1"/>
    <col min="212" max="212" width="8.453125" style="3" customWidth="1"/>
    <col min="213" max="213" width="7" style="3" customWidth="1"/>
    <col min="214" max="214" width="8.81640625" style="2"/>
    <col min="215" max="215" width="9.7265625" customWidth="1"/>
    <col min="216" max="216" width="9" bestFit="1" customWidth="1"/>
    <col min="217" max="217" width="13.81640625" style="1" customWidth="1"/>
    <col min="218" max="219" width="5.7265625" customWidth="1"/>
    <col min="220" max="220" width="11.54296875" customWidth="1"/>
    <col min="221" max="221" width="10.54296875" customWidth="1"/>
    <col min="222" max="223" width="7.7265625" customWidth="1"/>
    <col min="224" max="224" width="9" bestFit="1" customWidth="1"/>
    <col min="225" max="225" width="10.453125" style="3" customWidth="1"/>
    <col min="226" max="226" width="8" style="3" customWidth="1"/>
    <col min="227" max="227" width="10.453125" style="2" customWidth="1"/>
    <col min="228" max="228" width="9.7265625" customWidth="1"/>
    <col min="229" max="229" width="9" bestFit="1" customWidth="1"/>
    <col min="230" max="230" width="13.81640625" style="1" customWidth="1"/>
    <col min="231" max="231" width="7.7265625" customWidth="1"/>
    <col min="232" max="233" width="5.7265625" customWidth="1"/>
    <col min="234" max="234" width="9.453125" bestFit="1" customWidth="1"/>
    <col min="235" max="235" width="8.7265625" customWidth="1"/>
    <col min="237" max="237" width="7.7265625" customWidth="1"/>
    <col min="238" max="238" width="9.08984375" bestFit="1" customWidth="1"/>
    <col min="239" max="239" width="8.453125" style="3" customWidth="1"/>
    <col min="240" max="240" width="7" style="3" customWidth="1"/>
    <col min="241" max="241" width="8.81640625" style="2"/>
    <col min="242" max="242" width="7" customWidth="1"/>
    <col min="243" max="243" width="7.81640625" customWidth="1"/>
    <col min="244" max="244" width="13.81640625" style="1" customWidth="1"/>
    <col min="245" max="246" width="5.7265625" customWidth="1"/>
    <col min="247" max="247" width="11.08984375" bestFit="1" customWidth="1"/>
    <col min="248" max="248" width="8.7265625" customWidth="1"/>
    <col min="249" max="249" width="8.90625" bestFit="1" customWidth="1"/>
    <col min="250" max="250" width="7.7265625" customWidth="1"/>
    <col min="251" max="251" width="9.1796875" customWidth="1"/>
    <col min="252" max="252" width="8.453125" style="3" customWidth="1"/>
    <col min="253" max="253" width="8" style="3" customWidth="1"/>
    <col min="254" max="254" width="8.90625" style="2" bestFit="1" customWidth="1"/>
    <col min="255" max="255" width="7" customWidth="1"/>
    <col min="256" max="256" width="9.08984375" bestFit="1" customWidth="1"/>
    <col min="257" max="257" width="13.81640625" style="1" customWidth="1"/>
    <col min="258" max="258" width="7.7265625" customWidth="1"/>
    <col min="259" max="260" width="5.7265625" customWidth="1"/>
    <col min="261" max="261" width="9.54296875" bestFit="1" customWidth="1"/>
    <col min="262" max="262" width="8.7265625" customWidth="1"/>
    <col min="263" max="263" width="8.90625" bestFit="1" customWidth="1"/>
    <col min="264" max="264" width="7.7265625" customWidth="1"/>
    <col min="265" max="265" width="9" bestFit="1" customWidth="1"/>
    <col min="266" max="266" width="8.453125" style="3" customWidth="1"/>
    <col min="267" max="267" width="7.54296875" style="3" customWidth="1"/>
    <col min="268" max="268" width="8.81640625" style="2"/>
    <col min="269" max="269" width="7" customWidth="1"/>
    <col min="270" max="270" width="9" bestFit="1" customWidth="1"/>
    <col min="271" max="271" width="15" style="1" customWidth="1"/>
    <col min="272" max="273" width="5.7265625" customWidth="1"/>
    <col min="274" max="274" width="9.453125" bestFit="1" customWidth="1"/>
    <col min="275" max="275" width="8.7265625" customWidth="1"/>
    <col min="277" max="277" width="7.7265625" customWidth="1"/>
    <col min="278" max="278" width="9" bestFit="1" customWidth="1"/>
    <col min="279" max="279" width="8.453125" style="3" customWidth="1"/>
    <col min="280" max="280" width="8.1796875" style="3" customWidth="1"/>
    <col min="281" max="281" width="8.81640625" style="2"/>
    <col min="282" max="282" width="7" customWidth="1"/>
    <col min="283" max="283" width="9" bestFit="1" customWidth="1"/>
    <col min="284" max="284" width="13.81640625" style="1" customWidth="1"/>
    <col min="285" max="285" width="7.7265625" customWidth="1"/>
    <col min="286" max="287" width="5.7265625" customWidth="1"/>
    <col min="288" max="288" width="10.1796875" customWidth="1"/>
    <col min="289" max="289" width="8.7265625" customWidth="1"/>
    <col min="291" max="291" width="7.7265625" customWidth="1"/>
    <col min="292" max="292" width="9" bestFit="1" customWidth="1"/>
    <col min="293" max="293" width="8.453125" style="3" customWidth="1"/>
    <col min="294" max="294" width="7.54296875" style="3" customWidth="1"/>
    <col min="295" max="295" width="8.81640625" style="2"/>
    <col min="296" max="296" width="7" customWidth="1"/>
    <col min="297" max="297" width="9" bestFit="1" customWidth="1"/>
    <col min="298" max="298" width="13.81640625" style="1" customWidth="1"/>
  </cols>
  <sheetData>
    <row r="1" spans="1:298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$A$1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$A$1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tr">
        <f>$A$1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 t="str">
        <f>$A$1</f>
        <v>WORKER WAGES - JUNE 26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50"/>
      <c r="BQ1" s="164" t="str">
        <f>$A$1</f>
        <v>WORKER WAGES - 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50"/>
      <c r="CE1" s="164" t="str">
        <f>$A$1</f>
        <v>WORKER WAGES - JUNE 26</v>
      </c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 t="str">
        <f>$A$1</f>
        <v>WORKER WAGES - JUNE 26</v>
      </c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50"/>
      <c r="DF1" s="164" t="str">
        <f>BQ1</f>
        <v>WORKER WAGES - JUNE 26</v>
      </c>
      <c r="DG1" s="164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  <c r="DS1" s="50"/>
      <c r="DT1" s="164" t="str">
        <f>A1</f>
        <v>WORKER WAGES - JUNE 26</v>
      </c>
      <c r="DU1" s="164"/>
      <c r="DV1" s="164"/>
      <c r="DW1" s="164"/>
      <c r="DX1" s="164"/>
      <c r="DY1" s="164"/>
      <c r="DZ1" s="164"/>
      <c r="EA1" s="164"/>
      <c r="EB1" s="164"/>
      <c r="EC1" s="164"/>
      <c r="ED1" s="164"/>
      <c r="EE1" s="164"/>
      <c r="EF1" s="164"/>
      <c r="EG1" s="164" t="str">
        <f>$A$1</f>
        <v>WORKER WAGES - JUNE 26</v>
      </c>
      <c r="EH1" s="164"/>
      <c r="EI1" s="164"/>
      <c r="EJ1" s="164"/>
      <c r="EK1" s="164"/>
      <c r="EL1" s="164"/>
      <c r="EM1" s="164"/>
      <c r="EN1" s="164"/>
      <c r="EO1" s="164"/>
      <c r="EP1" s="164"/>
      <c r="EQ1" s="164"/>
      <c r="ER1" s="164"/>
      <c r="ES1" s="164"/>
      <c r="ET1" s="50"/>
      <c r="EU1" s="164" t="str">
        <f>$A$1</f>
        <v>WORKER WAGES - JUNE 26</v>
      </c>
      <c r="EV1" s="164"/>
      <c r="EW1" s="164"/>
      <c r="EX1" s="164"/>
      <c r="EY1" s="164"/>
      <c r="EZ1" s="164"/>
      <c r="FA1" s="164"/>
      <c r="FB1" s="164"/>
      <c r="FC1" s="164"/>
      <c r="FD1" s="164"/>
      <c r="FE1" s="164"/>
      <c r="FF1" s="164"/>
      <c r="FG1" s="164"/>
      <c r="FH1" s="164" t="str">
        <f>$A$1</f>
        <v>WORKER WAGES - JUNE 26</v>
      </c>
      <c r="FI1" s="164"/>
      <c r="FJ1" s="164"/>
      <c r="FK1" s="164"/>
      <c r="FL1" s="164"/>
      <c r="FM1" s="164"/>
      <c r="FN1" s="164"/>
      <c r="FO1" s="164"/>
      <c r="FP1" s="164"/>
      <c r="FQ1" s="164"/>
      <c r="FR1" s="164"/>
      <c r="FS1" s="164"/>
      <c r="FT1" s="164"/>
      <c r="FU1" s="50"/>
      <c r="FV1" s="164" t="str">
        <f>$A$1</f>
        <v>WORKER WAGES - JUNE 26</v>
      </c>
      <c r="FW1" s="164"/>
      <c r="FX1" s="164"/>
      <c r="FY1" s="164"/>
      <c r="FZ1" s="164"/>
      <c r="GA1" s="164"/>
      <c r="GB1" s="164"/>
      <c r="GC1" s="164"/>
      <c r="GD1" s="164"/>
      <c r="GE1" s="164"/>
      <c r="GF1" s="164"/>
      <c r="GG1" s="164"/>
      <c r="GH1" s="164"/>
      <c r="GI1" s="164" t="str">
        <f>$A$1</f>
        <v>WORKER WAGES - JUNE 26</v>
      </c>
      <c r="GJ1" s="164"/>
      <c r="GK1" s="164"/>
      <c r="GL1" s="164"/>
      <c r="GM1" s="164"/>
      <c r="GN1" s="164"/>
      <c r="GO1" s="164"/>
      <c r="GP1" s="164"/>
      <c r="GQ1" s="164"/>
      <c r="GR1" s="164"/>
      <c r="GS1" s="164"/>
      <c r="GT1" s="164"/>
      <c r="GU1" s="164"/>
      <c r="GV1" s="50"/>
      <c r="GW1" s="164" t="str">
        <f>$A$1</f>
        <v>WORKER WAGES - JUNE 26</v>
      </c>
      <c r="GX1" s="164"/>
      <c r="GY1" s="164"/>
      <c r="GZ1" s="164"/>
      <c r="HA1" s="164"/>
      <c r="HB1" s="164"/>
      <c r="HC1" s="164"/>
      <c r="HD1" s="164"/>
      <c r="HE1" s="164"/>
      <c r="HF1" s="164"/>
      <c r="HG1" s="164"/>
      <c r="HH1" s="164"/>
      <c r="HI1" s="164"/>
      <c r="HJ1" s="164" t="str">
        <f>$A$1</f>
        <v>WORKER WAGES - JUNE 26</v>
      </c>
      <c r="HK1" s="164"/>
      <c r="HL1" s="164"/>
      <c r="HM1" s="164"/>
      <c r="HN1" s="164"/>
      <c r="HO1" s="164"/>
      <c r="HP1" s="164"/>
      <c r="HQ1" s="164"/>
      <c r="HR1" s="164"/>
      <c r="HS1" s="164"/>
      <c r="HT1" s="164"/>
      <c r="HU1" s="164"/>
      <c r="HV1" s="164"/>
      <c r="HW1" s="50"/>
      <c r="HX1" s="164" t="str">
        <f>$A$1</f>
        <v>WORKER WAGES - JUNE 26</v>
      </c>
      <c r="HY1" s="164"/>
      <c r="HZ1" s="164"/>
      <c r="IA1" s="164"/>
      <c r="IB1" s="164"/>
      <c r="IC1" s="164"/>
      <c r="ID1" s="164"/>
      <c r="IE1" s="164"/>
      <c r="IF1" s="164"/>
      <c r="IG1" s="164"/>
      <c r="IH1" s="164"/>
      <c r="II1" s="164"/>
      <c r="IJ1" s="164"/>
      <c r="IK1" s="164" t="str">
        <f>$A$1</f>
        <v>WORKER WAGES - JUNE 26</v>
      </c>
      <c r="IL1" s="164"/>
      <c r="IM1" s="164"/>
      <c r="IN1" s="164"/>
      <c r="IO1" s="164"/>
      <c r="IP1" s="164"/>
      <c r="IQ1" s="164"/>
      <c r="IR1" s="164"/>
      <c r="IS1" s="164"/>
      <c r="IT1" s="164"/>
      <c r="IU1" s="164"/>
      <c r="IV1" s="164"/>
      <c r="IW1" s="164"/>
      <c r="IX1" s="50"/>
      <c r="IY1" s="164" t="str">
        <f>$A$1</f>
        <v>WORKER WAGES - JUNE 26</v>
      </c>
      <c r="IZ1" s="164"/>
      <c r="JA1" s="164"/>
      <c r="JB1" s="164"/>
      <c r="JC1" s="164"/>
      <c r="JD1" s="164"/>
      <c r="JE1" s="164"/>
      <c r="JF1" s="164"/>
      <c r="JG1" s="164"/>
      <c r="JH1" s="164"/>
      <c r="JI1" s="164"/>
      <c r="JJ1" s="164"/>
      <c r="JK1" s="164"/>
      <c r="JL1" s="164" t="str">
        <f>$A$1</f>
        <v>WORKER WAGES - JUNE 26</v>
      </c>
      <c r="JM1" s="164"/>
      <c r="JN1" s="164"/>
      <c r="JO1" s="164"/>
      <c r="JP1" s="164"/>
      <c r="JQ1" s="164"/>
      <c r="JR1" s="164"/>
      <c r="JS1" s="164"/>
      <c r="JT1" s="164"/>
      <c r="JU1" s="164"/>
      <c r="JV1" s="164"/>
      <c r="JW1" s="164"/>
      <c r="JX1" s="164"/>
      <c r="JY1" s="50"/>
      <c r="JZ1" s="164" t="str">
        <f>$A$1</f>
        <v>WORKER WAGES - JUNE 26</v>
      </c>
      <c r="KA1" s="164"/>
      <c r="KB1" s="164"/>
      <c r="KC1" s="164"/>
      <c r="KD1" s="164"/>
      <c r="KE1" s="164"/>
      <c r="KF1" s="164"/>
      <c r="KG1" s="164"/>
      <c r="KH1" s="164"/>
      <c r="KI1" s="164"/>
      <c r="KJ1" s="164"/>
      <c r="KK1" s="164"/>
      <c r="KL1" s="164"/>
    </row>
    <row r="2" spans="1:298" s="78" customFormat="1" ht="39.75" customHeight="1" x14ac:dyDescent="0.35">
      <c r="A2" s="78" t="s">
        <v>20</v>
      </c>
      <c r="C2" s="79" t="s">
        <v>131</v>
      </c>
      <c r="D2" s="79"/>
      <c r="E2" s="79"/>
      <c r="F2" s="79"/>
      <c r="G2" s="79"/>
      <c r="H2" s="79" t="s">
        <v>132</v>
      </c>
      <c r="I2" s="80"/>
      <c r="J2" s="80"/>
      <c r="K2" s="80"/>
      <c r="L2" s="80"/>
      <c r="M2" s="80"/>
      <c r="O2" s="78" t="s">
        <v>20</v>
      </c>
      <c r="Q2" s="79" t="s">
        <v>133</v>
      </c>
      <c r="R2" s="79"/>
      <c r="S2" s="79"/>
      <c r="T2" s="79"/>
      <c r="U2" s="79" t="s">
        <v>134</v>
      </c>
      <c r="V2" s="80"/>
      <c r="W2" s="80"/>
      <c r="X2" s="80"/>
      <c r="Y2" s="179" t="s">
        <v>220</v>
      </c>
      <c r="Z2" s="179"/>
      <c r="AA2" s="179"/>
      <c r="AB2" s="78" t="s">
        <v>20</v>
      </c>
      <c r="AD2" s="79" t="s">
        <v>135</v>
      </c>
      <c r="AE2" s="79"/>
      <c r="AF2" s="79"/>
      <c r="AG2" s="79" t="s">
        <v>136</v>
      </c>
      <c r="AH2" s="80"/>
      <c r="AI2" s="80"/>
      <c r="AJ2" s="80"/>
      <c r="AK2" s="80"/>
      <c r="AL2" s="174" t="s">
        <v>222</v>
      </c>
      <c r="AM2" s="174"/>
      <c r="AN2" s="174"/>
      <c r="AP2" s="78" t="s">
        <v>20</v>
      </c>
      <c r="AR2" s="79" t="s">
        <v>137</v>
      </c>
      <c r="AS2" s="79"/>
      <c r="AT2" s="79"/>
      <c r="AU2" s="79" t="s">
        <v>138</v>
      </c>
      <c r="AV2" s="79"/>
      <c r="AW2" s="80"/>
      <c r="AX2" s="80"/>
      <c r="AY2" s="80"/>
      <c r="AZ2" s="179" t="s">
        <v>220</v>
      </c>
      <c r="BA2" s="179"/>
      <c r="BB2" s="179"/>
      <c r="BC2" s="131" t="s">
        <v>20</v>
      </c>
      <c r="BD2" s="131"/>
      <c r="BE2" s="132" t="s">
        <v>139</v>
      </c>
      <c r="BF2" s="132"/>
      <c r="BG2" s="132"/>
      <c r="BH2" s="132"/>
      <c r="BI2" s="132" t="s">
        <v>140</v>
      </c>
      <c r="BJ2" s="80"/>
      <c r="BK2" s="80"/>
      <c r="BL2" s="80"/>
      <c r="BM2" s="175" t="s">
        <v>122</v>
      </c>
      <c r="BN2" s="175"/>
      <c r="BO2" s="175"/>
      <c r="BQ2" s="78" t="s">
        <v>20</v>
      </c>
      <c r="BS2" s="79" t="s">
        <v>143</v>
      </c>
      <c r="BT2" s="79"/>
      <c r="BU2" s="79"/>
      <c r="BV2" s="79"/>
      <c r="BW2" s="79" t="s">
        <v>144</v>
      </c>
      <c r="BX2" s="80"/>
      <c r="BY2" s="80"/>
      <c r="BZ2" s="80"/>
      <c r="CA2" s="178" t="s">
        <v>219</v>
      </c>
      <c r="CB2" s="178"/>
      <c r="CC2" s="178"/>
      <c r="CE2" s="78" t="s">
        <v>20</v>
      </c>
      <c r="CG2" s="79" t="s">
        <v>145</v>
      </c>
      <c r="CH2" s="79"/>
      <c r="CI2" s="79"/>
      <c r="CJ2" s="79"/>
      <c r="CK2" s="79" t="s">
        <v>146</v>
      </c>
      <c r="CL2" s="80"/>
      <c r="CM2" s="80"/>
      <c r="CN2" s="80"/>
      <c r="CO2" s="175"/>
      <c r="CP2" s="175"/>
      <c r="CQ2" s="175"/>
      <c r="CR2" s="78" t="s">
        <v>20</v>
      </c>
      <c r="CT2" s="79" t="s">
        <v>147</v>
      </c>
      <c r="CU2" s="79"/>
      <c r="CV2" s="79"/>
      <c r="CW2" s="79"/>
      <c r="CX2" s="79" t="s">
        <v>148</v>
      </c>
      <c r="CY2" s="80"/>
      <c r="CZ2" s="80"/>
      <c r="DA2" s="80"/>
      <c r="DB2" s="178" t="s">
        <v>219</v>
      </c>
      <c r="DC2" s="178"/>
      <c r="DD2" s="178"/>
      <c r="DF2" s="78" t="s">
        <v>20</v>
      </c>
      <c r="DH2" s="79" t="s">
        <v>54</v>
      </c>
      <c r="DI2" s="79"/>
      <c r="DJ2" s="79"/>
      <c r="DK2" s="79"/>
      <c r="DL2" s="79" t="s">
        <v>51</v>
      </c>
      <c r="DM2" s="80"/>
      <c r="DN2" s="80"/>
      <c r="DO2" s="79"/>
      <c r="DP2" s="79"/>
      <c r="DQ2" s="79"/>
      <c r="DR2" s="79"/>
      <c r="DT2" s="78" t="s">
        <v>20</v>
      </c>
      <c r="DV2" s="79" t="s">
        <v>61</v>
      </c>
      <c r="DW2" s="79"/>
      <c r="DX2" s="79"/>
      <c r="DY2" s="79"/>
      <c r="DZ2" s="79" t="s">
        <v>52</v>
      </c>
      <c r="EA2" s="80"/>
      <c r="EB2" s="80"/>
      <c r="EC2" s="79"/>
      <c r="ED2" s="79"/>
      <c r="EE2" s="79"/>
      <c r="EF2" s="79"/>
      <c r="EG2" s="78" t="s">
        <v>20</v>
      </c>
      <c r="EI2" s="81" t="s">
        <v>151</v>
      </c>
      <c r="EJ2" s="79"/>
      <c r="EK2" s="79"/>
      <c r="EL2" s="79"/>
      <c r="EM2" s="79" t="s">
        <v>152</v>
      </c>
      <c r="EN2" s="80"/>
      <c r="EO2" s="80"/>
      <c r="EP2" s="79"/>
      <c r="EQ2" s="179" t="s">
        <v>220</v>
      </c>
      <c r="ER2" s="179"/>
      <c r="ES2" s="179"/>
      <c r="EU2" s="78" t="s">
        <v>20</v>
      </c>
      <c r="EW2" s="79" t="s">
        <v>153</v>
      </c>
      <c r="EX2" s="79"/>
      <c r="EY2" s="79"/>
      <c r="EZ2" s="79"/>
      <c r="FA2" s="79" t="s">
        <v>154</v>
      </c>
      <c r="FB2" s="80"/>
      <c r="FC2" s="80"/>
      <c r="FD2" s="79"/>
      <c r="FE2" s="79"/>
      <c r="FF2" s="79"/>
      <c r="FG2" s="79"/>
      <c r="FH2" s="78" t="s">
        <v>20</v>
      </c>
      <c r="FJ2" s="79" t="s">
        <v>155</v>
      </c>
      <c r="FK2" s="79"/>
      <c r="FL2" s="79"/>
      <c r="FM2" s="79"/>
      <c r="FN2" s="79" t="s">
        <v>156</v>
      </c>
      <c r="FO2" s="80"/>
      <c r="FP2" s="80"/>
      <c r="FQ2" s="79"/>
      <c r="FR2" s="79"/>
      <c r="FS2" s="79"/>
      <c r="FT2" s="79"/>
      <c r="FV2" s="78" t="s">
        <v>20</v>
      </c>
      <c r="FX2" s="79" t="s">
        <v>157</v>
      </c>
      <c r="FY2" s="79"/>
      <c r="FZ2" s="79"/>
      <c r="GA2" s="79"/>
      <c r="GB2" s="79" t="s">
        <v>158</v>
      </c>
      <c r="GC2" s="80"/>
      <c r="GD2" s="80"/>
      <c r="GE2" s="79"/>
      <c r="GF2" s="79"/>
      <c r="GG2" s="79"/>
      <c r="GH2" s="79"/>
      <c r="GI2" s="78" t="s">
        <v>20</v>
      </c>
      <c r="GK2" s="79" t="s">
        <v>159</v>
      </c>
      <c r="GL2" s="79"/>
      <c r="GM2" s="79"/>
      <c r="GN2" s="79"/>
      <c r="GO2" s="79" t="s">
        <v>160</v>
      </c>
      <c r="GP2" s="80"/>
      <c r="GQ2" s="80"/>
      <c r="GR2" s="79"/>
      <c r="GS2" s="79"/>
      <c r="GT2" s="79"/>
      <c r="GU2" s="79"/>
      <c r="GW2" s="78" t="s">
        <v>20</v>
      </c>
      <c r="GY2" s="79" t="s">
        <v>161</v>
      </c>
      <c r="GZ2" s="79"/>
      <c r="HA2" s="79"/>
      <c r="HB2" s="79"/>
      <c r="HC2" s="79" t="s">
        <v>162</v>
      </c>
      <c r="HD2" s="80"/>
      <c r="HE2" s="80"/>
      <c r="HF2" s="79"/>
      <c r="HG2" s="79"/>
      <c r="HH2" s="79"/>
      <c r="HI2" s="79"/>
      <c r="HJ2" s="78" t="s">
        <v>20</v>
      </c>
      <c r="HL2" s="79" t="s">
        <v>163</v>
      </c>
      <c r="HM2" s="79"/>
      <c r="HN2" s="79"/>
      <c r="HO2" s="79"/>
      <c r="HP2" s="79" t="s">
        <v>164</v>
      </c>
      <c r="HQ2" s="80"/>
      <c r="HR2" s="80"/>
      <c r="HS2" s="79"/>
      <c r="HT2" s="179" t="s">
        <v>220</v>
      </c>
      <c r="HU2" s="179"/>
      <c r="HV2" s="179"/>
      <c r="HX2" s="78" t="s">
        <v>20</v>
      </c>
      <c r="HZ2" s="132" t="s">
        <v>165</v>
      </c>
      <c r="IA2" s="132"/>
      <c r="IB2" s="132"/>
      <c r="IC2" s="132"/>
      <c r="ID2" s="132" t="s">
        <v>166</v>
      </c>
      <c r="IE2" s="80"/>
      <c r="IF2" s="80"/>
      <c r="IG2" s="180" t="s">
        <v>122</v>
      </c>
      <c r="IH2" s="180"/>
      <c r="II2" s="180"/>
      <c r="IJ2" s="180"/>
      <c r="IK2" s="78" t="s">
        <v>20</v>
      </c>
      <c r="IM2" s="79" t="s">
        <v>167</v>
      </c>
      <c r="IN2" s="79"/>
      <c r="IO2" s="79"/>
      <c r="IP2" s="79"/>
      <c r="IQ2" s="79" t="s">
        <v>168</v>
      </c>
      <c r="IR2" s="80"/>
      <c r="IS2" s="80"/>
      <c r="IT2" s="79"/>
      <c r="IU2" s="79"/>
      <c r="IV2" s="79"/>
      <c r="IW2" s="79"/>
      <c r="IY2" s="78" t="s">
        <v>20</v>
      </c>
      <c r="JA2" s="79" t="s">
        <v>169</v>
      </c>
      <c r="JB2" s="79"/>
      <c r="JC2" s="79"/>
      <c r="JD2" s="79"/>
      <c r="JE2" s="79" t="s">
        <v>170</v>
      </c>
      <c r="JF2" s="80"/>
      <c r="JG2" s="80"/>
      <c r="JH2" s="79"/>
      <c r="JI2" s="178" t="s">
        <v>219</v>
      </c>
      <c r="JJ2" s="178"/>
      <c r="JK2" s="178"/>
      <c r="JL2" s="78" t="s">
        <v>20</v>
      </c>
      <c r="JN2" s="79" t="s">
        <v>171</v>
      </c>
      <c r="JO2" s="79"/>
      <c r="JP2" s="79"/>
      <c r="JQ2" s="79"/>
      <c r="JR2" s="79"/>
      <c r="JS2" s="80"/>
      <c r="JT2" s="79" t="s">
        <v>172</v>
      </c>
      <c r="JU2" s="80"/>
      <c r="JV2" s="178" t="s">
        <v>219</v>
      </c>
      <c r="JW2" s="178"/>
      <c r="JX2" s="178"/>
      <c r="JZ2" s="78" t="s">
        <v>20</v>
      </c>
      <c r="KB2" s="79" t="s">
        <v>173</v>
      </c>
      <c r="KC2" s="79"/>
      <c r="KD2" s="79"/>
      <c r="KE2" s="79"/>
      <c r="KF2" s="79" t="s">
        <v>174</v>
      </c>
      <c r="KG2" s="80"/>
      <c r="KH2" s="80"/>
      <c r="KI2" s="79"/>
      <c r="KJ2" s="179" t="s">
        <v>220</v>
      </c>
      <c r="KK2" s="179"/>
      <c r="KL2" s="179"/>
    </row>
    <row r="3" spans="1:298" ht="3" customHeight="1" x14ac:dyDescent="0.35">
      <c r="JN3" t="s">
        <v>109</v>
      </c>
    </row>
    <row r="4" spans="1:298" x14ac:dyDescent="0.35">
      <c r="H4" s="6"/>
      <c r="I4" s="6"/>
      <c r="V4" s="6"/>
      <c r="W4" s="6"/>
      <c r="AI4" s="6"/>
      <c r="AJ4" s="6"/>
      <c r="AW4" s="6"/>
      <c r="AX4" s="6"/>
      <c r="BJ4" s="6"/>
      <c r="BK4" s="6"/>
      <c r="BX4" s="6"/>
      <c r="BY4" s="6"/>
      <c r="CL4" s="6"/>
      <c r="CM4" s="6"/>
      <c r="CY4" s="6"/>
      <c r="CZ4" s="6"/>
      <c r="DM4" s="6"/>
      <c r="DN4" s="6"/>
      <c r="EA4" s="6"/>
      <c r="EB4" s="6"/>
      <c r="EN4" s="6"/>
      <c r="EO4" s="6"/>
      <c r="FB4" s="6"/>
      <c r="FC4" s="6"/>
      <c r="FO4" s="6"/>
      <c r="FP4" s="6"/>
      <c r="GC4" s="6"/>
      <c r="GD4" s="6"/>
      <c r="GP4" s="6"/>
      <c r="GQ4" s="6"/>
      <c r="HD4" s="6"/>
      <c r="HE4" s="6"/>
      <c r="HQ4" s="6"/>
      <c r="HR4" s="6"/>
      <c r="IE4" s="6"/>
      <c r="IF4" s="6"/>
      <c r="IR4" s="6"/>
      <c r="IS4" s="6"/>
      <c r="JF4" s="6"/>
      <c r="JG4" s="6"/>
      <c r="JS4" s="6"/>
      <c r="JT4" s="6"/>
      <c r="KG4" s="6"/>
      <c r="KH4" s="6"/>
    </row>
    <row r="5" spans="1:298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0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25</v>
      </c>
      <c r="AE5" s="69" t="s">
        <v>22</v>
      </c>
      <c r="AF5" s="69"/>
      <c r="AG5" s="69" t="s">
        <v>23</v>
      </c>
      <c r="AH5" s="70">
        <f>SUM(AH47)</f>
        <v>0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C5" s="69" t="s">
        <v>49</v>
      </c>
      <c r="BD5" s="69"/>
      <c r="BE5" s="70">
        <f>SUM(BE47)</f>
        <v>0</v>
      </c>
      <c r="BF5" s="69" t="s">
        <v>22</v>
      </c>
      <c r="BG5" s="69"/>
      <c r="BH5" s="69" t="s">
        <v>23</v>
      </c>
      <c r="BI5" s="70">
        <f>SUM(BI47)</f>
        <v>0</v>
      </c>
      <c r="BJ5" s="71" t="s">
        <v>12</v>
      </c>
      <c r="BK5" s="71"/>
      <c r="BL5" s="72"/>
      <c r="BM5" s="69" t="s">
        <v>37</v>
      </c>
      <c r="BN5" s="70">
        <f>SUM(BL47)</f>
        <v>0</v>
      </c>
      <c r="BO5" s="73" t="s">
        <v>22</v>
      </c>
      <c r="BQ5" s="69" t="s">
        <v>49</v>
      </c>
      <c r="BR5" s="69"/>
      <c r="BS5" s="70">
        <f>SUM(BS47)</f>
        <v>25</v>
      </c>
      <c r="BT5" s="69" t="s">
        <v>22</v>
      </c>
      <c r="BU5" s="69"/>
      <c r="BV5" s="69" t="s">
        <v>23</v>
      </c>
      <c r="BW5" s="70">
        <f>SUM(BW47)</f>
        <v>0</v>
      </c>
      <c r="BX5" s="71" t="s">
        <v>12</v>
      </c>
      <c r="BY5" s="71"/>
      <c r="BZ5" s="72"/>
      <c r="CA5" s="69" t="s">
        <v>37</v>
      </c>
      <c r="CB5" s="70">
        <f>SUM(BZ47)</f>
        <v>1</v>
      </c>
      <c r="CC5" s="73" t="s">
        <v>22</v>
      </c>
      <c r="CE5" s="69" t="s">
        <v>49</v>
      </c>
      <c r="CF5" s="69"/>
      <c r="CG5" s="70">
        <f>SUM(CG47)</f>
        <v>24</v>
      </c>
      <c r="CH5" s="69" t="s">
        <v>22</v>
      </c>
      <c r="CI5" s="69"/>
      <c r="CJ5" s="69" t="s">
        <v>23</v>
      </c>
      <c r="CK5" s="70">
        <f>SUM(CK47)</f>
        <v>0</v>
      </c>
      <c r="CL5" s="71" t="s">
        <v>12</v>
      </c>
      <c r="CM5" s="71"/>
      <c r="CN5" s="72"/>
      <c r="CO5" s="69" t="s">
        <v>37</v>
      </c>
      <c r="CP5" s="70">
        <f>SUM(CN47)</f>
        <v>1</v>
      </c>
      <c r="CQ5" s="73" t="s">
        <v>22</v>
      </c>
      <c r="CR5" s="69" t="s">
        <v>49</v>
      </c>
      <c r="CS5" s="69"/>
      <c r="CT5" s="70">
        <f>SUM(CT47)</f>
        <v>25</v>
      </c>
      <c r="CU5" s="69" t="s">
        <v>22</v>
      </c>
      <c r="CV5" s="69"/>
      <c r="CW5" s="69" t="s">
        <v>23</v>
      </c>
      <c r="CX5" s="70">
        <f>SUM(CX47)</f>
        <v>0</v>
      </c>
      <c r="CY5" s="71" t="s">
        <v>12</v>
      </c>
      <c r="CZ5" s="71"/>
      <c r="DA5" s="72"/>
      <c r="DB5" s="69" t="s">
        <v>37</v>
      </c>
      <c r="DC5" s="70">
        <f>SUM(DA47)</f>
        <v>1</v>
      </c>
      <c r="DD5" s="73" t="s">
        <v>22</v>
      </c>
      <c r="DF5" s="69" t="s">
        <v>49</v>
      </c>
      <c r="DG5" s="69"/>
      <c r="DH5" s="70">
        <f>SUM(DH47)</f>
        <v>24</v>
      </c>
      <c r="DI5" s="69" t="s">
        <v>22</v>
      </c>
      <c r="DJ5" s="69"/>
      <c r="DK5" s="69" t="s">
        <v>23</v>
      </c>
      <c r="DL5" s="70">
        <f>SUM(DL47)</f>
        <v>0</v>
      </c>
      <c r="DM5" s="71" t="s">
        <v>12</v>
      </c>
      <c r="DN5" s="71"/>
      <c r="DO5" s="72"/>
      <c r="DP5" s="69" t="s">
        <v>37</v>
      </c>
      <c r="DQ5" s="70">
        <f>SUM(DO47)</f>
        <v>1</v>
      </c>
      <c r="DR5" s="73" t="s">
        <v>22</v>
      </c>
      <c r="DT5" s="69" t="s">
        <v>49</v>
      </c>
      <c r="DU5" s="69"/>
      <c r="DV5" s="70">
        <f>SUM(DV47)</f>
        <v>23</v>
      </c>
      <c r="DW5" s="69" t="s">
        <v>22</v>
      </c>
      <c r="DX5" s="69"/>
      <c r="DY5" s="69" t="s">
        <v>23</v>
      </c>
      <c r="DZ5" s="70">
        <f>SUM(DZ47)</f>
        <v>0</v>
      </c>
      <c r="EA5" s="71" t="s">
        <v>12</v>
      </c>
      <c r="EB5" s="71"/>
      <c r="EC5" s="72"/>
      <c r="ED5" s="69" t="s">
        <v>37</v>
      </c>
      <c r="EE5" s="70">
        <f>SUM(EC47)</f>
        <v>1</v>
      </c>
      <c r="EF5" s="73" t="s">
        <v>22</v>
      </c>
      <c r="EG5" s="69" t="s">
        <v>49</v>
      </c>
      <c r="EH5" s="69"/>
      <c r="EI5" s="70">
        <f>SUM(EI47)</f>
        <v>25</v>
      </c>
      <c r="EJ5" s="69" t="s">
        <v>22</v>
      </c>
      <c r="EK5" s="69"/>
      <c r="EL5" s="69" t="s">
        <v>23</v>
      </c>
      <c r="EM5" s="70">
        <f>SUM(EM47)</f>
        <v>0</v>
      </c>
      <c r="EN5" s="71" t="s">
        <v>12</v>
      </c>
      <c r="EO5" s="71"/>
      <c r="EP5" s="72"/>
      <c r="EQ5" s="69" t="s">
        <v>37</v>
      </c>
      <c r="ER5" s="70">
        <f>SUM(EP47)</f>
        <v>1</v>
      </c>
      <c r="ES5" s="73" t="s">
        <v>22</v>
      </c>
      <c r="EU5" s="69" t="s">
        <v>49</v>
      </c>
      <c r="EV5" s="69"/>
      <c r="EW5" s="70">
        <f>SUM(EW47)</f>
        <v>25</v>
      </c>
      <c r="EX5" s="69" t="s">
        <v>22</v>
      </c>
      <c r="EY5" s="69"/>
      <c r="EZ5" s="69" t="s">
        <v>23</v>
      </c>
      <c r="FA5" s="70">
        <f>SUM(FA47)</f>
        <v>0</v>
      </c>
      <c r="FB5" s="71" t="s">
        <v>12</v>
      </c>
      <c r="FC5" s="71"/>
      <c r="FD5" s="72"/>
      <c r="FE5" s="69" t="s">
        <v>37</v>
      </c>
      <c r="FF5" s="70">
        <f>SUM(FD47)</f>
        <v>1</v>
      </c>
      <c r="FG5" s="73" t="s">
        <v>22</v>
      </c>
      <c r="FH5" s="69" t="s">
        <v>49</v>
      </c>
      <c r="FI5" s="69"/>
      <c r="FJ5" s="70">
        <f>SUM(FJ47)</f>
        <v>24</v>
      </c>
      <c r="FK5" s="69" t="s">
        <v>22</v>
      </c>
      <c r="FL5" s="69"/>
      <c r="FM5" s="69" t="s">
        <v>23</v>
      </c>
      <c r="FN5" s="70">
        <f>SUM(FN47)</f>
        <v>6.9000000000000012</v>
      </c>
      <c r="FO5" s="71" t="s">
        <v>12</v>
      </c>
      <c r="FP5" s="71"/>
      <c r="FQ5" s="72"/>
      <c r="FR5" s="69" t="s">
        <v>37</v>
      </c>
      <c r="FS5" s="70">
        <f>SUM(FQ47)</f>
        <v>1</v>
      </c>
      <c r="FT5" s="73" t="s">
        <v>22</v>
      </c>
      <c r="FV5" s="69" t="s">
        <v>49</v>
      </c>
      <c r="FW5" s="69"/>
      <c r="FX5" s="70">
        <f>SUM(FX47)</f>
        <v>24</v>
      </c>
      <c r="FY5" s="69" t="s">
        <v>22</v>
      </c>
      <c r="FZ5" s="69"/>
      <c r="GA5" s="69" t="s">
        <v>23</v>
      </c>
      <c r="GB5" s="70">
        <f>SUM(GB47)</f>
        <v>0</v>
      </c>
      <c r="GC5" s="71" t="s">
        <v>12</v>
      </c>
      <c r="GD5" s="71"/>
      <c r="GE5" s="72"/>
      <c r="GF5" s="69" t="s">
        <v>37</v>
      </c>
      <c r="GG5" s="70">
        <f>SUM(GE47)</f>
        <v>1</v>
      </c>
      <c r="GH5" s="73" t="s">
        <v>22</v>
      </c>
      <c r="GI5" s="69" t="s">
        <v>49</v>
      </c>
      <c r="GJ5" s="69"/>
      <c r="GK5" s="70">
        <f>SUM(GK47)</f>
        <v>24</v>
      </c>
      <c r="GL5" s="69" t="s">
        <v>22</v>
      </c>
      <c r="GM5" s="69"/>
      <c r="GN5" s="69" t="s">
        <v>23</v>
      </c>
      <c r="GO5" s="70">
        <f>SUM(GO47)</f>
        <v>3.3833333333333342</v>
      </c>
      <c r="GP5" s="71" t="s">
        <v>12</v>
      </c>
      <c r="GQ5" s="71"/>
      <c r="GR5" s="72"/>
      <c r="GS5" s="69" t="s">
        <v>37</v>
      </c>
      <c r="GT5" s="70">
        <f>SUM(GR47)</f>
        <v>1</v>
      </c>
      <c r="GU5" s="73" t="s">
        <v>22</v>
      </c>
      <c r="GW5" s="69" t="s">
        <v>49</v>
      </c>
      <c r="GX5" s="69"/>
      <c r="GY5" s="70">
        <f>SUM(GY47)</f>
        <v>25</v>
      </c>
      <c r="GZ5" s="69" t="s">
        <v>22</v>
      </c>
      <c r="HA5" s="69"/>
      <c r="HB5" s="69" t="s">
        <v>23</v>
      </c>
      <c r="HC5" s="70">
        <f>SUM(HC47)</f>
        <v>4.5666666666666664</v>
      </c>
      <c r="HD5" s="71" t="s">
        <v>12</v>
      </c>
      <c r="HE5" s="71"/>
      <c r="HF5" s="72"/>
      <c r="HG5" s="69" t="s">
        <v>37</v>
      </c>
      <c r="HH5" s="70">
        <f>SUM(HF47)</f>
        <v>1</v>
      </c>
      <c r="HI5" s="73" t="s">
        <v>22</v>
      </c>
      <c r="HJ5" s="69" t="s">
        <v>49</v>
      </c>
      <c r="HK5" s="69"/>
      <c r="HL5" s="70">
        <f>SUM(HL47)</f>
        <v>25</v>
      </c>
      <c r="HM5" s="69" t="s">
        <v>22</v>
      </c>
      <c r="HN5" s="69"/>
      <c r="HO5" s="69" t="s">
        <v>23</v>
      </c>
      <c r="HP5" s="70">
        <f>SUM(HP47)</f>
        <v>0</v>
      </c>
      <c r="HQ5" s="71" t="s">
        <v>12</v>
      </c>
      <c r="HR5" s="71"/>
      <c r="HS5" s="72"/>
      <c r="HT5" s="69" t="s">
        <v>37</v>
      </c>
      <c r="HU5" s="70">
        <f>SUM(HS47)</f>
        <v>1</v>
      </c>
      <c r="HV5" s="73" t="s">
        <v>22</v>
      </c>
      <c r="HX5" s="69" t="s">
        <v>49</v>
      </c>
      <c r="HY5" s="69"/>
      <c r="HZ5" s="70">
        <f>SUM(HZ47)</f>
        <v>0</v>
      </c>
      <c r="IA5" s="69" t="s">
        <v>22</v>
      </c>
      <c r="IB5" s="69"/>
      <c r="IC5" s="69" t="s">
        <v>23</v>
      </c>
      <c r="ID5" s="70">
        <f>SUM(ID47)</f>
        <v>0</v>
      </c>
      <c r="IE5" s="71" t="s">
        <v>12</v>
      </c>
      <c r="IF5" s="71"/>
      <c r="IG5" s="72"/>
      <c r="IH5" s="69" t="s">
        <v>37</v>
      </c>
      <c r="II5" s="70">
        <f>SUM(IG47)</f>
        <v>0</v>
      </c>
      <c r="IJ5" s="73" t="s">
        <v>22</v>
      </c>
      <c r="IK5" s="69" t="s">
        <v>49</v>
      </c>
      <c r="IL5" s="69"/>
      <c r="IM5" s="70">
        <f>SUM(IM47)</f>
        <v>25</v>
      </c>
      <c r="IN5" s="69" t="s">
        <v>22</v>
      </c>
      <c r="IO5" s="69"/>
      <c r="IP5" s="69" t="s">
        <v>23</v>
      </c>
      <c r="IQ5" s="70">
        <f>SUM(IQ47)</f>
        <v>0</v>
      </c>
      <c r="IR5" s="71" t="s">
        <v>12</v>
      </c>
      <c r="IS5" s="71"/>
      <c r="IT5" s="72"/>
      <c r="IU5" s="69" t="s">
        <v>37</v>
      </c>
      <c r="IV5" s="70">
        <f>SUM(IT47)</f>
        <v>1</v>
      </c>
      <c r="IW5" s="73" t="s">
        <v>22</v>
      </c>
      <c r="IY5" s="69" t="s">
        <v>49</v>
      </c>
      <c r="IZ5" s="69"/>
      <c r="JA5" s="70">
        <f>SUM(JA47)</f>
        <v>25</v>
      </c>
      <c r="JB5" s="69" t="s">
        <v>22</v>
      </c>
      <c r="JC5" s="69"/>
      <c r="JD5" s="69" t="s">
        <v>23</v>
      </c>
      <c r="JE5" s="70">
        <f>SUM(JE47)</f>
        <v>10.65</v>
      </c>
      <c r="JF5" s="71" t="s">
        <v>12</v>
      </c>
      <c r="JG5" s="71"/>
      <c r="JH5" s="72"/>
      <c r="JI5" s="69" t="s">
        <v>37</v>
      </c>
      <c r="JJ5" s="70">
        <f>SUM(JH47)</f>
        <v>1</v>
      </c>
      <c r="JK5" s="73" t="s">
        <v>22</v>
      </c>
      <c r="JL5" s="69" t="s">
        <v>49</v>
      </c>
      <c r="JM5" s="69"/>
      <c r="JN5" s="70">
        <f>SUM(JN47)</f>
        <v>24</v>
      </c>
      <c r="JO5" s="69" t="s">
        <v>22</v>
      </c>
      <c r="JP5" s="69"/>
      <c r="JQ5" s="69" t="s">
        <v>23</v>
      </c>
      <c r="JR5" s="70">
        <f>SUM(JR47)</f>
        <v>0</v>
      </c>
      <c r="JS5" s="71" t="s">
        <v>12</v>
      </c>
      <c r="JT5" s="71"/>
      <c r="JU5" s="72"/>
      <c r="JV5" s="69" t="s">
        <v>37</v>
      </c>
      <c r="JW5" s="70">
        <f>SUM(JU47)</f>
        <v>1</v>
      </c>
      <c r="JX5" s="73" t="s">
        <v>22</v>
      </c>
      <c r="JZ5" s="69" t="s">
        <v>49</v>
      </c>
      <c r="KA5" s="69"/>
      <c r="KB5" s="70">
        <f>SUM(KB47)</f>
        <v>25</v>
      </c>
      <c r="KC5" s="69" t="s">
        <v>22</v>
      </c>
      <c r="KD5" s="69"/>
      <c r="KE5" s="69" t="s">
        <v>23</v>
      </c>
      <c r="KF5" s="70">
        <f>SUM(KF47)</f>
        <v>0</v>
      </c>
      <c r="KG5" s="71" t="s">
        <v>12</v>
      </c>
      <c r="KH5" s="71"/>
      <c r="KI5" s="72"/>
      <c r="KJ5" s="69" t="s">
        <v>37</v>
      </c>
      <c r="KK5" s="70">
        <f>SUM(KI47)</f>
        <v>1</v>
      </c>
      <c r="KL5" s="73" t="s">
        <v>22</v>
      </c>
    </row>
    <row r="6" spans="1:298" s="74" customFormat="1" ht="20.149999999999999" customHeight="1" x14ac:dyDescent="0.35">
      <c r="A6" s="69" t="s">
        <v>21</v>
      </c>
      <c r="B6" s="69"/>
      <c r="C6" s="75">
        <f>SUM(E47)</f>
        <v>117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0</v>
      </c>
      <c r="M6" s="73" t="s">
        <v>12</v>
      </c>
      <c r="O6" s="69" t="s">
        <v>21</v>
      </c>
      <c r="P6" s="69"/>
      <c r="Q6" s="75">
        <f>SUM(S47)</f>
        <v>124.69999999999999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0</v>
      </c>
      <c r="AA6" s="73" t="s">
        <v>12</v>
      </c>
      <c r="AB6" s="69" t="s">
        <v>21</v>
      </c>
      <c r="AC6" s="69"/>
      <c r="AD6" s="75">
        <f>SUM(AF47)</f>
        <v>85.016666666666694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4.633333333333332</v>
      </c>
      <c r="AN6" s="73" t="s">
        <v>12</v>
      </c>
      <c r="AP6" s="69" t="s">
        <v>21</v>
      </c>
      <c r="AQ6" s="69"/>
      <c r="AR6" s="75">
        <f>SUM(AT47)</f>
        <v>121.01666666666669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0</v>
      </c>
      <c r="BB6" s="73" t="s">
        <v>12</v>
      </c>
      <c r="BC6" s="69" t="s">
        <v>21</v>
      </c>
      <c r="BD6" s="69"/>
      <c r="BE6" s="75">
        <f>SUM(BG47)</f>
        <v>0</v>
      </c>
      <c r="BF6" s="69" t="s">
        <v>12</v>
      </c>
      <c r="BG6" s="69"/>
      <c r="BH6" s="69"/>
      <c r="BI6" s="69"/>
      <c r="BJ6" s="76"/>
      <c r="BK6" s="76"/>
      <c r="BL6" s="72"/>
      <c r="BM6" s="69" t="s">
        <v>36</v>
      </c>
      <c r="BN6" s="77">
        <f>SUM(BN47)</f>
        <v>0</v>
      </c>
      <c r="BO6" s="73" t="s">
        <v>12</v>
      </c>
      <c r="BQ6" s="69" t="s">
        <v>21</v>
      </c>
      <c r="BR6" s="69"/>
      <c r="BS6" s="75">
        <f>SUM(BU47)</f>
        <v>126.70000000000002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0</v>
      </c>
      <c r="CC6" s="73" t="s">
        <v>12</v>
      </c>
      <c r="CE6" s="69" t="s">
        <v>21</v>
      </c>
      <c r="CF6" s="69"/>
      <c r="CG6" s="75">
        <f>SUM(CI47)</f>
        <v>105.46666666666667</v>
      </c>
      <c r="CH6" s="69" t="s">
        <v>12</v>
      </c>
      <c r="CI6" s="69"/>
      <c r="CJ6" s="69"/>
      <c r="CK6" s="69"/>
      <c r="CL6" s="76"/>
      <c r="CM6" s="76"/>
      <c r="CN6" s="72"/>
      <c r="CO6" s="69" t="s">
        <v>36</v>
      </c>
      <c r="CP6" s="77">
        <f>SUM(CP47)</f>
        <v>0</v>
      </c>
      <c r="CQ6" s="73" t="s">
        <v>12</v>
      </c>
      <c r="CR6" s="69" t="s">
        <v>21</v>
      </c>
      <c r="CS6" s="69"/>
      <c r="CT6" s="75">
        <f>SUM(CV47)</f>
        <v>123.45</v>
      </c>
      <c r="CU6" s="69" t="s">
        <v>12</v>
      </c>
      <c r="CV6" s="69"/>
      <c r="CW6" s="69"/>
      <c r="CX6" s="69"/>
      <c r="CY6" s="76"/>
      <c r="CZ6" s="76"/>
      <c r="DA6" s="72"/>
      <c r="DB6" s="69" t="s">
        <v>36</v>
      </c>
      <c r="DC6" s="77">
        <f>SUM(DC47)</f>
        <v>0</v>
      </c>
      <c r="DD6" s="73" t="s">
        <v>12</v>
      </c>
      <c r="DF6" s="69" t="s">
        <v>21</v>
      </c>
      <c r="DG6" s="69"/>
      <c r="DH6" s="75">
        <f>SUM(DJ47)</f>
        <v>91.350000000000023</v>
      </c>
      <c r="DI6" s="69" t="s">
        <v>12</v>
      </c>
      <c r="DJ6" s="69"/>
      <c r="DK6" s="69"/>
      <c r="DL6" s="69"/>
      <c r="DM6" s="76"/>
      <c r="DN6" s="76"/>
      <c r="DO6" s="72"/>
      <c r="DP6" s="69" t="s">
        <v>36</v>
      </c>
      <c r="DQ6" s="77">
        <f>SUM(DQ47)</f>
        <v>0</v>
      </c>
      <c r="DR6" s="73" t="s">
        <v>12</v>
      </c>
      <c r="DT6" s="69" t="s">
        <v>21</v>
      </c>
      <c r="DU6" s="69"/>
      <c r="DV6" s="75">
        <f>SUM(DX47)</f>
        <v>94.166666666666671</v>
      </c>
      <c r="DW6" s="69" t="s">
        <v>12</v>
      </c>
      <c r="DX6" s="69"/>
      <c r="DY6" s="69"/>
      <c r="DZ6" s="69"/>
      <c r="EA6" s="76"/>
      <c r="EB6" s="76"/>
      <c r="EC6" s="72"/>
      <c r="ED6" s="69" t="s">
        <v>36</v>
      </c>
      <c r="EE6" s="77">
        <f>SUM(EE47)</f>
        <v>0</v>
      </c>
      <c r="EF6" s="73" t="s">
        <v>12</v>
      </c>
      <c r="EG6" s="69" t="s">
        <v>21</v>
      </c>
      <c r="EH6" s="69"/>
      <c r="EI6" s="75">
        <f>SUM(EK47)</f>
        <v>115.88333333333338</v>
      </c>
      <c r="EJ6" s="69" t="s">
        <v>12</v>
      </c>
      <c r="EK6" s="69"/>
      <c r="EL6" s="69"/>
      <c r="EM6" s="69"/>
      <c r="EN6" s="76"/>
      <c r="EO6" s="76"/>
      <c r="EP6" s="72"/>
      <c r="EQ6" s="69" t="s">
        <v>36</v>
      </c>
      <c r="ER6" s="77">
        <f>SUM(ER47)</f>
        <v>0</v>
      </c>
      <c r="ES6" s="73" t="s">
        <v>12</v>
      </c>
      <c r="EU6" s="69" t="s">
        <v>21</v>
      </c>
      <c r="EV6" s="69"/>
      <c r="EW6" s="75">
        <f>SUM(EY47)</f>
        <v>124.38333333333335</v>
      </c>
      <c r="EX6" s="69" t="s">
        <v>12</v>
      </c>
      <c r="EY6" s="69"/>
      <c r="EZ6" s="69"/>
      <c r="FA6" s="69"/>
      <c r="FB6" s="76"/>
      <c r="FC6" s="76"/>
      <c r="FD6" s="72"/>
      <c r="FE6" s="69" t="s">
        <v>36</v>
      </c>
      <c r="FF6" s="77">
        <f>SUM(FF47)</f>
        <v>0</v>
      </c>
      <c r="FG6" s="73" t="s">
        <v>12</v>
      </c>
      <c r="FH6" s="69" t="s">
        <v>21</v>
      </c>
      <c r="FI6" s="69"/>
      <c r="FJ6" s="75">
        <f>SUM(FL47)</f>
        <v>108.38333333333335</v>
      </c>
      <c r="FK6" s="69" t="s">
        <v>12</v>
      </c>
      <c r="FL6" s="69"/>
      <c r="FM6" s="69"/>
      <c r="FN6" s="69"/>
      <c r="FO6" s="76"/>
      <c r="FP6" s="76"/>
      <c r="FQ6" s="72"/>
      <c r="FR6" s="69" t="s">
        <v>36</v>
      </c>
      <c r="FS6" s="77">
        <f>SUM(FS47)</f>
        <v>0</v>
      </c>
      <c r="FT6" s="73" t="s">
        <v>12</v>
      </c>
      <c r="FV6" s="69" t="s">
        <v>21</v>
      </c>
      <c r="FW6" s="69"/>
      <c r="FX6" s="75">
        <f>SUM(FZ47)</f>
        <v>90.066666666666691</v>
      </c>
      <c r="FY6" s="69" t="s">
        <v>12</v>
      </c>
      <c r="FZ6" s="69"/>
      <c r="GA6" s="69"/>
      <c r="GB6" s="69"/>
      <c r="GC6" s="76"/>
      <c r="GD6" s="76"/>
      <c r="GE6" s="72"/>
      <c r="GF6" s="69" t="s">
        <v>36</v>
      </c>
      <c r="GG6" s="77">
        <f>SUM(GG47)</f>
        <v>0</v>
      </c>
      <c r="GH6" s="73" t="s">
        <v>12</v>
      </c>
      <c r="GI6" s="69" t="s">
        <v>21</v>
      </c>
      <c r="GJ6" s="69"/>
      <c r="GK6" s="75">
        <f>SUM(GM47)</f>
        <v>109.51666666666671</v>
      </c>
      <c r="GL6" s="69" t="s">
        <v>12</v>
      </c>
      <c r="GM6" s="69"/>
      <c r="GN6" s="69"/>
      <c r="GO6" s="69"/>
      <c r="GP6" s="76"/>
      <c r="GQ6" s="76"/>
      <c r="GR6" s="72"/>
      <c r="GS6" s="69" t="s">
        <v>36</v>
      </c>
      <c r="GT6" s="77">
        <f>SUM(GT47)</f>
        <v>0</v>
      </c>
      <c r="GU6" s="73" t="s">
        <v>12</v>
      </c>
      <c r="GW6" s="69" t="s">
        <v>21</v>
      </c>
      <c r="GX6" s="69"/>
      <c r="GY6" s="75">
        <f>SUM(HA47)</f>
        <v>102.8333333333334</v>
      </c>
      <c r="GZ6" s="69" t="s">
        <v>12</v>
      </c>
      <c r="HA6" s="69"/>
      <c r="HB6" s="69"/>
      <c r="HC6" s="69"/>
      <c r="HD6" s="76"/>
      <c r="HE6" s="76"/>
      <c r="HF6" s="72"/>
      <c r="HG6" s="69" t="s">
        <v>36</v>
      </c>
      <c r="HH6" s="77">
        <f>SUM(HH47)</f>
        <v>2.6666666666666643</v>
      </c>
      <c r="HI6" s="73" t="s">
        <v>12</v>
      </c>
      <c r="HJ6" s="69" t="s">
        <v>21</v>
      </c>
      <c r="HK6" s="69"/>
      <c r="HL6" s="75">
        <f>SUM(HN47)</f>
        <v>123.6166666666667</v>
      </c>
      <c r="HM6" s="69" t="s">
        <v>12</v>
      </c>
      <c r="HN6" s="69"/>
      <c r="HO6" s="69"/>
      <c r="HP6" s="69"/>
      <c r="HQ6" s="76"/>
      <c r="HR6" s="76"/>
      <c r="HS6" s="72"/>
      <c r="HT6" s="69" t="s">
        <v>36</v>
      </c>
      <c r="HU6" s="77">
        <f>SUM(HU47)</f>
        <v>0</v>
      </c>
      <c r="HV6" s="73" t="s">
        <v>12</v>
      </c>
      <c r="HX6" s="69" t="s">
        <v>21</v>
      </c>
      <c r="HY6" s="69"/>
      <c r="HZ6" s="75">
        <f>SUM(IB47)</f>
        <v>0</v>
      </c>
      <c r="IA6" s="69" t="s">
        <v>12</v>
      </c>
      <c r="IB6" s="69"/>
      <c r="IC6" s="69"/>
      <c r="ID6" s="69"/>
      <c r="IE6" s="76"/>
      <c r="IF6" s="76"/>
      <c r="IG6" s="72"/>
      <c r="IH6" s="69" t="s">
        <v>36</v>
      </c>
      <c r="II6" s="77">
        <f>SUM(II47)</f>
        <v>0</v>
      </c>
      <c r="IJ6" s="73" t="s">
        <v>12</v>
      </c>
      <c r="IK6" s="69" t="s">
        <v>21</v>
      </c>
      <c r="IL6" s="69"/>
      <c r="IM6" s="75">
        <f>SUM(IO47)</f>
        <v>118.98333333333333</v>
      </c>
      <c r="IN6" s="69" t="s">
        <v>12</v>
      </c>
      <c r="IO6" s="69"/>
      <c r="IP6" s="69"/>
      <c r="IQ6" s="69"/>
      <c r="IR6" s="76"/>
      <c r="IS6" s="76"/>
      <c r="IT6" s="72"/>
      <c r="IU6" s="69" t="s">
        <v>36</v>
      </c>
      <c r="IV6" s="77">
        <f>SUM(IV47)</f>
        <v>0</v>
      </c>
      <c r="IW6" s="73" t="s">
        <v>12</v>
      </c>
      <c r="IY6" s="69" t="s">
        <v>21</v>
      </c>
      <c r="IZ6" s="69"/>
      <c r="JA6" s="75">
        <f>SUM(JC47)</f>
        <v>128.1166666666667</v>
      </c>
      <c r="JB6" s="69" t="s">
        <v>12</v>
      </c>
      <c r="JC6" s="69"/>
      <c r="JD6" s="69"/>
      <c r="JE6" s="69"/>
      <c r="JF6" s="76"/>
      <c r="JG6" s="76"/>
      <c r="JH6" s="72"/>
      <c r="JI6" s="69" t="s">
        <v>36</v>
      </c>
      <c r="JJ6" s="77">
        <f>SUM(JJ47)</f>
        <v>0</v>
      </c>
      <c r="JK6" s="73" t="s">
        <v>12</v>
      </c>
      <c r="JL6" s="69" t="s">
        <v>21</v>
      </c>
      <c r="JM6" s="69"/>
      <c r="JN6" s="75">
        <f>SUM(JP47)</f>
        <v>83.883333333333368</v>
      </c>
      <c r="JO6" s="69" t="s">
        <v>12</v>
      </c>
      <c r="JP6" s="69"/>
      <c r="JQ6" s="69"/>
      <c r="JR6" s="69"/>
      <c r="JS6" s="76"/>
      <c r="JT6" s="76"/>
      <c r="JU6" s="72"/>
      <c r="JV6" s="69" t="s">
        <v>36</v>
      </c>
      <c r="JW6" s="77">
        <f>SUM(JW47)</f>
        <v>0</v>
      </c>
      <c r="JX6" s="73" t="s">
        <v>12</v>
      </c>
      <c r="JZ6" s="69" t="s">
        <v>21</v>
      </c>
      <c r="KA6" s="69"/>
      <c r="KB6" s="75">
        <f>SUM(KD47)</f>
        <v>119.58333333333337</v>
      </c>
      <c r="KC6" s="69" t="s">
        <v>12</v>
      </c>
      <c r="KD6" s="69"/>
      <c r="KE6" s="69"/>
      <c r="KF6" s="69"/>
      <c r="KG6" s="76"/>
      <c r="KH6" s="76"/>
      <c r="KI6" s="72"/>
      <c r="KJ6" s="69" t="s">
        <v>36</v>
      </c>
      <c r="KK6" s="77">
        <f>SUM(KK47)</f>
        <v>0</v>
      </c>
      <c r="KL6" s="73" t="s">
        <v>12</v>
      </c>
    </row>
    <row r="7" spans="1:298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C7" s="21"/>
      <c r="BD7" s="21"/>
      <c r="BE7" s="21"/>
      <c r="BF7" s="21"/>
      <c r="BG7" s="21"/>
      <c r="BH7" s="39" t="s">
        <v>59</v>
      </c>
      <c r="BI7" s="21"/>
      <c r="BJ7" s="22"/>
      <c r="BK7" s="33" t="s">
        <v>35</v>
      </c>
      <c r="BL7" s="38"/>
      <c r="BM7" s="21"/>
      <c r="BN7" s="39" t="s">
        <v>60</v>
      </c>
      <c r="BO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E7" s="21"/>
      <c r="CF7" s="21"/>
      <c r="CG7" s="21"/>
      <c r="CH7" s="21"/>
      <c r="CI7" s="21"/>
      <c r="CJ7" s="39" t="s">
        <v>59</v>
      </c>
      <c r="CK7" s="21"/>
      <c r="CL7" s="22"/>
      <c r="CM7" s="33" t="s">
        <v>35</v>
      </c>
      <c r="CN7" s="38"/>
      <c r="CO7" s="21"/>
      <c r="CP7" s="39" t="s">
        <v>60</v>
      </c>
      <c r="CQ7" s="38"/>
      <c r="CR7" s="21"/>
      <c r="CS7" s="21"/>
      <c r="CT7" s="21"/>
      <c r="CU7" s="21"/>
      <c r="CV7" s="21"/>
      <c r="CW7" s="39" t="s">
        <v>59</v>
      </c>
      <c r="CX7" s="21"/>
      <c r="CY7" s="22"/>
      <c r="CZ7" s="33" t="s">
        <v>35</v>
      </c>
      <c r="DA7" s="38"/>
      <c r="DB7" s="21"/>
      <c r="DC7" s="39" t="s">
        <v>60</v>
      </c>
      <c r="DD7" s="38"/>
      <c r="DF7" s="21"/>
      <c r="DG7" s="21"/>
      <c r="DH7" s="21"/>
      <c r="DI7" s="21"/>
      <c r="DJ7" s="21"/>
      <c r="DK7" s="39" t="s">
        <v>59</v>
      </c>
      <c r="DL7" s="21"/>
      <c r="DM7" s="22"/>
      <c r="DN7" s="33" t="s">
        <v>35</v>
      </c>
      <c r="DO7" s="38"/>
      <c r="DP7" s="21"/>
      <c r="DQ7" s="39" t="s">
        <v>60</v>
      </c>
      <c r="DR7" s="38"/>
      <c r="DT7" s="21"/>
      <c r="DU7" s="21"/>
      <c r="DV7" s="21"/>
      <c r="DW7" s="21"/>
      <c r="DX7" s="21"/>
      <c r="DY7" s="39" t="s">
        <v>59</v>
      </c>
      <c r="DZ7" s="21"/>
      <c r="EA7" s="22"/>
      <c r="EB7" s="33" t="s">
        <v>35</v>
      </c>
      <c r="EC7" s="38"/>
      <c r="ED7" s="21"/>
      <c r="EE7" s="39" t="s">
        <v>60</v>
      </c>
      <c r="EF7" s="38"/>
      <c r="EG7" s="21"/>
      <c r="EH7" s="21"/>
      <c r="EI7" s="21"/>
      <c r="EJ7" s="21"/>
      <c r="EK7" s="21"/>
      <c r="EL7" s="39" t="s">
        <v>59</v>
      </c>
      <c r="EM7" s="21"/>
      <c r="EN7" s="22"/>
      <c r="EO7" s="33" t="s">
        <v>35</v>
      </c>
      <c r="EP7" s="38"/>
      <c r="EQ7" s="21"/>
      <c r="ER7" s="39" t="s">
        <v>60</v>
      </c>
      <c r="ES7" s="38"/>
      <c r="EU7" s="21"/>
      <c r="EV7" s="21"/>
      <c r="EW7" s="21"/>
      <c r="EX7" s="21"/>
      <c r="EY7" s="21"/>
      <c r="EZ7" s="39" t="s">
        <v>59</v>
      </c>
      <c r="FA7" s="21"/>
      <c r="FB7" s="22"/>
      <c r="FC7" s="33" t="s">
        <v>35</v>
      </c>
      <c r="FD7" s="38"/>
      <c r="FE7" s="21"/>
      <c r="FF7" s="39" t="s">
        <v>60</v>
      </c>
      <c r="FG7" s="38"/>
      <c r="FH7" s="21"/>
      <c r="FI7" s="21"/>
      <c r="FJ7" s="21"/>
      <c r="FK7" s="21"/>
      <c r="FL7" s="21"/>
      <c r="FM7" s="39" t="s">
        <v>59</v>
      </c>
      <c r="FN7" s="21"/>
      <c r="FO7" s="22"/>
      <c r="FP7" s="33" t="s">
        <v>35</v>
      </c>
      <c r="FQ7" s="38"/>
      <c r="FR7" s="21"/>
      <c r="FS7" s="39" t="s">
        <v>60</v>
      </c>
      <c r="FT7" s="38"/>
      <c r="FV7" s="21"/>
      <c r="FW7" s="21"/>
      <c r="FX7" s="21"/>
      <c r="FY7" s="21"/>
      <c r="FZ7" s="21"/>
      <c r="GA7" s="39" t="s">
        <v>59</v>
      </c>
      <c r="GB7" s="21"/>
      <c r="GC7" s="22"/>
      <c r="GD7" s="33" t="s">
        <v>35</v>
      </c>
      <c r="GE7" s="38"/>
      <c r="GF7" s="21"/>
      <c r="GG7" s="39" t="s">
        <v>60</v>
      </c>
      <c r="GH7" s="38"/>
      <c r="GI7" s="21"/>
      <c r="GJ7" s="21"/>
      <c r="GK7" s="21"/>
      <c r="GL7" s="21"/>
      <c r="GM7" s="21"/>
      <c r="GN7" s="39" t="s">
        <v>59</v>
      </c>
      <c r="GO7" s="21"/>
      <c r="GP7" s="22"/>
      <c r="GQ7" s="33" t="s">
        <v>35</v>
      </c>
      <c r="GR7" s="38"/>
      <c r="GS7" s="21"/>
      <c r="GT7" s="39" t="s">
        <v>60</v>
      </c>
      <c r="GU7" s="38"/>
      <c r="GW7" s="21"/>
      <c r="GX7" s="21"/>
      <c r="GY7" s="21"/>
      <c r="GZ7" s="21"/>
      <c r="HA7" s="21"/>
      <c r="HB7" s="39" t="s">
        <v>59</v>
      </c>
      <c r="HC7" s="21"/>
      <c r="HD7" s="22"/>
      <c r="HE7" s="33" t="s">
        <v>35</v>
      </c>
      <c r="HF7" s="38"/>
      <c r="HG7" s="21"/>
      <c r="HH7" s="39" t="s">
        <v>60</v>
      </c>
      <c r="HI7" s="38"/>
      <c r="HJ7" s="21"/>
      <c r="HK7" s="21"/>
      <c r="HL7" s="21"/>
      <c r="HM7" s="21"/>
      <c r="HN7" s="21"/>
      <c r="HO7" s="39" t="s">
        <v>59</v>
      </c>
      <c r="HP7" s="21"/>
      <c r="HQ7" s="22"/>
      <c r="HR7" s="33" t="s">
        <v>35</v>
      </c>
      <c r="HS7" s="38"/>
      <c r="HT7" s="21"/>
      <c r="HU7" s="39" t="s">
        <v>60</v>
      </c>
      <c r="HV7" s="38"/>
      <c r="HX7" s="21"/>
      <c r="HY7" s="21"/>
      <c r="HZ7" s="21"/>
      <c r="IA7" s="21"/>
      <c r="IB7" s="21"/>
      <c r="IC7" s="39" t="s">
        <v>59</v>
      </c>
      <c r="ID7" s="21"/>
      <c r="IE7" s="22"/>
      <c r="IF7" s="33" t="s">
        <v>35</v>
      </c>
      <c r="IG7" s="38"/>
      <c r="IH7" s="21"/>
      <c r="II7" s="39" t="s">
        <v>60</v>
      </c>
      <c r="IJ7" s="38"/>
      <c r="IK7" s="21"/>
      <c r="IL7" s="21"/>
      <c r="IM7" s="21"/>
      <c r="IN7" s="21"/>
      <c r="IO7" s="21"/>
      <c r="IP7" s="39" t="s">
        <v>59</v>
      </c>
      <c r="IQ7" s="21"/>
      <c r="IR7" s="22"/>
      <c r="IS7" s="33" t="s">
        <v>35</v>
      </c>
      <c r="IT7" s="38"/>
      <c r="IU7" s="21"/>
      <c r="IV7" s="39" t="s">
        <v>60</v>
      </c>
      <c r="IW7" s="38"/>
      <c r="IY7" s="21"/>
      <c r="IZ7" s="21"/>
      <c r="JA7" s="21"/>
      <c r="JB7" s="21"/>
      <c r="JC7" s="21"/>
      <c r="JD7" s="39" t="s">
        <v>59</v>
      </c>
      <c r="JE7" s="21"/>
      <c r="JF7" s="22"/>
      <c r="JG7" s="33" t="s">
        <v>35</v>
      </c>
      <c r="JH7" s="38"/>
      <c r="JI7" s="21"/>
      <c r="JJ7" s="39" t="s">
        <v>60</v>
      </c>
      <c r="JK7" s="38"/>
      <c r="JL7" s="21"/>
      <c r="JM7" s="21"/>
      <c r="JN7" s="21"/>
      <c r="JO7" s="21"/>
      <c r="JP7" s="21"/>
      <c r="JQ7" s="39" t="s">
        <v>59</v>
      </c>
      <c r="JR7" s="21"/>
      <c r="JS7" s="22"/>
      <c r="JT7" s="33" t="s">
        <v>35</v>
      </c>
      <c r="JU7" s="38"/>
      <c r="JV7" s="21"/>
      <c r="JW7" s="39" t="s">
        <v>60</v>
      </c>
      <c r="JX7" s="38"/>
      <c r="JZ7" s="21"/>
      <c r="KA7" s="21"/>
      <c r="KB7" s="21"/>
      <c r="KC7" s="21"/>
      <c r="KD7" s="21"/>
      <c r="KE7" s="39" t="s">
        <v>59</v>
      </c>
      <c r="KF7" s="21"/>
      <c r="KG7" s="22"/>
      <c r="KH7" s="33" t="s">
        <v>35</v>
      </c>
      <c r="KI7" s="38"/>
      <c r="KJ7" s="21"/>
      <c r="KK7" s="39" t="s">
        <v>60</v>
      </c>
      <c r="KL7" s="38"/>
    </row>
    <row r="8" spans="1:298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C8" s="165" t="s">
        <v>0</v>
      </c>
      <c r="BD8" s="166"/>
      <c r="BE8" s="42" t="s">
        <v>7</v>
      </c>
      <c r="BF8" s="42" t="s">
        <v>8</v>
      </c>
      <c r="BG8" s="42" t="s">
        <v>7</v>
      </c>
      <c r="BH8" s="42" t="s">
        <v>8</v>
      </c>
      <c r="BI8" s="83" t="s">
        <v>9</v>
      </c>
      <c r="BJ8" s="23" t="s">
        <v>10</v>
      </c>
      <c r="BK8" s="34" t="s">
        <v>34</v>
      </c>
      <c r="BL8" s="83" t="s">
        <v>11</v>
      </c>
      <c r="BM8" s="42" t="s">
        <v>13</v>
      </c>
      <c r="BN8" s="83" t="s">
        <v>14</v>
      </c>
      <c r="BO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E8" s="165" t="s">
        <v>0</v>
      </c>
      <c r="CF8" s="166"/>
      <c r="CG8" s="42" t="s">
        <v>7</v>
      </c>
      <c r="CH8" s="42" t="s">
        <v>8</v>
      </c>
      <c r="CI8" s="42" t="s">
        <v>7</v>
      </c>
      <c r="CJ8" s="42" t="s">
        <v>8</v>
      </c>
      <c r="CK8" s="83" t="s">
        <v>9</v>
      </c>
      <c r="CL8" s="23" t="s">
        <v>10</v>
      </c>
      <c r="CM8" s="34" t="s">
        <v>34</v>
      </c>
      <c r="CN8" s="83" t="s">
        <v>11</v>
      </c>
      <c r="CO8" s="42" t="s">
        <v>13</v>
      </c>
      <c r="CP8" s="83" t="s">
        <v>14</v>
      </c>
      <c r="CQ8" s="42" t="s">
        <v>15</v>
      </c>
      <c r="CR8" s="165" t="s">
        <v>0</v>
      </c>
      <c r="CS8" s="166"/>
      <c r="CT8" s="42" t="s">
        <v>7</v>
      </c>
      <c r="CU8" s="42" t="s">
        <v>8</v>
      </c>
      <c r="CV8" s="42" t="s">
        <v>7</v>
      </c>
      <c r="CW8" s="42" t="s">
        <v>8</v>
      </c>
      <c r="CX8" s="83" t="s">
        <v>9</v>
      </c>
      <c r="CY8" s="23" t="s">
        <v>10</v>
      </c>
      <c r="CZ8" s="34" t="s">
        <v>34</v>
      </c>
      <c r="DA8" s="83" t="s">
        <v>11</v>
      </c>
      <c r="DB8" s="42" t="s">
        <v>13</v>
      </c>
      <c r="DC8" s="83" t="s">
        <v>14</v>
      </c>
      <c r="DD8" s="42" t="s">
        <v>15</v>
      </c>
      <c r="DF8" s="165" t="s">
        <v>0</v>
      </c>
      <c r="DG8" s="166"/>
      <c r="DH8" s="42" t="s">
        <v>7</v>
      </c>
      <c r="DI8" s="42" t="s">
        <v>8</v>
      </c>
      <c r="DJ8" s="42" t="s">
        <v>7</v>
      </c>
      <c r="DK8" s="42" t="s">
        <v>8</v>
      </c>
      <c r="DL8" s="83" t="s">
        <v>9</v>
      </c>
      <c r="DM8" s="23" t="s">
        <v>10</v>
      </c>
      <c r="DN8" s="34" t="s">
        <v>34</v>
      </c>
      <c r="DO8" s="83" t="s">
        <v>11</v>
      </c>
      <c r="DP8" s="42" t="s">
        <v>13</v>
      </c>
      <c r="DQ8" s="83" t="s">
        <v>14</v>
      </c>
      <c r="DR8" s="42" t="s">
        <v>15</v>
      </c>
      <c r="DT8" s="165" t="s">
        <v>0</v>
      </c>
      <c r="DU8" s="166"/>
      <c r="DV8" s="42" t="s">
        <v>7</v>
      </c>
      <c r="DW8" s="42" t="s">
        <v>8</v>
      </c>
      <c r="DX8" s="42" t="s">
        <v>7</v>
      </c>
      <c r="DY8" s="42" t="s">
        <v>8</v>
      </c>
      <c r="DZ8" s="83" t="s">
        <v>9</v>
      </c>
      <c r="EA8" s="23" t="s">
        <v>10</v>
      </c>
      <c r="EB8" s="34" t="s">
        <v>34</v>
      </c>
      <c r="EC8" s="83" t="s">
        <v>11</v>
      </c>
      <c r="ED8" s="42" t="s">
        <v>13</v>
      </c>
      <c r="EE8" s="83" t="s">
        <v>14</v>
      </c>
      <c r="EF8" s="42" t="s">
        <v>15</v>
      </c>
      <c r="EG8" s="165" t="s">
        <v>0</v>
      </c>
      <c r="EH8" s="166"/>
      <c r="EI8" s="42" t="s">
        <v>7</v>
      </c>
      <c r="EJ8" s="42" t="s">
        <v>8</v>
      </c>
      <c r="EK8" s="42" t="s">
        <v>7</v>
      </c>
      <c r="EL8" s="42" t="s">
        <v>8</v>
      </c>
      <c r="EM8" s="83" t="s">
        <v>9</v>
      </c>
      <c r="EN8" s="23" t="s">
        <v>10</v>
      </c>
      <c r="EO8" s="34" t="s">
        <v>34</v>
      </c>
      <c r="EP8" s="83" t="s">
        <v>11</v>
      </c>
      <c r="EQ8" s="42" t="s">
        <v>13</v>
      </c>
      <c r="ER8" s="83" t="s">
        <v>14</v>
      </c>
      <c r="ES8" s="42" t="s">
        <v>15</v>
      </c>
      <c r="EU8" s="165" t="s">
        <v>0</v>
      </c>
      <c r="EV8" s="166"/>
      <c r="EW8" s="42" t="s">
        <v>7</v>
      </c>
      <c r="EX8" s="42" t="s">
        <v>8</v>
      </c>
      <c r="EY8" s="42" t="s">
        <v>7</v>
      </c>
      <c r="EZ8" s="42" t="s">
        <v>8</v>
      </c>
      <c r="FA8" s="83" t="s">
        <v>9</v>
      </c>
      <c r="FB8" s="23" t="s">
        <v>10</v>
      </c>
      <c r="FC8" s="34" t="s">
        <v>34</v>
      </c>
      <c r="FD8" s="83" t="s">
        <v>11</v>
      </c>
      <c r="FE8" s="42" t="s">
        <v>13</v>
      </c>
      <c r="FF8" s="83" t="s">
        <v>14</v>
      </c>
      <c r="FG8" s="42" t="s">
        <v>15</v>
      </c>
      <c r="FH8" s="165" t="s">
        <v>0</v>
      </c>
      <c r="FI8" s="166"/>
      <c r="FJ8" s="42" t="s">
        <v>7</v>
      </c>
      <c r="FK8" s="42" t="s">
        <v>8</v>
      </c>
      <c r="FL8" s="42" t="s">
        <v>7</v>
      </c>
      <c r="FM8" s="42" t="s">
        <v>8</v>
      </c>
      <c r="FN8" s="83" t="s">
        <v>9</v>
      </c>
      <c r="FO8" s="23" t="s">
        <v>10</v>
      </c>
      <c r="FP8" s="34" t="s">
        <v>34</v>
      </c>
      <c r="FQ8" s="83" t="s">
        <v>11</v>
      </c>
      <c r="FR8" s="42" t="s">
        <v>13</v>
      </c>
      <c r="FS8" s="83" t="s">
        <v>14</v>
      </c>
      <c r="FT8" s="42" t="s">
        <v>15</v>
      </c>
      <c r="FV8" s="165" t="s">
        <v>0</v>
      </c>
      <c r="FW8" s="166"/>
      <c r="FX8" s="42" t="s">
        <v>7</v>
      </c>
      <c r="FY8" s="42" t="s">
        <v>8</v>
      </c>
      <c r="FZ8" s="42" t="s">
        <v>7</v>
      </c>
      <c r="GA8" s="42" t="s">
        <v>8</v>
      </c>
      <c r="GB8" s="83" t="s">
        <v>9</v>
      </c>
      <c r="GC8" s="23" t="s">
        <v>10</v>
      </c>
      <c r="GD8" s="34" t="s">
        <v>34</v>
      </c>
      <c r="GE8" s="83" t="s">
        <v>11</v>
      </c>
      <c r="GF8" s="42" t="s">
        <v>13</v>
      </c>
      <c r="GG8" s="83" t="s">
        <v>14</v>
      </c>
      <c r="GH8" s="42" t="s">
        <v>15</v>
      </c>
      <c r="GI8" s="165" t="s">
        <v>0</v>
      </c>
      <c r="GJ8" s="166"/>
      <c r="GK8" s="42" t="s">
        <v>7</v>
      </c>
      <c r="GL8" s="42" t="s">
        <v>8</v>
      </c>
      <c r="GM8" s="42" t="s">
        <v>7</v>
      </c>
      <c r="GN8" s="42" t="s">
        <v>8</v>
      </c>
      <c r="GO8" s="83" t="s">
        <v>9</v>
      </c>
      <c r="GP8" s="23" t="s">
        <v>10</v>
      </c>
      <c r="GQ8" s="34" t="s">
        <v>34</v>
      </c>
      <c r="GR8" s="83" t="s">
        <v>11</v>
      </c>
      <c r="GS8" s="42" t="s">
        <v>13</v>
      </c>
      <c r="GT8" s="83" t="s">
        <v>14</v>
      </c>
      <c r="GU8" s="42" t="s">
        <v>15</v>
      </c>
      <c r="GW8" s="165" t="s">
        <v>0</v>
      </c>
      <c r="GX8" s="166"/>
      <c r="GY8" s="42" t="s">
        <v>7</v>
      </c>
      <c r="GZ8" s="42" t="s">
        <v>8</v>
      </c>
      <c r="HA8" s="42" t="s">
        <v>7</v>
      </c>
      <c r="HB8" s="42" t="s">
        <v>8</v>
      </c>
      <c r="HC8" s="83" t="s">
        <v>9</v>
      </c>
      <c r="HD8" s="23" t="s">
        <v>10</v>
      </c>
      <c r="HE8" s="34" t="s">
        <v>34</v>
      </c>
      <c r="HF8" s="83" t="s">
        <v>11</v>
      </c>
      <c r="HG8" s="42" t="s">
        <v>13</v>
      </c>
      <c r="HH8" s="83" t="s">
        <v>14</v>
      </c>
      <c r="HI8" s="42" t="s">
        <v>15</v>
      </c>
      <c r="HJ8" s="165" t="s">
        <v>0</v>
      </c>
      <c r="HK8" s="166"/>
      <c r="HL8" s="42" t="s">
        <v>7</v>
      </c>
      <c r="HM8" s="42" t="s">
        <v>8</v>
      </c>
      <c r="HN8" s="42" t="s">
        <v>7</v>
      </c>
      <c r="HO8" s="42" t="s">
        <v>8</v>
      </c>
      <c r="HP8" s="83" t="s">
        <v>9</v>
      </c>
      <c r="HQ8" s="23" t="s">
        <v>10</v>
      </c>
      <c r="HR8" s="34" t="s">
        <v>34</v>
      </c>
      <c r="HS8" s="83" t="s">
        <v>11</v>
      </c>
      <c r="HT8" s="42" t="s">
        <v>13</v>
      </c>
      <c r="HU8" s="83" t="s">
        <v>14</v>
      </c>
      <c r="HV8" s="42" t="s">
        <v>15</v>
      </c>
      <c r="HX8" s="165" t="s">
        <v>0</v>
      </c>
      <c r="HY8" s="166"/>
      <c r="HZ8" s="42" t="s">
        <v>7</v>
      </c>
      <c r="IA8" s="42" t="s">
        <v>8</v>
      </c>
      <c r="IB8" s="42" t="s">
        <v>7</v>
      </c>
      <c r="IC8" s="42" t="s">
        <v>8</v>
      </c>
      <c r="ID8" s="83" t="s">
        <v>9</v>
      </c>
      <c r="IE8" s="23" t="s">
        <v>10</v>
      </c>
      <c r="IF8" s="34" t="s">
        <v>34</v>
      </c>
      <c r="IG8" s="83" t="s">
        <v>11</v>
      </c>
      <c r="IH8" s="42" t="s">
        <v>13</v>
      </c>
      <c r="II8" s="83" t="s">
        <v>14</v>
      </c>
      <c r="IJ8" s="42" t="s">
        <v>15</v>
      </c>
      <c r="IK8" s="165" t="s">
        <v>0</v>
      </c>
      <c r="IL8" s="166"/>
      <c r="IM8" s="42" t="s">
        <v>7</v>
      </c>
      <c r="IN8" s="42" t="s">
        <v>8</v>
      </c>
      <c r="IO8" s="42" t="s">
        <v>7</v>
      </c>
      <c r="IP8" s="42" t="s">
        <v>8</v>
      </c>
      <c r="IQ8" s="83" t="s">
        <v>9</v>
      </c>
      <c r="IR8" s="23" t="s">
        <v>10</v>
      </c>
      <c r="IS8" s="34" t="s">
        <v>34</v>
      </c>
      <c r="IT8" s="83" t="s">
        <v>11</v>
      </c>
      <c r="IU8" s="42" t="s">
        <v>13</v>
      </c>
      <c r="IV8" s="83" t="s">
        <v>14</v>
      </c>
      <c r="IW8" s="42" t="s">
        <v>15</v>
      </c>
      <c r="IY8" s="165" t="s">
        <v>0</v>
      </c>
      <c r="IZ8" s="166"/>
      <c r="JA8" s="42" t="s">
        <v>7</v>
      </c>
      <c r="JB8" s="42" t="s">
        <v>8</v>
      </c>
      <c r="JC8" s="42" t="s">
        <v>7</v>
      </c>
      <c r="JD8" s="42" t="s">
        <v>8</v>
      </c>
      <c r="JE8" s="83" t="s">
        <v>9</v>
      </c>
      <c r="JF8" s="23" t="s">
        <v>10</v>
      </c>
      <c r="JG8" s="34" t="s">
        <v>34</v>
      </c>
      <c r="JH8" s="83" t="s">
        <v>11</v>
      </c>
      <c r="JI8" s="42" t="s">
        <v>13</v>
      </c>
      <c r="JJ8" s="83" t="s">
        <v>14</v>
      </c>
      <c r="JK8" s="42" t="s">
        <v>15</v>
      </c>
      <c r="JL8" s="165" t="s">
        <v>0</v>
      </c>
      <c r="JM8" s="166"/>
      <c r="JN8" s="42" t="s">
        <v>7</v>
      </c>
      <c r="JO8" s="42" t="s">
        <v>8</v>
      </c>
      <c r="JP8" s="42" t="s">
        <v>7</v>
      </c>
      <c r="JQ8" s="42" t="s">
        <v>8</v>
      </c>
      <c r="JR8" s="83" t="s">
        <v>9</v>
      </c>
      <c r="JS8" s="23" t="s">
        <v>10</v>
      </c>
      <c r="JT8" s="34" t="s">
        <v>34</v>
      </c>
      <c r="JU8" s="83" t="s">
        <v>11</v>
      </c>
      <c r="JV8" s="42" t="s">
        <v>13</v>
      </c>
      <c r="JW8" s="83" t="s">
        <v>14</v>
      </c>
      <c r="JX8" s="42" t="s">
        <v>15</v>
      </c>
      <c r="JZ8" s="165" t="s">
        <v>0</v>
      </c>
      <c r="KA8" s="166"/>
      <c r="KB8" s="42" t="s">
        <v>7</v>
      </c>
      <c r="KC8" s="42" t="s">
        <v>8</v>
      </c>
      <c r="KD8" s="42" t="s">
        <v>7</v>
      </c>
      <c r="KE8" s="42" t="s">
        <v>8</v>
      </c>
      <c r="KF8" s="83" t="s">
        <v>9</v>
      </c>
      <c r="KG8" s="23" t="s">
        <v>10</v>
      </c>
      <c r="KH8" s="34" t="s">
        <v>34</v>
      </c>
      <c r="KI8" s="83" t="s">
        <v>11</v>
      </c>
      <c r="KJ8" s="42" t="s">
        <v>13</v>
      </c>
      <c r="KK8" s="83" t="s">
        <v>14</v>
      </c>
      <c r="KL8" s="42" t="s">
        <v>15</v>
      </c>
    </row>
    <row r="9" spans="1:298" ht="17.149999999999999" customHeight="1" x14ac:dyDescent="0.35">
      <c r="A9" s="88" t="s">
        <v>216</v>
      </c>
      <c r="B9" s="88">
        <v>1</v>
      </c>
      <c r="C9" s="89"/>
      <c r="D9" s="138"/>
      <c r="E9" s="138">
        <v>0</v>
      </c>
      <c r="F9" s="89"/>
      <c r="G9" s="89">
        <f t="shared" ref="G9:G38" si="0">SUM(D9-C9)+(F9-E9)</f>
        <v>0</v>
      </c>
      <c r="H9" s="90"/>
      <c r="I9" s="89"/>
      <c r="J9" s="91">
        <f t="shared" ref="J9:J38" si="1">SUM((G9-H9)-I9)</f>
        <v>0</v>
      </c>
      <c r="K9" s="88"/>
      <c r="L9" s="88">
        <f t="shared" ref="L9:L38" si="2">SUM(J9-K9)*100</f>
        <v>0</v>
      </c>
      <c r="M9" s="134"/>
      <c r="O9" s="88" t="s">
        <v>216</v>
      </c>
      <c r="P9" s="88">
        <v>1</v>
      </c>
      <c r="Q9" s="89"/>
      <c r="R9" s="138"/>
      <c r="S9" s="138">
        <v>0</v>
      </c>
      <c r="T9" s="89"/>
      <c r="U9" s="89">
        <f t="shared" ref="U9:U38" si="3">SUM(R9-Q9)+(T9-S9)</f>
        <v>0</v>
      </c>
      <c r="V9" s="90"/>
      <c r="W9" s="89"/>
      <c r="X9" s="91">
        <f t="shared" ref="X9:X38" si="4">SUM((U9-V9)-W9)</f>
        <v>0</v>
      </c>
      <c r="Y9" s="88"/>
      <c r="Z9" s="88">
        <f t="shared" ref="Z9:Z38" si="5">SUM(X9-Y9)*100</f>
        <v>0</v>
      </c>
      <c r="AA9" s="134"/>
      <c r="AB9" s="88" t="s">
        <v>216</v>
      </c>
      <c r="AC9" s="88">
        <v>1</v>
      </c>
      <c r="AD9" s="89">
        <v>7.15</v>
      </c>
      <c r="AE9" s="138"/>
      <c r="AF9" s="138">
        <v>0</v>
      </c>
      <c r="AG9" s="89">
        <v>12.93</v>
      </c>
      <c r="AH9" s="89">
        <f t="shared" ref="AH9:AH38" si="6">SUM(AE9-AD9)+(AG9-AF9)</f>
        <v>5.7799999999999994</v>
      </c>
      <c r="AI9" s="90"/>
      <c r="AJ9" s="89">
        <v>1.4</v>
      </c>
      <c r="AK9" s="91">
        <f t="shared" ref="AK9:AK38" si="7">SUM((AH9-AI9)-AJ9)</f>
        <v>4.379999999999999</v>
      </c>
      <c r="AL9" s="88">
        <v>4</v>
      </c>
      <c r="AM9" s="88">
        <f t="shared" ref="AM9:AM38" si="8">SUM(AK9-AL9)*100</f>
        <v>37.999999999999901</v>
      </c>
      <c r="AN9" s="134"/>
      <c r="AP9" s="88" t="s">
        <v>216</v>
      </c>
      <c r="AQ9" s="88">
        <v>1</v>
      </c>
      <c r="AR9" s="89"/>
      <c r="AS9" s="138"/>
      <c r="AT9" s="138">
        <v>0</v>
      </c>
      <c r="AU9" s="89"/>
      <c r="AV9" s="89">
        <f t="shared" ref="AV9:AV38" si="9">SUM(AS9-AR9)+(AU9-AT9)</f>
        <v>0</v>
      </c>
      <c r="AW9" s="90"/>
      <c r="AX9" s="89"/>
      <c r="AY9" s="91">
        <f t="shared" ref="AY9:AY38" si="10">SUM((AV9-AW9)-AX9)</f>
        <v>0</v>
      </c>
      <c r="AZ9" s="88"/>
      <c r="BA9" s="88">
        <f t="shared" ref="BA9:BA38" si="11">SUM(AY9-AZ9)*100</f>
        <v>0</v>
      </c>
      <c r="BB9" s="134"/>
      <c r="BC9" s="88"/>
      <c r="BD9" s="88"/>
      <c r="BE9" s="89"/>
      <c r="BF9" s="89"/>
      <c r="BG9" s="89"/>
      <c r="BH9" s="89"/>
      <c r="BI9" s="89"/>
      <c r="BJ9" s="90"/>
      <c r="BK9" s="89"/>
      <c r="BL9" s="91"/>
      <c r="BM9" s="88"/>
      <c r="BN9" s="92"/>
      <c r="BO9" s="134"/>
      <c r="BQ9" s="88" t="s">
        <v>216</v>
      </c>
      <c r="BR9" s="88">
        <v>1</v>
      </c>
      <c r="BS9" s="89"/>
      <c r="BT9" s="138"/>
      <c r="BU9" s="138">
        <v>0</v>
      </c>
      <c r="BV9" s="89"/>
      <c r="BW9" s="89">
        <f t="shared" ref="BW9:BW38" si="12">SUM(BT9-BS9)+(BV9-BU9)</f>
        <v>0</v>
      </c>
      <c r="BX9" s="90"/>
      <c r="BY9" s="89"/>
      <c r="BZ9" s="91">
        <f t="shared" ref="BZ9:BZ38" si="13">SUM((BW9-BX9)-BY9)</f>
        <v>0</v>
      </c>
      <c r="CA9" s="88"/>
      <c r="CB9" s="88">
        <f t="shared" ref="CB9:CB38" si="14">SUM(BZ9-CA9)*100</f>
        <v>0</v>
      </c>
      <c r="CC9" s="134"/>
      <c r="CE9" s="88" t="s">
        <v>216</v>
      </c>
      <c r="CF9" s="88">
        <v>1</v>
      </c>
      <c r="CG9" s="89"/>
      <c r="CH9" s="138"/>
      <c r="CI9" s="138">
        <v>0</v>
      </c>
      <c r="CJ9" s="89"/>
      <c r="CK9" s="89">
        <f t="shared" ref="CK9:CK38" si="15">SUM(CH9-CG9)+(CJ9-CI9)</f>
        <v>0</v>
      </c>
      <c r="CL9" s="90"/>
      <c r="CM9" s="89"/>
      <c r="CN9" s="91">
        <f t="shared" ref="CN9:CN38" si="16">SUM((CK9-CL9)-CM9)</f>
        <v>0</v>
      </c>
      <c r="CO9" s="88"/>
      <c r="CP9" s="88">
        <f t="shared" ref="CP9:CP38" si="17">SUM(CN9-CO9)*100</f>
        <v>0</v>
      </c>
      <c r="CQ9" s="134"/>
      <c r="CR9" s="88" t="s">
        <v>216</v>
      </c>
      <c r="CS9" s="88">
        <v>1</v>
      </c>
      <c r="CT9" s="89"/>
      <c r="CU9" s="138"/>
      <c r="CV9" s="138">
        <v>0</v>
      </c>
      <c r="CW9" s="89"/>
      <c r="CX9" s="89">
        <f t="shared" ref="CX9:CX38" si="18">SUM(CU9-CT9)+(CW9-CV9)</f>
        <v>0</v>
      </c>
      <c r="CY9" s="90"/>
      <c r="CZ9" s="89"/>
      <c r="DA9" s="91">
        <f t="shared" ref="DA9:DA38" si="19">SUM((CX9-CY9)-CZ9)</f>
        <v>0</v>
      </c>
      <c r="DB9" s="88"/>
      <c r="DC9" s="88">
        <f t="shared" ref="DC9:DC38" si="20">SUM(DA9-DB9)*100</f>
        <v>0</v>
      </c>
      <c r="DD9" s="134"/>
      <c r="DF9" s="88" t="s">
        <v>216</v>
      </c>
      <c r="DG9" s="88">
        <v>1</v>
      </c>
      <c r="DH9" s="89"/>
      <c r="DI9" s="138"/>
      <c r="DJ9" s="138">
        <v>0</v>
      </c>
      <c r="DK9" s="89"/>
      <c r="DL9" s="89">
        <f t="shared" ref="DL9:DL38" si="21">SUM(DI9-DH9)+(DK9-DJ9)</f>
        <v>0</v>
      </c>
      <c r="DM9" s="90"/>
      <c r="DN9" s="89"/>
      <c r="DO9" s="91">
        <f t="shared" ref="DO9:DO38" si="22">SUM((DL9-DM9)-DN9)</f>
        <v>0</v>
      </c>
      <c r="DP9" s="88"/>
      <c r="DQ9" s="88">
        <f t="shared" ref="DQ9:DQ38" si="23">SUM(DO9-DP9)*100</f>
        <v>0</v>
      </c>
      <c r="DR9" s="134"/>
      <c r="DT9" s="88" t="s">
        <v>216</v>
      </c>
      <c r="DU9" s="88">
        <v>1</v>
      </c>
      <c r="DV9" s="89"/>
      <c r="DW9" s="138"/>
      <c r="DX9" s="138">
        <v>0</v>
      </c>
      <c r="DY9" s="89"/>
      <c r="DZ9" s="89">
        <f t="shared" ref="DZ9:DZ38" si="24">SUM(DW9-DV9)+(DY9-DX9)</f>
        <v>0</v>
      </c>
      <c r="EA9" s="90"/>
      <c r="EB9" s="89"/>
      <c r="EC9" s="91">
        <f t="shared" ref="EC9:EC38" si="25">SUM((DZ9-EA9)-EB9)</f>
        <v>0</v>
      </c>
      <c r="ED9" s="88"/>
      <c r="EE9" s="88">
        <f t="shared" ref="EE9:EE38" si="26">SUM(EC9-ED9)*100</f>
        <v>0</v>
      </c>
      <c r="EF9" s="134"/>
      <c r="EG9" s="88" t="s">
        <v>216</v>
      </c>
      <c r="EH9" s="88">
        <v>1</v>
      </c>
      <c r="EI9" s="89"/>
      <c r="EJ9" s="138"/>
      <c r="EK9" s="138">
        <v>0</v>
      </c>
      <c r="EL9" s="89"/>
      <c r="EM9" s="89">
        <f t="shared" ref="EM9:EM38" si="27">SUM(EJ9-EI9)+(EL9-EK9)</f>
        <v>0</v>
      </c>
      <c r="EN9" s="90"/>
      <c r="EO9" s="89"/>
      <c r="EP9" s="91">
        <f t="shared" ref="EP9:EP38" si="28">SUM((EM9-EN9)-EO9)</f>
        <v>0</v>
      </c>
      <c r="EQ9" s="88"/>
      <c r="ER9" s="88">
        <f t="shared" ref="ER9:ER38" si="29">SUM(EP9-EQ9)*100</f>
        <v>0</v>
      </c>
      <c r="ES9" s="134"/>
      <c r="EU9" s="88" t="s">
        <v>216</v>
      </c>
      <c r="EV9" s="88">
        <v>1</v>
      </c>
      <c r="EW9" s="89"/>
      <c r="EX9" s="138"/>
      <c r="EY9" s="138">
        <v>0</v>
      </c>
      <c r="EZ9" s="89">
        <v>0</v>
      </c>
      <c r="FA9" s="89">
        <v>0</v>
      </c>
      <c r="FB9" s="90"/>
      <c r="FC9" s="89"/>
      <c r="FD9" s="91">
        <f t="shared" ref="FD9:FD38" si="30">SUM((FA9-FB9)-FC9)</f>
        <v>0</v>
      </c>
      <c r="FE9" s="88"/>
      <c r="FF9" s="88">
        <f t="shared" ref="FF9:FF38" si="31">SUM(FD9-FE9)*100</f>
        <v>0</v>
      </c>
      <c r="FG9" s="134"/>
      <c r="FH9" s="88" t="s">
        <v>216</v>
      </c>
      <c r="FI9" s="88">
        <v>1</v>
      </c>
      <c r="FJ9" s="89"/>
      <c r="FK9" s="138"/>
      <c r="FL9" s="138">
        <v>0</v>
      </c>
      <c r="FM9" s="89"/>
      <c r="FN9" s="89">
        <f t="shared" ref="FN9:FN38" si="32">SUM(FK9-FJ9)+(FM9-FL9)</f>
        <v>0</v>
      </c>
      <c r="FO9" s="90"/>
      <c r="FP9" s="89"/>
      <c r="FQ9" s="91">
        <f t="shared" ref="FQ9:FQ38" si="33">SUM((FN9-FO9)-FP9)</f>
        <v>0</v>
      </c>
      <c r="FR9" s="88"/>
      <c r="FS9" s="88">
        <f t="shared" ref="FS9:FS38" si="34">SUM(FQ9-FR9)*100</f>
        <v>0</v>
      </c>
      <c r="FT9" s="134"/>
      <c r="FV9" s="88" t="s">
        <v>216</v>
      </c>
      <c r="FW9" s="88">
        <v>1</v>
      </c>
      <c r="FX9" s="89"/>
      <c r="FY9" s="138"/>
      <c r="FZ9" s="138">
        <v>0</v>
      </c>
      <c r="GA9" s="89"/>
      <c r="GB9" s="89">
        <f t="shared" ref="GB9:GB38" si="35">SUM(FY9-FX9)+(GA9-FZ9)</f>
        <v>0</v>
      </c>
      <c r="GC9" s="90"/>
      <c r="GD9" s="89"/>
      <c r="GE9" s="91">
        <f t="shared" ref="GE9:GE38" si="36">SUM((GB9-GC9)-GD9)</f>
        <v>0</v>
      </c>
      <c r="GF9" s="88"/>
      <c r="GG9" s="88">
        <f t="shared" ref="GG9:GG38" si="37">SUM(GE9-GF9)*100</f>
        <v>0</v>
      </c>
      <c r="GH9" s="134"/>
      <c r="GI9" s="88" t="s">
        <v>216</v>
      </c>
      <c r="GJ9" s="88">
        <v>1</v>
      </c>
      <c r="GK9" s="89"/>
      <c r="GL9" s="138"/>
      <c r="GM9" s="138">
        <v>0</v>
      </c>
      <c r="GN9" s="89"/>
      <c r="GO9" s="89">
        <f t="shared" ref="GO9:GO38" si="38">SUM(GL9-GK9)+(GN9-GM9)</f>
        <v>0</v>
      </c>
      <c r="GP9" s="90"/>
      <c r="GQ9" s="89"/>
      <c r="GR9" s="91">
        <f t="shared" ref="GR9:GR38" si="39">SUM((GO9-GP9)-GQ9)</f>
        <v>0</v>
      </c>
      <c r="GS9" s="88"/>
      <c r="GT9" s="88">
        <f t="shared" ref="GT9:GT38" si="40">SUM(GR9-GS9)*100</f>
        <v>0</v>
      </c>
      <c r="GU9" s="134"/>
      <c r="GW9" s="88" t="s">
        <v>216</v>
      </c>
      <c r="GX9" s="88">
        <v>1</v>
      </c>
      <c r="GY9" s="89">
        <v>8.0500000000000007</v>
      </c>
      <c r="GZ9" s="138"/>
      <c r="HA9" s="138">
        <v>0</v>
      </c>
      <c r="HB9" s="89">
        <v>10.45</v>
      </c>
      <c r="HC9" s="89">
        <f t="shared" ref="HC9:HC38" si="41">SUM(GZ9-GY9)+(HB9-HA9)</f>
        <v>2.3999999999999986</v>
      </c>
      <c r="HD9" s="90"/>
      <c r="HE9" s="89"/>
      <c r="HF9" s="91">
        <f t="shared" ref="HF9:HF38" si="42">SUM((HC9-HD9)-HE9)</f>
        <v>2.3999999999999986</v>
      </c>
      <c r="HG9" s="88">
        <v>2</v>
      </c>
      <c r="HH9" s="88">
        <f t="shared" ref="HH9:HH38" si="43">SUM(HF9-HG9)*100</f>
        <v>39.999999999999858</v>
      </c>
      <c r="HI9" s="134"/>
      <c r="HJ9" s="88" t="s">
        <v>216</v>
      </c>
      <c r="HK9" s="88">
        <v>1</v>
      </c>
      <c r="HL9" s="89"/>
      <c r="HM9" s="138"/>
      <c r="HN9" s="138">
        <v>0</v>
      </c>
      <c r="HO9" s="89"/>
      <c r="HP9" s="89">
        <f t="shared" ref="HP9:HP38" si="44">SUM(HM9-HL9)+(HO9-HN9)</f>
        <v>0</v>
      </c>
      <c r="HQ9" s="90"/>
      <c r="HR9" s="89"/>
      <c r="HS9" s="91">
        <f t="shared" ref="HS9:HS38" si="45">SUM((HP9-HQ9)-HR9)</f>
        <v>0</v>
      </c>
      <c r="HT9" s="88"/>
      <c r="HU9" s="88">
        <f t="shared" ref="HU9:HU38" si="46">SUM(HS9-HT9)*100</f>
        <v>0</v>
      </c>
      <c r="HV9" s="134"/>
      <c r="HX9" s="88"/>
      <c r="HY9" s="88"/>
      <c r="HZ9" s="89"/>
      <c r="IA9" s="89"/>
      <c r="IB9" s="89"/>
      <c r="IC9" s="89"/>
      <c r="ID9" s="89"/>
      <c r="IE9" s="90"/>
      <c r="IF9" s="89"/>
      <c r="IG9" s="91"/>
      <c r="IH9" s="88"/>
      <c r="II9" s="92"/>
      <c r="IJ9" s="134"/>
      <c r="IK9" s="88" t="s">
        <v>216</v>
      </c>
      <c r="IL9" s="88">
        <v>1</v>
      </c>
      <c r="IM9" s="89"/>
      <c r="IN9" s="138"/>
      <c r="IO9" s="138">
        <v>0</v>
      </c>
      <c r="IP9" s="89"/>
      <c r="IQ9" s="89">
        <f t="shared" ref="IQ9:IQ38" si="47">SUM(IN9-IM9)+(IP9-IO9)</f>
        <v>0</v>
      </c>
      <c r="IR9" s="90"/>
      <c r="IS9" s="89"/>
      <c r="IT9" s="91">
        <f t="shared" ref="IT9:IT38" si="48">SUM((IQ9-IR9)-IS9)</f>
        <v>0</v>
      </c>
      <c r="IU9" s="88"/>
      <c r="IV9" s="88">
        <f t="shared" ref="IV9:IV38" si="49">SUM(IT9-IU9)*100</f>
        <v>0</v>
      </c>
      <c r="IW9" s="134"/>
      <c r="IY9" s="88" t="s">
        <v>216</v>
      </c>
      <c r="IZ9" s="88">
        <v>1</v>
      </c>
      <c r="JA9" s="89"/>
      <c r="JB9" s="138"/>
      <c r="JC9" s="138">
        <v>0</v>
      </c>
      <c r="JD9" s="89"/>
      <c r="JE9" s="89">
        <f t="shared" ref="JE9:JE38" si="50">SUM(JB9-JA9)+(JD9-JC9)</f>
        <v>0</v>
      </c>
      <c r="JF9" s="90"/>
      <c r="JG9" s="89"/>
      <c r="JH9" s="91">
        <f t="shared" ref="JH9:JH38" si="51">SUM((JE9-JF9)-JG9)</f>
        <v>0</v>
      </c>
      <c r="JI9" s="88"/>
      <c r="JJ9" s="88">
        <f t="shared" ref="JJ9:JJ38" si="52">SUM(JH9-JI9)*100</f>
        <v>0</v>
      </c>
      <c r="JK9" s="134"/>
      <c r="JL9" s="88" t="s">
        <v>216</v>
      </c>
      <c r="JM9" s="88">
        <v>1</v>
      </c>
      <c r="JN9" s="89"/>
      <c r="JO9" s="138"/>
      <c r="JP9" s="138">
        <v>0</v>
      </c>
      <c r="JQ9" s="89"/>
      <c r="JR9" s="89">
        <f t="shared" ref="JR9:JR38" si="53">SUM(JO9-JN9)+(JQ9-JP9)</f>
        <v>0</v>
      </c>
      <c r="JS9" s="90"/>
      <c r="JT9" s="89"/>
      <c r="JU9" s="91">
        <f t="shared" ref="JU9:JU38" si="54">SUM((JR9-JS9)-JT9)</f>
        <v>0</v>
      </c>
      <c r="JV9" s="88"/>
      <c r="JW9" s="88">
        <f t="shared" ref="JW9:JW38" si="55">SUM(JU9-JV9)*100</f>
        <v>0</v>
      </c>
      <c r="JX9" s="134"/>
      <c r="JZ9" s="88" t="s">
        <v>216</v>
      </c>
      <c r="KA9" s="88">
        <v>1</v>
      </c>
      <c r="KB9" s="89"/>
      <c r="KC9" s="138"/>
      <c r="KD9" s="138">
        <v>0</v>
      </c>
      <c r="KE9" s="89"/>
      <c r="KF9" s="89">
        <f t="shared" ref="KF9:KF38" si="56">SUM(KC9-KB9)+(KE9-KD9)</f>
        <v>0</v>
      </c>
      <c r="KG9" s="90"/>
      <c r="KH9" s="89"/>
      <c r="KI9" s="91">
        <f t="shared" ref="KI9:KI38" si="57">SUM((KF9-KG9)-KH9)</f>
        <v>0</v>
      </c>
      <c r="KJ9" s="88"/>
      <c r="KK9" s="88">
        <f t="shared" ref="KK9:KK38" si="58">SUM(KI9-KJ9)*100</f>
        <v>0</v>
      </c>
      <c r="KL9" s="134"/>
    </row>
    <row r="10" spans="1:298" s="54" customFormat="1" ht="17.149999999999999" customHeight="1" x14ac:dyDescent="0.35">
      <c r="A10" s="86" t="s">
        <v>2</v>
      </c>
      <c r="B10" s="86">
        <v>2</v>
      </c>
      <c r="C10" s="58">
        <v>7.15</v>
      </c>
      <c r="D10" s="96"/>
      <c r="E10" s="96"/>
      <c r="F10" s="53">
        <v>19.98</v>
      </c>
      <c r="G10" s="58">
        <f t="shared" si="0"/>
        <v>12.83</v>
      </c>
      <c r="H10" s="97">
        <v>7.3</v>
      </c>
      <c r="I10" s="58">
        <v>1</v>
      </c>
      <c r="J10" s="59">
        <f t="shared" si="1"/>
        <v>4.53</v>
      </c>
      <c r="K10" s="86">
        <v>4</v>
      </c>
      <c r="L10" s="86">
        <f t="shared" si="2"/>
        <v>53.000000000000028</v>
      </c>
      <c r="M10" s="98"/>
      <c r="N10"/>
      <c r="O10" s="86" t="s">
        <v>2</v>
      </c>
      <c r="P10" s="86">
        <v>2</v>
      </c>
      <c r="Q10" s="58">
        <v>7.15</v>
      </c>
      <c r="R10" s="96"/>
      <c r="S10" s="96"/>
      <c r="T10" s="53">
        <v>19.97</v>
      </c>
      <c r="U10" s="58">
        <f t="shared" si="3"/>
        <v>12.819999999999999</v>
      </c>
      <c r="V10" s="97">
        <v>7.3</v>
      </c>
      <c r="W10" s="58">
        <v>1</v>
      </c>
      <c r="X10" s="59">
        <f t="shared" si="4"/>
        <v>4.5199999999999987</v>
      </c>
      <c r="Y10" s="86">
        <v>4</v>
      </c>
      <c r="Z10" s="86">
        <f t="shared" si="5"/>
        <v>51.999999999999872</v>
      </c>
      <c r="AA10" s="98"/>
      <c r="AB10" s="86" t="s">
        <v>2</v>
      </c>
      <c r="AC10" s="86">
        <v>2</v>
      </c>
      <c r="AD10" s="58">
        <v>7.15</v>
      </c>
      <c r="AE10" s="96"/>
      <c r="AF10" s="96"/>
      <c r="AG10" s="53">
        <v>18.63</v>
      </c>
      <c r="AH10" s="58">
        <f t="shared" si="6"/>
        <v>11.479999999999999</v>
      </c>
      <c r="AI10" s="97">
        <v>7.3</v>
      </c>
      <c r="AJ10" s="58">
        <v>1</v>
      </c>
      <c r="AK10" s="59">
        <f t="shared" si="7"/>
        <v>3.1799999999999988</v>
      </c>
      <c r="AL10" s="86">
        <v>3</v>
      </c>
      <c r="AM10" s="86">
        <f t="shared" si="8"/>
        <v>17.999999999999883</v>
      </c>
      <c r="AN10" s="98"/>
      <c r="AO10"/>
      <c r="AP10" s="86" t="s">
        <v>2</v>
      </c>
      <c r="AQ10" s="86">
        <v>2</v>
      </c>
      <c r="AR10" s="58">
        <v>7.2</v>
      </c>
      <c r="AS10" s="96"/>
      <c r="AT10" s="96"/>
      <c r="AU10" s="53">
        <v>20.59</v>
      </c>
      <c r="AV10" s="58">
        <f t="shared" si="9"/>
        <v>13.39</v>
      </c>
      <c r="AW10" s="97">
        <v>7.3</v>
      </c>
      <c r="AX10" s="58">
        <v>1</v>
      </c>
      <c r="AY10" s="59">
        <f t="shared" si="10"/>
        <v>5.0900000000000007</v>
      </c>
      <c r="AZ10" s="86">
        <v>5</v>
      </c>
      <c r="BA10" s="86">
        <f t="shared" si="11"/>
        <v>9.0000000000000746</v>
      </c>
      <c r="BB10" s="98"/>
      <c r="BC10" s="55"/>
      <c r="BD10" s="55"/>
      <c r="BE10" s="52"/>
      <c r="BF10" s="52"/>
      <c r="BG10" s="52"/>
      <c r="BH10" s="52"/>
      <c r="BI10" s="52"/>
      <c r="BJ10" s="56"/>
      <c r="BK10" s="52"/>
      <c r="BL10" s="57"/>
      <c r="BM10" s="55"/>
      <c r="BN10" s="82"/>
      <c r="BO10" s="95"/>
      <c r="BP10"/>
      <c r="BQ10" s="86" t="s">
        <v>2</v>
      </c>
      <c r="BR10" s="86">
        <v>2</v>
      </c>
      <c r="BS10" s="58">
        <v>7.1</v>
      </c>
      <c r="BT10" s="96"/>
      <c r="BU10" s="96"/>
      <c r="BV10" s="53">
        <v>20.43</v>
      </c>
      <c r="BW10" s="58">
        <f t="shared" si="12"/>
        <v>13.33</v>
      </c>
      <c r="BX10" s="97">
        <v>7.3</v>
      </c>
      <c r="BY10" s="58">
        <v>1</v>
      </c>
      <c r="BZ10" s="59">
        <f t="shared" si="13"/>
        <v>5.03</v>
      </c>
      <c r="CA10" s="86">
        <v>5</v>
      </c>
      <c r="CB10" s="86">
        <f t="shared" si="14"/>
        <v>3.0000000000000249</v>
      </c>
      <c r="CC10" s="98"/>
      <c r="CD10"/>
      <c r="CE10" s="86" t="s">
        <v>2</v>
      </c>
      <c r="CF10" s="86">
        <v>2</v>
      </c>
      <c r="CG10" s="58">
        <v>7.25</v>
      </c>
      <c r="CH10" s="96"/>
      <c r="CI10" s="96"/>
      <c r="CJ10" s="53">
        <v>20.6</v>
      </c>
      <c r="CK10" s="58">
        <f t="shared" si="15"/>
        <v>13.350000000000001</v>
      </c>
      <c r="CL10" s="97">
        <v>7.3</v>
      </c>
      <c r="CM10" s="58">
        <v>1</v>
      </c>
      <c r="CN10" s="59">
        <f t="shared" si="16"/>
        <v>5.0500000000000016</v>
      </c>
      <c r="CO10" s="86">
        <v>5</v>
      </c>
      <c r="CP10" s="86">
        <f t="shared" si="17"/>
        <v>5.0000000000001599</v>
      </c>
      <c r="CQ10" s="98"/>
      <c r="CR10" s="86" t="s">
        <v>2</v>
      </c>
      <c r="CS10" s="86">
        <v>2</v>
      </c>
      <c r="CT10" s="58">
        <v>7.15</v>
      </c>
      <c r="CU10" s="96"/>
      <c r="CV10" s="96"/>
      <c r="CW10" s="53">
        <v>20.43</v>
      </c>
      <c r="CX10" s="58">
        <f t="shared" si="18"/>
        <v>13.28</v>
      </c>
      <c r="CY10" s="97">
        <v>7.3</v>
      </c>
      <c r="CZ10" s="58">
        <v>1.4</v>
      </c>
      <c r="DA10" s="59">
        <f t="shared" si="19"/>
        <v>4.58</v>
      </c>
      <c r="DB10" s="86">
        <v>4</v>
      </c>
      <c r="DC10" s="86">
        <f t="shared" si="20"/>
        <v>58.000000000000007</v>
      </c>
      <c r="DD10" s="98"/>
      <c r="DE10"/>
      <c r="DF10" s="86" t="s">
        <v>2</v>
      </c>
      <c r="DG10" s="86">
        <v>2</v>
      </c>
      <c r="DH10" s="58">
        <v>7.4</v>
      </c>
      <c r="DI10" s="96"/>
      <c r="DJ10" s="96"/>
      <c r="DK10" s="53">
        <v>19.97</v>
      </c>
      <c r="DL10" s="58">
        <f t="shared" si="21"/>
        <v>12.569999999999999</v>
      </c>
      <c r="DM10" s="97">
        <v>7.3</v>
      </c>
      <c r="DN10" s="58">
        <v>1</v>
      </c>
      <c r="DO10" s="59">
        <f t="shared" si="22"/>
        <v>4.2699999999999987</v>
      </c>
      <c r="DP10" s="86">
        <v>4</v>
      </c>
      <c r="DQ10" s="86">
        <f t="shared" si="23"/>
        <v>26.999999999999869</v>
      </c>
      <c r="DR10" s="98"/>
      <c r="DS10"/>
      <c r="DT10" s="86" t="s">
        <v>2</v>
      </c>
      <c r="DU10" s="86">
        <v>2</v>
      </c>
      <c r="DV10" s="58">
        <v>7.3</v>
      </c>
      <c r="DW10" s="96"/>
      <c r="DX10" s="96"/>
      <c r="DY10" s="53">
        <v>19.98</v>
      </c>
      <c r="DZ10" s="58">
        <f t="shared" si="24"/>
        <v>12.68</v>
      </c>
      <c r="EA10" s="97">
        <v>7.3</v>
      </c>
      <c r="EB10" s="58">
        <v>1</v>
      </c>
      <c r="EC10" s="59">
        <f t="shared" si="25"/>
        <v>4.38</v>
      </c>
      <c r="ED10" s="86">
        <v>4</v>
      </c>
      <c r="EE10" s="86">
        <f t="shared" si="26"/>
        <v>37.999999999999986</v>
      </c>
      <c r="EF10" s="98"/>
      <c r="EG10" s="86" t="s">
        <v>2</v>
      </c>
      <c r="EH10" s="86">
        <v>2</v>
      </c>
      <c r="EI10" s="58">
        <v>7.2</v>
      </c>
      <c r="EJ10" s="96"/>
      <c r="EK10" s="96"/>
      <c r="EL10" s="53">
        <v>19.97</v>
      </c>
      <c r="EM10" s="58">
        <f t="shared" si="27"/>
        <v>12.77</v>
      </c>
      <c r="EN10" s="97">
        <v>7.3</v>
      </c>
      <c r="EO10" s="58">
        <v>1</v>
      </c>
      <c r="EP10" s="59">
        <f t="shared" si="28"/>
        <v>4.47</v>
      </c>
      <c r="EQ10" s="86">
        <v>4</v>
      </c>
      <c r="ER10" s="86">
        <f t="shared" si="29"/>
        <v>46.999999999999972</v>
      </c>
      <c r="ES10" s="98"/>
      <c r="ET10"/>
      <c r="EU10" s="86" t="s">
        <v>2</v>
      </c>
      <c r="EV10" s="86">
        <v>2</v>
      </c>
      <c r="EW10" s="58">
        <v>7.1</v>
      </c>
      <c r="EX10" s="96"/>
      <c r="EY10" s="96"/>
      <c r="EZ10" s="53">
        <v>20.74</v>
      </c>
      <c r="FA10" s="58">
        <f t="shared" ref="FA10:FA38" si="59">SUM(EX10-EW10)+(EZ10-EY10)</f>
        <v>13.639999999999999</v>
      </c>
      <c r="FB10" s="97">
        <v>7.3</v>
      </c>
      <c r="FC10" s="58">
        <v>1</v>
      </c>
      <c r="FD10" s="59">
        <f t="shared" si="30"/>
        <v>5.339999999999999</v>
      </c>
      <c r="FE10" s="86">
        <v>5</v>
      </c>
      <c r="FF10" s="86">
        <f t="shared" si="31"/>
        <v>33.999999999999901</v>
      </c>
      <c r="FG10" s="98"/>
      <c r="FH10" s="86" t="s">
        <v>2</v>
      </c>
      <c r="FI10" s="86">
        <v>2</v>
      </c>
      <c r="FJ10" s="58">
        <v>7.1</v>
      </c>
      <c r="FK10" s="96"/>
      <c r="FL10" s="96"/>
      <c r="FM10" s="53">
        <v>20.69</v>
      </c>
      <c r="FN10" s="58">
        <f t="shared" si="32"/>
        <v>13.590000000000002</v>
      </c>
      <c r="FO10" s="97">
        <v>7.3</v>
      </c>
      <c r="FP10" s="58">
        <v>1</v>
      </c>
      <c r="FQ10" s="59">
        <f t="shared" si="33"/>
        <v>5.2900000000000018</v>
      </c>
      <c r="FR10" s="86">
        <v>5</v>
      </c>
      <c r="FS10" s="86">
        <f t="shared" si="34"/>
        <v>29.000000000000181</v>
      </c>
      <c r="FT10" s="98"/>
      <c r="FU10"/>
      <c r="FV10" s="86" t="s">
        <v>2</v>
      </c>
      <c r="FW10" s="86">
        <v>2</v>
      </c>
      <c r="FX10" s="58">
        <v>7.15</v>
      </c>
      <c r="FY10" s="96"/>
      <c r="FZ10" s="96"/>
      <c r="GA10" s="53">
        <v>19.989999999999998</v>
      </c>
      <c r="GB10" s="58">
        <f t="shared" si="35"/>
        <v>12.839999999999998</v>
      </c>
      <c r="GC10" s="97">
        <v>7.3</v>
      </c>
      <c r="GD10" s="58">
        <v>1</v>
      </c>
      <c r="GE10" s="59">
        <f t="shared" si="36"/>
        <v>4.5399999999999983</v>
      </c>
      <c r="GF10" s="86">
        <v>4</v>
      </c>
      <c r="GG10" s="86">
        <f t="shared" si="37"/>
        <v>53.999999999999829</v>
      </c>
      <c r="GH10" s="98"/>
      <c r="GI10" s="86" t="s">
        <v>2</v>
      </c>
      <c r="GJ10" s="86">
        <v>2</v>
      </c>
      <c r="GK10" s="58">
        <v>7.1</v>
      </c>
      <c r="GL10" s="96"/>
      <c r="GM10" s="96"/>
      <c r="GN10" s="53">
        <v>19.98</v>
      </c>
      <c r="GO10" s="58">
        <f t="shared" si="38"/>
        <v>12.88</v>
      </c>
      <c r="GP10" s="97">
        <v>7.3</v>
      </c>
      <c r="GQ10" s="58">
        <v>1</v>
      </c>
      <c r="GR10" s="59">
        <f t="shared" si="39"/>
        <v>4.580000000000001</v>
      </c>
      <c r="GS10" s="86">
        <v>4</v>
      </c>
      <c r="GT10" s="86">
        <f t="shared" si="40"/>
        <v>58.000000000000099</v>
      </c>
      <c r="GU10" s="98"/>
      <c r="GV10"/>
      <c r="GW10" s="86" t="s">
        <v>2</v>
      </c>
      <c r="GX10" s="86">
        <v>2</v>
      </c>
      <c r="GY10" s="58">
        <v>7.1</v>
      </c>
      <c r="GZ10" s="96"/>
      <c r="HA10" s="96"/>
      <c r="HB10" s="53">
        <v>19.98</v>
      </c>
      <c r="HC10" s="58">
        <f t="shared" si="41"/>
        <v>12.88</v>
      </c>
      <c r="HD10" s="97">
        <v>7.3</v>
      </c>
      <c r="HE10" s="58">
        <v>1</v>
      </c>
      <c r="HF10" s="59">
        <f t="shared" si="42"/>
        <v>4.580000000000001</v>
      </c>
      <c r="HG10" s="86">
        <v>4</v>
      </c>
      <c r="HH10" s="86">
        <f t="shared" si="43"/>
        <v>58.000000000000099</v>
      </c>
      <c r="HI10" s="98"/>
      <c r="HJ10" s="86" t="s">
        <v>2</v>
      </c>
      <c r="HK10" s="86">
        <v>2</v>
      </c>
      <c r="HL10" s="58">
        <v>7.1</v>
      </c>
      <c r="HM10" s="96"/>
      <c r="HN10" s="96"/>
      <c r="HO10" s="53">
        <v>20.57</v>
      </c>
      <c r="HP10" s="58">
        <f t="shared" si="44"/>
        <v>13.47</v>
      </c>
      <c r="HQ10" s="97">
        <v>7.3</v>
      </c>
      <c r="HR10" s="58">
        <v>1</v>
      </c>
      <c r="HS10" s="59">
        <f t="shared" si="45"/>
        <v>5.1700000000000008</v>
      </c>
      <c r="HT10" s="86">
        <v>5</v>
      </c>
      <c r="HU10" s="86">
        <f t="shared" si="46"/>
        <v>17.000000000000082</v>
      </c>
      <c r="HV10" s="98"/>
      <c r="HW10"/>
      <c r="HX10" s="55"/>
      <c r="HY10" s="55"/>
      <c r="HZ10" s="52"/>
      <c r="IA10" s="52"/>
      <c r="IB10" s="52"/>
      <c r="IC10" s="52"/>
      <c r="ID10" s="52"/>
      <c r="IE10" s="56"/>
      <c r="IF10" s="52"/>
      <c r="IG10" s="57"/>
      <c r="IH10" s="55"/>
      <c r="II10" s="82"/>
      <c r="IJ10" s="95"/>
      <c r="IK10" s="86" t="s">
        <v>2</v>
      </c>
      <c r="IL10" s="86">
        <v>2</v>
      </c>
      <c r="IM10" s="58">
        <v>7.05</v>
      </c>
      <c r="IN10" s="96"/>
      <c r="IO10" s="96"/>
      <c r="IP10" s="53">
        <v>19.98</v>
      </c>
      <c r="IQ10" s="58">
        <f t="shared" si="47"/>
        <v>12.93</v>
      </c>
      <c r="IR10" s="97">
        <v>7.3</v>
      </c>
      <c r="IS10" s="58">
        <v>1.4</v>
      </c>
      <c r="IT10" s="59">
        <f t="shared" si="48"/>
        <v>4.2300000000000004</v>
      </c>
      <c r="IU10" s="86">
        <v>4</v>
      </c>
      <c r="IV10" s="86">
        <f t="shared" si="49"/>
        <v>23.000000000000043</v>
      </c>
      <c r="IW10" s="98"/>
      <c r="IX10"/>
      <c r="IY10" s="86" t="s">
        <v>2</v>
      </c>
      <c r="IZ10" s="86">
        <v>2</v>
      </c>
      <c r="JA10" s="58">
        <v>7.1</v>
      </c>
      <c r="JB10" s="96"/>
      <c r="JC10" s="96"/>
      <c r="JD10" s="53">
        <v>20.43</v>
      </c>
      <c r="JE10" s="58">
        <f t="shared" si="50"/>
        <v>13.33</v>
      </c>
      <c r="JF10" s="97">
        <v>7.3</v>
      </c>
      <c r="JG10" s="58">
        <v>1</v>
      </c>
      <c r="JH10" s="59">
        <f t="shared" si="51"/>
        <v>5.03</v>
      </c>
      <c r="JI10" s="86">
        <v>5</v>
      </c>
      <c r="JJ10" s="86">
        <f t="shared" si="52"/>
        <v>3.0000000000000249</v>
      </c>
      <c r="JK10" s="98"/>
      <c r="JL10" s="86" t="s">
        <v>2</v>
      </c>
      <c r="JM10" s="86">
        <v>2</v>
      </c>
      <c r="JN10" s="58">
        <v>7.1</v>
      </c>
      <c r="JO10" s="96"/>
      <c r="JP10" s="96"/>
      <c r="JQ10" s="53">
        <v>18.63</v>
      </c>
      <c r="JR10" s="58">
        <f t="shared" si="53"/>
        <v>11.53</v>
      </c>
      <c r="JS10" s="97">
        <v>7.3</v>
      </c>
      <c r="JT10" s="58">
        <v>1</v>
      </c>
      <c r="JU10" s="59">
        <f t="shared" si="54"/>
        <v>3.2299999999999995</v>
      </c>
      <c r="JV10" s="86">
        <v>3</v>
      </c>
      <c r="JW10" s="86">
        <f t="shared" si="55"/>
        <v>22.999999999999954</v>
      </c>
      <c r="JX10" s="98"/>
      <c r="JY10"/>
      <c r="JZ10" s="86" t="s">
        <v>2</v>
      </c>
      <c r="KA10" s="86">
        <v>2</v>
      </c>
      <c r="KB10" s="58">
        <v>7.2</v>
      </c>
      <c r="KC10" s="96"/>
      <c r="KD10" s="96"/>
      <c r="KE10" s="53">
        <v>19.98</v>
      </c>
      <c r="KF10" s="58">
        <f t="shared" si="56"/>
        <v>12.780000000000001</v>
      </c>
      <c r="KG10" s="97">
        <v>7.3</v>
      </c>
      <c r="KH10" s="58">
        <v>1</v>
      </c>
      <c r="KI10" s="59">
        <f t="shared" si="57"/>
        <v>4.4800000000000013</v>
      </c>
      <c r="KJ10" s="86">
        <v>4</v>
      </c>
      <c r="KK10" s="86">
        <f t="shared" si="58"/>
        <v>48.000000000000128</v>
      </c>
      <c r="KL10" s="98"/>
    </row>
    <row r="11" spans="1:298" s="54" customFormat="1" ht="17.149999999999999" customHeight="1" x14ac:dyDescent="0.35">
      <c r="A11" s="86" t="s">
        <v>3</v>
      </c>
      <c r="B11" s="86">
        <v>3</v>
      </c>
      <c r="C11" s="58">
        <v>7.15</v>
      </c>
      <c r="D11" s="96"/>
      <c r="E11" s="96"/>
      <c r="F11" s="53">
        <v>20.47</v>
      </c>
      <c r="G11" s="58">
        <f t="shared" si="0"/>
        <v>13.319999999999999</v>
      </c>
      <c r="H11" s="97">
        <v>7.3</v>
      </c>
      <c r="I11" s="58">
        <v>1</v>
      </c>
      <c r="J11" s="59">
        <f t="shared" si="1"/>
        <v>5.0199999999999987</v>
      </c>
      <c r="K11" s="86">
        <v>5</v>
      </c>
      <c r="L11" s="86">
        <f t="shared" si="2"/>
        <v>1.9999999999998685</v>
      </c>
      <c r="M11" s="87"/>
      <c r="N11"/>
      <c r="O11" s="86" t="s">
        <v>3</v>
      </c>
      <c r="P11" s="86">
        <v>3</v>
      </c>
      <c r="Q11" s="58">
        <v>7.15</v>
      </c>
      <c r="R11" s="96"/>
      <c r="S11" s="96"/>
      <c r="T11" s="53">
        <v>20.62</v>
      </c>
      <c r="U11" s="58">
        <f t="shared" si="3"/>
        <v>13.47</v>
      </c>
      <c r="V11" s="97">
        <v>7.3</v>
      </c>
      <c r="W11" s="58">
        <v>1</v>
      </c>
      <c r="X11" s="59">
        <f t="shared" si="4"/>
        <v>5.1700000000000008</v>
      </c>
      <c r="Y11" s="86">
        <v>5</v>
      </c>
      <c r="Z11" s="86">
        <f t="shared" si="5"/>
        <v>17.000000000000082</v>
      </c>
      <c r="AA11" s="87"/>
      <c r="AB11" s="86" t="s">
        <v>3</v>
      </c>
      <c r="AC11" s="86">
        <v>3</v>
      </c>
      <c r="AD11" s="58">
        <v>7.15</v>
      </c>
      <c r="AE11" s="96"/>
      <c r="AF11" s="96"/>
      <c r="AG11" s="53">
        <v>19.649999999999999</v>
      </c>
      <c r="AH11" s="58">
        <f t="shared" si="6"/>
        <v>12.499999999999998</v>
      </c>
      <c r="AI11" s="97">
        <v>7.3</v>
      </c>
      <c r="AJ11" s="58">
        <v>1</v>
      </c>
      <c r="AK11" s="59">
        <f t="shared" si="7"/>
        <v>4.1999999999999984</v>
      </c>
      <c r="AL11" s="86">
        <v>4</v>
      </c>
      <c r="AM11" s="86">
        <f t="shared" si="8"/>
        <v>19.99999999999984</v>
      </c>
      <c r="AN11" s="87"/>
      <c r="AO11"/>
      <c r="AP11" s="86" t="s">
        <v>3</v>
      </c>
      <c r="AQ11" s="86">
        <v>3</v>
      </c>
      <c r="AR11" s="58">
        <v>7.2</v>
      </c>
      <c r="AS11" s="96"/>
      <c r="AT11" s="96"/>
      <c r="AU11" s="53">
        <v>20.46</v>
      </c>
      <c r="AV11" s="58">
        <f t="shared" si="9"/>
        <v>13.260000000000002</v>
      </c>
      <c r="AW11" s="97">
        <v>7.3</v>
      </c>
      <c r="AX11" s="58">
        <v>1.4</v>
      </c>
      <c r="AY11" s="59">
        <f t="shared" si="10"/>
        <v>4.5600000000000023</v>
      </c>
      <c r="AZ11" s="86">
        <v>4</v>
      </c>
      <c r="BA11" s="86">
        <f t="shared" si="11"/>
        <v>56.000000000000227</v>
      </c>
      <c r="BB11" s="87"/>
      <c r="BC11" s="86"/>
      <c r="BD11" s="86"/>
      <c r="BE11" s="58"/>
      <c r="BF11" s="96"/>
      <c r="BG11" s="96"/>
      <c r="BH11" s="53"/>
      <c r="BI11" s="58"/>
      <c r="BJ11" s="97"/>
      <c r="BK11" s="58"/>
      <c r="BL11" s="59"/>
      <c r="BM11" s="86"/>
      <c r="BN11" s="86"/>
      <c r="BO11" s="87"/>
      <c r="BP11"/>
      <c r="BQ11" s="86" t="s">
        <v>3</v>
      </c>
      <c r="BR11" s="86">
        <v>3</v>
      </c>
      <c r="BS11" s="58">
        <v>7.1</v>
      </c>
      <c r="BT11" s="96"/>
      <c r="BU11" s="96"/>
      <c r="BV11" s="53">
        <v>21.65</v>
      </c>
      <c r="BW11" s="58">
        <f t="shared" si="12"/>
        <v>14.549999999999999</v>
      </c>
      <c r="BX11" s="97">
        <v>7.3</v>
      </c>
      <c r="BY11" s="58">
        <v>1</v>
      </c>
      <c r="BZ11" s="59">
        <f t="shared" si="13"/>
        <v>6.2499999999999991</v>
      </c>
      <c r="CA11" s="86">
        <v>6</v>
      </c>
      <c r="CB11" s="86">
        <f t="shared" si="14"/>
        <v>24.999999999999911</v>
      </c>
      <c r="CC11" s="87"/>
      <c r="CD11"/>
      <c r="CE11" s="86" t="s">
        <v>3</v>
      </c>
      <c r="CF11" s="86">
        <v>3</v>
      </c>
      <c r="CG11" s="58">
        <v>7.25</v>
      </c>
      <c r="CH11" s="96"/>
      <c r="CI11" s="96"/>
      <c r="CJ11" s="53">
        <v>20.7</v>
      </c>
      <c r="CK11" s="58">
        <f t="shared" si="15"/>
        <v>13.45</v>
      </c>
      <c r="CL11" s="97">
        <v>7.3</v>
      </c>
      <c r="CM11" s="58">
        <v>1</v>
      </c>
      <c r="CN11" s="59">
        <f t="shared" si="16"/>
        <v>5.1499999999999995</v>
      </c>
      <c r="CO11" s="86">
        <v>5</v>
      </c>
      <c r="CP11" s="86">
        <f t="shared" si="17"/>
        <v>14.999999999999947</v>
      </c>
      <c r="CQ11" s="87"/>
      <c r="CR11" s="86" t="s">
        <v>3</v>
      </c>
      <c r="CS11" s="86">
        <v>3</v>
      </c>
      <c r="CT11" s="58">
        <v>7.15</v>
      </c>
      <c r="CU11" s="96"/>
      <c r="CV11" s="96"/>
      <c r="CW11" s="53">
        <v>21.65</v>
      </c>
      <c r="CX11" s="58">
        <f t="shared" si="18"/>
        <v>14.499999999999998</v>
      </c>
      <c r="CY11" s="97">
        <v>7.3</v>
      </c>
      <c r="CZ11" s="58">
        <v>1</v>
      </c>
      <c r="DA11" s="59">
        <f t="shared" si="19"/>
        <v>6.1999999999999984</v>
      </c>
      <c r="DB11" s="86">
        <v>6</v>
      </c>
      <c r="DC11" s="86">
        <f t="shared" si="20"/>
        <v>19.99999999999984</v>
      </c>
      <c r="DD11" s="87"/>
      <c r="DE11"/>
      <c r="DF11" s="86" t="s">
        <v>3</v>
      </c>
      <c r="DG11" s="86">
        <v>3</v>
      </c>
      <c r="DH11" s="58">
        <v>7.4</v>
      </c>
      <c r="DI11" s="96"/>
      <c r="DJ11" s="96"/>
      <c r="DK11" s="53">
        <v>20.45</v>
      </c>
      <c r="DL11" s="58">
        <f t="shared" si="21"/>
        <v>13.049999999999999</v>
      </c>
      <c r="DM11" s="97">
        <v>7.3</v>
      </c>
      <c r="DN11" s="58">
        <v>1.4</v>
      </c>
      <c r="DO11" s="59">
        <f t="shared" si="22"/>
        <v>4.3499999999999996</v>
      </c>
      <c r="DP11" s="86">
        <v>4</v>
      </c>
      <c r="DQ11" s="86">
        <f t="shared" si="23"/>
        <v>34.999999999999964</v>
      </c>
      <c r="DR11" s="87"/>
      <c r="DS11"/>
      <c r="DT11" s="86" t="s">
        <v>3</v>
      </c>
      <c r="DU11" s="86">
        <v>3</v>
      </c>
      <c r="DV11" s="58">
        <v>7.3</v>
      </c>
      <c r="DW11" s="96"/>
      <c r="DX11" s="96"/>
      <c r="DY11" s="53">
        <v>20.47</v>
      </c>
      <c r="DZ11" s="58">
        <f t="shared" si="24"/>
        <v>13.169999999999998</v>
      </c>
      <c r="EA11" s="97">
        <v>7.3</v>
      </c>
      <c r="EB11" s="58">
        <v>1.4</v>
      </c>
      <c r="EC11" s="59">
        <f t="shared" si="25"/>
        <v>4.4699999999999989</v>
      </c>
      <c r="ED11" s="86">
        <v>4</v>
      </c>
      <c r="EE11" s="86">
        <f t="shared" si="26"/>
        <v>46.999999999999886</v>
      </c>
      <c r="EF11" s="87"/>
      <c r="EG11" s="86" t="s">
        <v>3</v>
      </c>
      <c r="EH11" s="86">
        <v>3</v>
      </c>
      <c r="EI11" s="58">
        <v>7.2</v>
      </c>
      <c r="EJ11" s="96"/>
      <c r="EK11" s="96"/>
      <c r="EL11" s="53">
        <v>20.45</v>
      </c>
      <c r="EM11" s="58">
        <f t="shared" si="27"/>
        <v>13.25</v>
      </c>
      <c r="EN11" s="97">
        <v>7.3</v>
      </c>
      <c r="EO11" s="58">
        <v>1.4</v>
      </c>
      <c r="EP11" s="59">
        <f t="shared" si="28"/>
        <v>4.5500000000000007</v>
      </c>
      <c r="EQ11" s="86">
        <v>4</v>
      </c>
      <c r="ER11" s="86">
        <f t="shared" si="29"/>
        <v>55.000000000000071</v>
      </c>
      <c r="ES11" s="87"/>
      <c r="ET11"/>
      <c r="EU11" s="86" t="s">
        <v>3</v>
      </c>
      <c r="EV11" s="86">
        <v>3</v>
      </c>
      <c r="EW11" s="58">
        <v>7.1</v>
      </c>
      <c r="EX11" s="96"/>
      <c r="EY11" s="96"/>
      <c r="EZ11" s="53">
        <v>20.67</v>
      </c>
      <c r="FA11" s="58">
        <f t="shared" si="59"/>
        <v>13.570000000000002</v>
      </c>
      <c r="FB11" s="97">
        <v>7.3</v>
      </c>
      <c r="FC11" s="58">
        <v>1</v>
      </c>
      <c r="FD11" s="59">
        <f t="shared" si="30"/>
        <v>5.2700000000000022</v>
      </c>
      <c r="FE11" s="86">
        <v>5</v>
      </c>
      <c r="FF11" s="86">
        <f t="shared" si="31"/>
        <v>27.000000000000224</v>
      </c>
      <c r="FG11" s="87"/>
      <c r="FH11" s="86" t="s">
        <v>3</v>
      </c>
      <c r="FI11" s="86">
        <v>3</v>
      </c>
      <c r="FJ11" s="58">
        <v>7.1</v>
      </c>
      <c r="FK11" s="96"/>
      <c r="FL11" s="96"/>
      <c r="FM11" s="53">
        <v>20.46</v>
      </c>
      <c r="FN11" s="58">
        <f t="shared" si="32"/>
        <v>13.360000000000001</v>
      </c>
      <c r="FO11" s="97">
        <v>7.3</v>
      </c>
      <c r="FP11" s="58">
        <v>1</v>
      </c>
      <c r="FQ11" s="59">
        <f t="shared" si="33"/>
        <v>5.0600000000000014</v>
      </c>
      <c r="FR11" s="86">
        <v>5</v>
      </c>
      <c r="FS11" s="86">
        <f t="shared" si="34"/>
        <v>6.0000000000001386</v>
      </c>
      <c r="FT11" s="87"/>
      <c r="FU11"/>
      <c r="FV11" s="86" t="s">
        <v>3</v>
      </c>
      <c r="FW11" s="86">
        <v>3</v>
      </c>
      <c r="FX11" s="58">
        <v>7.15</v>
      </c>
      <c r="FY11" s="96"/>
      <c r="FZ11" s="96"/>
      <c r="GA11" s="53">
        <v>20.51</v>
      </c>
      <c r="GB11" s="58">
        <f t="shared" si="35"/>
        <v>13.360000000000001</v>
      </c>
      <c r="GC11" s="97">
        <v>7.3</v>
      </c>
      <c r="GD11" s="58">
        <v>1</v>
      </c>
      <c r="GE11" s="59">
        <f t="shared" si="36"/>
        <v>5.0600000000000014</v>
      </c>
      <c r="GF11" s="86">
        <v>5</v>
      </c>
      <c r="GG11" s="86">
        <f t="shared" si="37"/>
        <v>6.0000000000001386</v>
      </c>
      <c r="GH11" s="87"/>
      <c r="GI11" s="86" t="s">
        <v>3</v>
      </c>
      <c r="GJ11" s="86">
        <v>3</v>
      </c>
      <c r="GK11" s="58">
        <v>7.1</v>
      </c>
      <c r="GL11" s="96"/>
      <c r="GM11" s="96"/>
      <c r="GN11" s="53">
        <v>20.46</v>
      </c>
      <c r="GO11" s="58">
        <f t="shared" si="38"/>
        <v>13.360000000000001</v>
      </c>
      <c r="GP11" s="97">
        <v>7.3</v>
      </c>
      <c r="GQ11" s="58">
        <v>1</v>
      </c>
      <c r="GR11" s="59">
        <f t="shared" si="39"/>
        <v>5.0600000000000014</v>
      </c>
      <c r="GS11" s="86">
        <v>5</v>
      </c>
      <c r="GT11" s="86">
        <f t="shared" si="40"/>
        <v>6.0000000000001386</v>
      </c>
      <c r="GU11" s="87"/>
      <c r="GV11"/>
      <c r="GW11" s="86" t="s">
        <v>3</v>
      </c>
      <c r="GX11" s="86">
        <v>3</v>
      </c>
      <c r="GY11" s="58">
        <v>7.1</v>
      </c>
      <c r="GZ11" s="96"/>
      <c r="HA11" s="96"/>
      <c r="HB11" s="53">
        <v>20.46</v>
      </c>
      <c r="HC11" s="58">
        <f t="shared" si="41"/>
        <v>13.360000000000001</v>
      </c>
      <c r="HD11" s="97">
        <v>7.3</v>
      </c>
      <c r="HE11" s="58">
        <v>1</v>
      </c>
      <c r="HF11" s="59">
        <f t="shared" si="42"/>
        <v>5.0600000000000014</v>
      </c>
      <c r="HG11" s="86">
        <v>5</v>
      </c>
      <c r="HH11" s="86">
        <f t="shared" si="43"/>
        <v>6.0000000000001386</v>
      </c>
      <c r="HI11" s="87"/>
      <c r="HJ11" s="86" t="s">
        <v>3</v>
      </c>
      <c r="HK11" s="86">
        <v>3</v>
      </c>
      <c r="HL11" s="58">
        <v>7.1</v>
      </c>
      <c r="HM11" s="96"/>
      <c r="HN11" s="96"/>
      <c r="HO11" s="53">
        <v>20.46</v>
      </c>
      <c r="HP11" s="58">
        <f t="shared" si="44"/>
        <v>13.360000000000001</v>
      </c>
      <c r="HQ11" s="97">
        <v>7.3</v>
      </c>
      <c r="HR11" s="58">
        <v>1</v>
      </c>
      <c r="HS11" s="59">
        <f t="shared" si="45"/>
        <v>5.0600000000000014</v>
      </c>
      <c r="HT11" s="86">
        <v>5</v>
      </c>
      <c r="HU11" s="86">
        <f t="shared" si="46"/>
        <v>6.0000000000001386</v>
      </c>
      <c r="HV11" s="87"/>
      <c r="HW11"/>
      <c r="HX11" s="86"/>
      <c r="HY11" s="86"/>
      <c r="HZ11" s="58"/>
      <c r="IA11" s="96"/>
      <c r="IB11" s="96"/>
      <c r="IC11" s="53"/>
      <c r="ID11" s="58"/>
      <c r="IE11" s="97"/>
      <c r="IF11" s="58"/>
      <c r="IG11" s="59"/>
      <c r="IH11" s="86"/>
      <c r="II11" s="86"/>
      <c r="IJ11" s="87"/>
      <c r="IK11" s="86" t="s">
        <v>3</v>
      </c>
      <c r="IL11" s="86">
        <v>3</v>
      </c>
      <c r="IM11" s="58">
        <v>7.05</v>
      </c>
      <c r="IN11" s="96"/>
      <c r="IO11" s="96"/>
      <c r="IP11" s="53">
        <v>20.47</v>
      </c>
      <c r="IQ11" s="58">
        <f t="shared" si="47"/>
        <v>13.419999999999998</v>
      </c>
      <c r="IR11" s="97">
        <v>7.3</v>
      </c>
      <c r="IS11" s="58">
        <v>1</v>
      </c>
      <c r="IT11" s="59">
        <f t="shared" si="48"/>
        <v>5.1199999999999983</v>
      </c>
      <c r="IU11" s="86">
        <v>5</v>
      </c>
      <c r="IV11" s="86">
        <f t="shared" si="49"/>
        <v>11.999999999999833</v>
      </c>
      <c r="IW11" s="87"/>
      <c r="IX11"/>
      <c r="IY11" s="86" t="s">
        <v>3</v>
      </c>
      <c r="IZ11" s="86">
        <v>3</v>
      </c>
      <c r="JA11" s="58">
        <v>7.1</v>
      </c>
      <c r="JB11" s="96"/>
      <c r="JC11" s="96"/>
      <c r="JD11" s="53">
        <v>21.65</v>
      </c>
      <c r="JE11" s="58">
        <f t="shared" si="50"/>
        <v>14.549999999999999</v>
      </c>
      <c r="JF11" s="97">
        <v>7.3</v>
      </c>
      <c r="JG11" s="58">
        <v>1</v>
      </c>
      <c r="JH11" s="59">
        <f t="shared" si="51"/>
        <v>6.2499999999999991</v>
      </c>
      <c r="JI11" s="86">
        <v>6</v>
      </c>
      <c r="JJ11" s="86">
        <f t="shared" si="52"/>
        <v>24.999999999999911</v>
      </c>
      <c r="JK11" s="87"/>
      <c r="JL11" s="86" t="s">
        <v>3</v>
      </c>
      <c r="JM11" s="86">
        <v>3</v>
      </c>
      <c r="JN11" s="58">
        <v>7.1</v>
      </c>
      <c r="JO11" s="96"/>
      <c r="JP11" s="96"/>
      <c r="JQ11" s="53">
        <v>19.649999999999999</v>
      </c>
      <c r="JR11" s="58">
        <f t="shared" si="53"/>
        <v>12.549999999999999</v>
      </c>
      <c r="JS11" s="97">
        <v>7.3</v>
      </c>
      <c r="JT11" s="58">
        <v>1</v>
      </c>
      <c r="JU11" s="59">
        <f t="shared" si="54"/>
        <v>4.2499999999999991</v>
      </c>
      <c r="JV11" s="86">
        <v>4</v>
      </c>
      <c r="JW11" s="86">
        <f t="shared" si="55"/>
        <v>24.999999999999911</v>
      </c>
      <c r="JX11" s="87"/>
      <c r="JY11"/>
      <c r="JZ11" s="86" t="s">
        <v>3</v>
      </c>
      <c r="KA11" s="86">
        <v>3</v>
      </c>
      <c r="KB11" s="58">
        <v>7.2</v>
      </c>
      <c r="KC11" s="96"/>
      <c r="KD11" s="96"/>
      <c r="KE11" s="53">
        <v>20.62</v>
      </c>
      <c r="KF11" s="58">
        <f t="shared" si="56"/>
        <v>13.420000000000002</v>
      </c>
      <c r="KG11" s="97">
        <v>7.3</v>
      </c>
      <c r="KH11" s="58">
        <v>1</v>
      </c>
      <c r="KI11" s="59">
        <f t="shared" si="57"/>
        <v>5.1200000000000019</v>
      </c>
      <c r="KJ11" s="86">
        <v>5</v>
      </c>
      <c r="KK11" s="86">
        <f t="shared" si="58"/>
        <v>12.000000000000188</v>
      </c>
      <c r="KL11" s="87"/>
    </row>
    <row r="12" spans="1:298" ht="17.149999999999999" customHeight="1" x14ac:dyDescent="0.35">
      <c r="A12" s="86" t="s">
        <v>4</v>
      </c>
      <c r="B12" s="86">
        <v>4</v>
      </c>
      <c r="C12" s="58">
        <v>7.15</v>
      </c>
      <c r="D12" s="96"/>
      <c r="E12" s="96"/>
      <c r="F12" s="53">
        <v>20.6</v>
      </c>
      <c r="G12" s="58">
        <f t="shared" si="0"/>
        <v>13.450000000000001</v>
      </c>
      <c r="H12" s="97">
        <v>7.3</v>
      </c>
      <c r="I12" s="58">
        <v>1</v>
      </c>
      <c r="J12" s="59">
        <f t="shared" si="1"/>
        <v>5.1500000000000012</v>
      </c>
      <c r="K12" s="86">
        <v>5</v>
      </c>
      <c r="L12" s="86">
        <f t="shared" si="2"/>
        <v>15.000000000000124</v>
      </c>
      <c r="M12" s="98"/>
      <c r="O12" s="86" t="s">
        <v>4</v>
      </c>
      <c r="P12" s="86">
        <v>4</v>
      </c>
      <c r="Q12" s="58">
        <v>7.15</v>
      </c>
      <c r="R12" s="96"/>
      <c r="S12" s="96"/>
      <c r="T12" s="53">
        <v>20.65</v>
      </c>
      <c r="U12" s="58">
        <f t="shared" si="3"/>
        <v>13.499999999999998</v>
      </c>
      <c r="V12" s="97">
        <v>7.3</v>
      </c>
      <c r="W12" s="58">
        <v>1</v>
      </c>
      <c r="X12" s="59">
        <f t="shared" si="4"/>
        <v>5.1999999999999984</v>
      </c>
      <c r="Y12" s="86">
        <v>5</v>
      </c>
      <c r="Z12" s="86">
        <f t="shared" si="5"/>
        <v>19.99999999999984</v>
      </c>
      <c r="AA12" s="98"/>
      <c r="AB12" s="86" t="s">
        <v>4</v>
      </c>
      <c r="AC12" s="86">
        <v>4</v>
      </c>
      <c r="AD12" s="58">
        <v>7.15</v>
      </c>
      <c r="AE12" s="96"/>
      <c r="AF12" s="96"/>
      <c r="AG12" s="53">
        <v>18.920000000000002</v>
      </c>
      <c r="AH12" s="58">
        <f t="shared" si="6"/>
        <v>11.770000000000001</v>
      </c>
      <c r="AI12" s="97">
        <v>7.3</v>
      </c>
      <c r="AJ12" s="58">
        <v>1</v>
      </c>
      <c r="AK12" s="59">
        <f t="shared" si="7"/>
        <v>3.4700000000000015</v>
      </c>
      <c r="AL12" s="86">
        <v>3</v>
      </c>
      <c r="AM12" s="86">
        <f t="shared" si="8"/>
        <v>47.000000000000156</v>
      </c>
      <c r="AN12" s="98"/>
      <c r="AP12" s="86" t="s">
        <v>4</v>
      </c>
      <c r="AQ12" s="86">
        <v>4</v>
      </c>
      <c r="AR12" s="58">
        <v>7.2</v>
      </c>
      <c r="AS12" s="96"/>
      <c r="AT12" s="96"/>
      <c r="AU12" s="53">
        <v>20.64</v>
      </c>
      <c r="AV12" s="58">
        <f t="shared" si="9"/>
        <v>13.440000000000001</v>
      </c>
      <c r="AW12" s="97">
        <v>7.3</v>
      </c>
      <c r="AX12" s="58">
        <v>1</v>
      </c>
      <c r="AY12" s="59">
        <f t="shared" si="10"/>
        <v>5.1400000000000015</v>
      </c>
      <c r="AZ12" s="86">
        <v>5</v>
      </c>
      <c r="BA12" s="86">
        <f t="shared" si="11"/>
        <v>14.000000000000146</v>
      </c>
      <c r="BB12" s="98"/>
      <c r="BC12" s="86"/>
      <c r="BD12" s="86"/>
      <c r="BE12" s="58"/>
      <c r="BF12" s="96"/>
      <c r="BG12" s="96"/>
      <c r="BH12" s="58"/>
      <c r="BI12" s="58"/>
      <c r="BJ12" s="97"/>
      <c r="BK12" s="58"/>
      <c r="BL12" s="59"/>
      <c r="BM12" s="86"/>
      <c r="BN12" s="86"/>
      <c r="BO12" s="98"/>
      <c r="BQ12" s="86" t="s">
        <v>4</v>
      </c>
      <c r="BR12" s="86">
        <v>4</v>
      </c>
      <c r="BS12" s="58">
        <v>7.1</v>
      </c>
      <c r="BT12" s="96"/>
      <c r="BU12" s="96"/>
      <c r="BV12" s="53">
        <v>20.6</v>
      </c>
      <c r="BW12" s="58">
        <f t="shared" si="12"/>
        <v>13.500000000000002</v>
      </c>
      <c r="BX12" s="97">
        <v>7.3</v>
      </c>
      <c r="BY12" s="58">
        <v>1</v>
      </c>
      <c r="BZ12" s="59">
        <f t="shared" si="13"/>
        <v>5.200000000000002</v>
      </c>
      <c r="CA12" s="86">
        <v>5</v>
      </c>
      <c r="CB12" s="86">
        <f t="shared" si="14"/>
        <v>20.000000000000195</v>
      </c>
      <c r="CC12" s="98"/>
      <c r="CE12" s="86" t="s">
        <v>4</v>
      </c>
      <c r="CF12" s="86">
        <v>4</v>
      </c>
      <c r="CG12" s="58">
        <v>7.25</v>
      </c>
      <c r="CH12" s="96"/>
      <c r="CI12" s="96"/>
      <c r="CJ12" s="53">
        <v>21.63</v>
      </c>
      <c r="CK12" s="58">
        <f t="shared" si="15"/>
        <v>14.379999999999999</v>
      </c>
      <c r="CL12" s="97">
        <v>7.3</v>
      </c>
      <c r="CM12" s="58">
        <v>1</v>
      </c>
      <c r="CN12" s="59">
        <f t="shared" si="16"/>
        <v>6.0799999999999992</v>
      </c>
      <c r="CO12" s="86">
        <v>6</v>
      </c>
      <c r="CP12" s="86">
        <f t="shared" si="17"/>
        <v>7.9999999999999183</v>
      </c>
      <c r="CQ12" s="98"/>
      <c r="CR12" s="86" t="s">
        <v>4</v>
      </c>
      <c r="CS12" s="86">
        <v>4</v>
      </c>
      <c r="CT12" s="58">
        <v>7.15</v>
      </c>
      <c r="CU12" s="96"/>
      <c r="CV12" s="96"/>
      <c r="CW12" s="53">
        <v>20.6</v>
      </c>
      <c r="CX12" s="58">
        <f t="shared" si="18"/>
        <v>13.450000000000001</v>
      </c>
      <c r="CY12" s="97">
        <v>7.3</v>
      </c>
      <c r="CZ12" s="58">
        <v>1</v>
      </c>
      <c r="DA12" s="59">
        <f t="shared" si="19"/>
        <v>5.1500000000000012</v>
      </c>
      <c r="DB12" s="86">
        <v>5</v>
      </c>
      <c r="DC12" s="86">
        <f t="shared" si="20"/>
        <v>15.000000000000124</v>
      </c>
      <c r="DD12" s="98"/>
      <c r="DF12" s="86" t="s">
        <v>4</v>
      </c>
      <c r="DG12" s="86">
        <v>4</v>
      </c>
      <c r="DH12" s="58">
        <v>7.4</v>
      </c>
      <c r="DI12" s="96"/>
      <c r="DJ12" s="96"/>
      <c r="DK12" s="53">
        <v>20.6</v>
      </c>
      <c r="DL12" s="58">
        <f t="shared" si="21"/>
        <v>13.200000000000001</v>
      </c>
      <c r="DM12" s="97">
        <v>7.3</v>
      </c>
      <c r="DN12" s="58">
        <v>1.4</v>
      </c>
      <c r="DO12" s="59">
        <f t="shared" si="22"/>
        <v>4.5000000000000018</v>
      </c>
      <c r="DP12" s="86">
        <v>4</v>
      </c>
      <c r="DQ12" s="86">
        <f t="shared" si="23"/>
        <v>50.000000000000178</v>
      </c>
      <c r="DR12" s="98"/>
      <c r="DT12" s="86" t="s">
        <v>4</v>
      </c>
      <c r="DU12" s="86">
        <v>4</v>
      </c>
      <c r="DV12" s="58">
        <v>7.3</v>
      </c>
      <c r="DW12" s="96"/>
      <c r="DX12" s="96"/>
      <c r="DY12" s="53">
        <v>20.6</v>
      </c>
      <c r="DZ12" s="58">
        <f t="shared" si="24"/>
        <v>13.3</v>
      </c>
      <c r="EA12" s="97">
        <v>7.3</v>
      </c>
      <c r="EB12" s="58">
        <v>1.4</v>
      </c>
      <c r="EC12" s="59">
        <f t="shared" si="25"/>
        <v>4.6000000000000014</v>
      </c>
      <c r="ED12" s="86">
        <v>4</v>
      </c>
      <c r="EE12" s="86">
        <f t="shared" si="26"/>
        <v>60.000000000000142</v>
      </c>
      <c r="EF12" s="98"/>
      <c r="EG12" s="86" t="s">
        <v>4</v>
      </c>
      <c r="EH12" s="86">
        <v>4</v>
      </c>
      <c r="EI12" s="58">
        <v>7.2</v>
      </c>
      <c r="EJ12" s="96"/>
      <c r="EK12" s="96"/>
      <c r="EL12" s="53">
        <v>20.6</v>
      </c>
      <c r="EM12" s="58">
        <f t="shared" si="27"/>
        <v>13.400000000000002</v>
      </c>
      <c r="EN12" s="97">
        <v>7.3</v>
      </c>
      <c r="EO12" s="58">
        <v>1</v>
      </c>
      <c r="EP12" s="59">
        <f t="shared" si="28"/>
        <v>5.1000000000000023</v>
      </c>
      <c r="EQ12" s="86">
        <v>5</v>
      </c>
      <c r="ER12" s="86">
        <f t="shared" si="29"/>
        <v>10.000000000000231</v>
      </c>
      <c r="ES12" s="98"/>
      <c r="EU12" s="86" t="s">
        <v>4</v>
      </c>
      <c r="EV12" s="86">
        <v>4</v>
      </c>
      <c r="EW12" s="58">
        <v>7.1</v>
      </c>
      <c r="EX12" s="96"/>
      <c r="EY12" s="96"/>
      <c r="EZ12" s="53">
        <v>20.68</v>
      </c>
      <c r="FA12" s="58">
        <f t="shared" si="59"/>
        <v>13.58</v>
      </c>
      <c r="FB12" s="97">
        <v>7.3</v>
      </c>
      <c r="FC12" s="58">
        <v>1</v>
      </c>
      <c r="FD12" s="59">
        <f t="shared" si="30"/>
        <v>5.28</v>
      </c>
      <c r="FE12" s="86">
        <v>5</v>
      </c>
      <c r="FF12" s="86">
        <f t="shared" si="31"/>
        <v>28.000000000000025</v>
      </c>
      <c r="FG12" s="98"/>
      <c r="FH12" s="86" t="s">
        <v>4</v>
      </c>
      <c r="FI12" s="86">
        <v>4</v>
      </c>
      <c r="FJ12" s="58">
        <v>7.1</v>
      </c>
      <c r="FK12" s="96"/>
      <c r="FL12" s="96"/>
      <c r="FM12" s="53">
        <v>20.9</v>
      </c>
      <c r="FN12" s="58">
        <f t="shared" si="32"/>
        <v>13.799999999999999</v>
      </c>
      <c r="FO12" s="97">
        <v>7.3</v>
      </c>
      <c r="FP12" s="58">
        <v>1</v>
      </c>
      <c r="FQ12" s="59">
        <f t="shared" si="33"/>
        <v>5.4999999999999991</v>
      </c>
      <c r="FR12" s="86">
        <v>5</v>
      </c>
      <c r="FS12" s="86">
        <f t="shared" si="34"/>
        <v>49.999999999999915</v>
      </c>
      <c r="FT12" s="98"/>
      <c r="FV12" s="86" t="s">
        <v>4</v>
      </c>
      <c r="FW12" s="86">
        <v>4</v>
      </c>
      <c r="FX12" s="58">
        <v>7.15</v>
      </c>
      <c r="FY12" s="96"/>
      <c r="FZ12" s="96"/>
      <c r="GA12" s="53">
        <v>20.68</v>
      </c>
      <c r="GB12" s="58">
        <f t="shared" si="35"/>
        <v>13.53</v>
      </c>
      <c r="GC12" s="97">
        <v>7.3</v>
      </c>
      <c r="GD12" s="58">
        <v>1</v>
      </c>
      <c r="GE12" s="59">
        <f t="shared" si="36"/>
        <v>5.2299999999999995</v>
      </c>
      <c r="GF12" s="86">
        <v>5</v>
      </c>
      <c r="GG12" s="86">
        <f t="shared" si="37"/>
        <v>22.999999999999954</v>
      </c>
      <c r="GH12" s="98"/>
      <c r="GI12" s="86" t="s">
        <v>4</v>
      </c>
      <c r="GJ12" s="86">
        <v>4</v>
      </c>
      <c r="GK12" s="58">
        <v>7.1</v>
      </c>
      <c r="GL12" s="96"/>
      <c r="GM12" s="96"/>
      <c r="GN12" s="53">
        <v>20.6</v>
      </c>
      <c r="GO12" s="58">
        <f t="shared" si="38"/>
        <v>13.500000000000002</v>
      </c>
      <c r="GP12" s="97">
        <v>7.3</v>
      </c>
      <c r="GQ12" s="58">
        <v>1</v>
      </c>
      <c r="GR12" s="59">
        <f t="shared" si="39"/>
        <v>5.200000000000002</v>
      </c>
      <c r="GS12" s="86">
        <v>5</v>
      </c>
      <c r="GT12" s="86">
        <f t="shared" si="40"/>
        <v>20.000000000000195</v>
      </c>
      <c r="GU12" s="98"/>
      <c r="GW12" s="86" t="s">
        <v>4</v>
      </c>
      <c r="GX12" s="86">
        <v>4</v>
      </c>
      <c r="GY12" s="58">
        <v>7.1</v>
      </c>
      <c r="GZ12" s="96"/>
      <c r="HA12" s="96"/>
      <c r="HB12" s="53">
        <v>20.59</v>
      </c>
      <c r="HC12" s="58">
        <f t="shared" si="41"/>
        <v>13.49</v>
      </c>
      <c r="HD12" s="97">
        <v>7.3</v>
      </c>
      <c r="HE12" s="58">
        <v>1</v>
      </c>
      <c r="HF12" s="59">
        <f t="shared" si="42"/>
        <v>5.19</v>
      </c>
      <c r="HG12" s="86">
        <v>5</v>
      </c>
      <c r="HH12" s="86">
        <f t="shared" si="43"/>
        <v>19.000000000000039</v>
      </c>
      <c r="HI12" s="98"/>
      <c r="HJ12" s="86" t="s">
        <v>4</v>
      </c>
      <c r="HK12" s="86">
        <v>4</v>
      </c>
      <c r="HL12" s="58">
        <v>7.1</v>
      </c>
      <c r="HM12" s="96"/>
      <c r="HN12" s="96"/>
      <c r="HO12" s="53">
        <v>20.61</v>
      </c>
      <c r="HP12" s="58">
        <f t="shared" si="44"/>
        <v>13.51</v>
      </c>
      <c r="HQ12" s="97">
        <v>7.3</v>
      </c>
      <c r="HR12" s="58">
        <v>1</v>
      </c>
      <c r="HS12" s="59">
        <f t="shared" si="45"/>
        <v>5.21</v>
      </c>
      <c r="HT12" s="86">
        <v>5</v>
      </c>
      <c r="HU12" s="86">
        <f t="shared" si="46"/>
        <v>20.999999999999996</v>
      </c>
      <c r="HV12" s="98"/>
      <c r="HX12" s="86"/>
      <c r="HY12" s="86"/>
      <c r="HZ12" s="58"/>
      <c r="IA12" s="96"/>
      <c r="IB12" s="96"/>
      <c r="IC12" s="58"/>
      <c r="ID12" s="58"/>
      <c r="IE12" s="97"/>
      <c r="IF12" s="58"/>
      <c r="IG12" s="59"/>
      <c r="IH12" s="86"/>
      <c r="II12" s="86"/>
      <c r="IJ12" s="98"/>
      <c r="IK12" s="86" t="s">
        <v>4</v>
      </c>
      <c r="IL12" s="86">
        <v>4</v>
      </c>
      <c r="IM12" s="58">
        <v>7.05</v>
      </c>
      <c r="IN12" s="96"/>
      <c r="IO12" s="96"/>
      <c r="IP12" s="53">
        <v>20.64</v>
      </c>
      <c r="IQ12" s="58">
        <f t="shared" si="47"/>
        <v>13.59</v>
      </c>
      <c r="IR12" s="97">
        <v>7.3</v>
      </c>
      <c r="IS12" s="58">
        <v>1</v>
      </c>
      <c r="IT12" s="59">
        <f t="shared" si="48"/>
        <v>5.29</v>
      </c>
      <c r="IU12" s="86">
        <v>5</v>
      </c>
      <c r="IV12" s="86">
        <f t="shared" si="49"/>
        <v>29.000000000000004</v>
      </c>
      <c r="IW12" s="98"/>
      <c r="IY12" s="86" t="s">
        <v>4</v>
      </c>
      <c r="IZ12" s="86">
        <v>4</v>
      </c>
      <c r="JA12" s="58">
        <v>7.1</v>
      </c>
      <c r="JB12" s="96"/>
      <c r="JC12" s="96"/>
      <c r="JD12" s="53">
        <v>20.6</v>
      </c>
      <c r="JE12" s="58">
        <f t="shared" si="50"/>
        <v>13.500000000000002</v>
      </c>
      <c r="JF12" s="97">
        <v>7.3</v>
      </c>
      <c r="JG12" s="58">
        <v>1</v>
      </c>
      <c r="JH12" s="59">
        <f t="shared" si="51"/>
        <v>5.200000000000002</v>
      </c>
      <c r="JI12" s="86">
        <v>5</v>
      </c>
      <c r="JJ12" s="86">
        <f t="shared" si="52"/>
        <v>20.000000000000195</v>
      </c>
      <c r="JK12" s="98"/>
      <c r="JL12" s="86" t="s">
        <v>4</v>
      </c>
      <c r="JM12" s="86">
        <v>4</v>
      </c>
      <c r="JN12" s="58">
        <v>7.1</v>
      </c>
      <c r="JO12" s="96"/>
      <c r="JP12" s="96"/>
      <c r="JQ12" s="53">
        <v>18.920000000000002</v>
      </c>
      <c r="JR12" s="58">
        <f t="shared" si="53"/>
        <v>11.820000000000002</v>
      </c>
      <c r="JS12" s="97">
        <v>7.3</v>
      </c>
      <c r="JT12" s="58">
        <v>1</v>
      </c>
      <c r="JU12" s="59">
        <f t="shared" si="54"/>
        <v>3.5200000000000022</v>
      </c>
      <c r="JV12" s="86">
        <v>3</v>
      </c>
      <c r="JW12" s="86">
        <f t="shared" si="55"/>
        <v>52.000000000000227</v>
      </c>
      <c r="JX12" s="98"/>
      <c r="JZ12" s="86" t="s">
        <v>4</v>
      </c>
      <c r="KA12" s="86">
        <v>4</v>
      </c>
      <c r="KB12" s="58">
        <v>7.2</v>
      </c>
      <c r="KC12" s="96"/>
      <c r="KD12" s="96"/>
      <c r="KE12" s="53">
        <v>20.6</v>
      </c>
      <c r="KF12" s="58">
        <f t="shared" si="56"/>
        <v>13.400000000000002</v>
      </c>
      <c r="KG12" s="97">
        <v>7.3</v>
      </c>
      <c r="KH12" s="58">
        <v>1</v>
      </c>
      <c r="KI12" s="59">
        <f t="shared" si="57"/>
        <v>5.1000000000000023</v>
      </c>
      <c r="KJ12" s="86">
        <v>5</v>
      </c>
      <c r="KK12" s="86">
        <f t="shared" si="58"/>
        <v>10.000000000000231</v>
      </c>
      <c r="KL12" s="98"/>
    </row>
    <row r="13" spans="1:298" ht="17.149999999999999" customHeight="1" x14ac:dyDescent="0.35">
      <c r="A13" s="86" t="s">
        <v>5</v>
      </c>
      <c r="B13" s="86">
        <v>5</v>
      </c>
      <c r="C13" s="58">
        <v>7.15</v>
      </c>
      <c r="D13" s="96"/>
      <c r="E13" s="96"/>
      <c r="F13" s="53">
        <v>21.82</v>
      </c>
      <c r="G13" s="58">
        <f t="shared" si="0"/>
        <v>14.67</v>
      </c>
      <c r="H13" s="97">
        <v>7.3</v>
      </c>
      <c r="I13" s="58">
        <v>1</v>
      </c>
      <c r="J13" s="59">
        <f t="shared" si="1"/>
        <v>6.37</v>
      </c>
      <c r="K13" s="86">
        <v>6</v>
      </c>
      <c r="L13" s="86">
        <f t="shared" si="2"/>
        <v>37.000000000000014</v>
      </c>
      <c r="M13" s="98"/>
      <c r="O13" s="86" t="s">
        <v>5</v>
      </c>
      <c r="P13" s="86">
        <v>5</v>
      </c>
      <c r="Q13" s="58">
        <v>7.15</v>
      </c>
      <c r="R13" s="96"/>
      <c r="S13" s="96"/>
      <c r="T13" s="53">
        <v>21.87</v>
      </c>
      <c r="U13" s="58">
        <f t="shared" si="3"/>
        <v>14.72</v>
      </c>
      <c r="V13" s="97">
        <v>7.3</v>
      </c>
      <c r="W13" s="58">
        <v>1</v>
      </c>
      <c r="X13" s="59">
        <f t="shared" si="4"/>
        <v>6.4200000000000008</v>
      </c>
      <c r="Y13" s="86">
        <v>6</v>
      </c>
      <c r="Z13" s="86">
        <f t="shared" si="5"/>
        <v>42.000000000000085</v>
      </c>
      <c r="AA13" s="98"/>
      <c r="AB13" s="86" t="s">
        <v>5</v>
      </c>
      <c r="AC13" s="86">
        <v>5</v>
      </c>
      <c r="AD13" s="58">
        <v>7.15</v>
      </c>
      <c r="AE13" s="96"/>
      <c r="AF13" s="96"/>
      <c r="AG13" s="53">
        <v>19.690000000000001</v>
      </c>
      <c r="AH13" s="58">
        <f t="shared" si="6"/>
        <v>12.540000000000001</v>
      </c>
      <c r="AI13" s="97">
        <v>7.3</v>
      </c>
      <c r="AJ13" s="58">
        <v>1</v>
      </c>
      <c r="AK13" s="59">
        <f t="shared" si="7"/>
        <v>4.2400000000000011</v>
      </c>
      <c r="AL13" s="86">
        <v>4</v>
      </c>
      <c r="AM13" s="86">
        <f t="shared" si="8"/>
        <v>24.00000000000011</v>
      </c>
      <c r="AN13" s="98"/>
      <c r="AP13" s="86" t="s">
        <v>5</v>
      </c>
      <c r="AQ13" s="86">
        <v>5</v>
      </c>
      <c r="AR13" s="58">
        <v>7.2</v>
      </c>
      <c r="AS13" s="96"/>
      <c r="AT13" s="96"/>
      <c r="AU13" s="53">
        <v>21.85</v>
      </c>
      <c r="AV13" s="58">
        <f t="shared" si="9"/>
        <v>14.650000000000002</v>
      </c>
      <c r="AW13" s="97">
        <v>7.3</v>
      </c>
      <c r="AX13" s="58">
        <v>1</v>
      </c>
      <c r="AY13" s="59">
        <f t="shared" si="10"/>
        <v>6.3500000000000023</v>
      </c>
      <c r="AZ13" s="86">
        <v>6</v>
      </c>
      <c r="BA13" s="86">
        <f t="shared" si="11"/>
        <v>35.000000000000227</v>
      </c>
      <c r="BB13" s="98"/>
      <c r="BC13" s="86"/>
      <c r="BD13" s="86"/>
      <c r="BE13" s="58"/>
      <c r="BF13" s="58"/>
      <c r="BG13" s="58"/>
      <c r="BH13" s="58"/>
      <c r="BI13" s="58"/>
      <c r="BJ13" s="97"/>
      <c r="BK13" s="58"/>
      <c r="BL13" s="59"/>
      <c r="BM13" s="86"/>
      <c r="BN13" s="86"/>
      <c r="BO13" s="98"/>
      <c r="BQ13" s="86" t="s">
        <v>5</v>
      </c>
      <c r="BR13" s="86">
        <v>5</v>
      </c>
      <c r="BS13" s="58">
        <v>7.1</v>
      </c>
      <c r="BT13" s="96"/>
      <c r="BU13" s="96"/>
      <c r="BV13" s="53">
        <v>21.83</v>
      </c>
      <c r="BW13" s="58">
        <f t="shared" si="12"/>
        <v>14.729999999999999</v>
      </c>
      <c r="BX13" s="97">
        <v>7.3</v>
      </c>
      <c r="BY13" s="58">
        <v>1</v>
      </c>
      <c r="BZ13" s="59">
        <f t="shared" si="13"/>
        <v>6.4299999999999988</v>
      </c>
      <c r="CA13" s="86">
        <v>6</v>
      </c>
      <c r="CB13" s="86">
        <f t="shared" si="14"/>
        <v>42.999999999999886</v>
      </c>
      <c r="CC13" s="98"/>
      <c r="CE13" s="86" t="s">
        <v>5</v>
      </c>
      <c r="CF13" s="86">
        <v>5</v>
      </c>
      <c r="CG13" s="58">
        <v>7.25</v>
      </c>
      <c r="CH13" s="96"/>
      <c r="CI13" s="96"/>
      <c r="CJ13" s="53">
        <v>21.87</v>
      </c>
      <c r="CK13" s="58">
        <f t="shared" si="15"/>
        <v>14.620000000000001</v>
      </c>
      <c r="CL13" s="97">
        <v>7.3</v>
      </c>
      <c r="CM13" s="58">
        <v>1</v>
      </c>
      <c r="CN13" s="59">
        <f t="shared" si="16"/>
        <v>6.3200000000000012</v>
      </c>
      <c r="CO13" s="86">
        <v>6</v>
      </c>
      <c r="CP13" s="86">
        <f t="shared" si="17"/>
        <v>32.000000000000114</v>
      </c>
      <c r="CQ13" s="98"/>
      <c r="CR13" s="86" t="s">
        <v>5</v>
      </c>
      <c r="CS13" s="86">
        <v>5</v>
      </c>
      <c r="CT13" s="58">
        <v>7.15</v>
      </c>
      <c r="CU13" s="96"/>
      <c r="CV13" s="96"/>
      <c r="CW13" s="53">
        <v>21.83</v>
      </c>
      <c r="CX13" s="58">
        <f t="shared" si="18"/>
        <v>14.679999999999998</v>
      </c>
      <c r="CY13" s="97">
        <v>7.3</v>
      </c>
      <c r="CZ13" s="58">
        <v>1</v>
      </c>
      <c r="DA13" s="59">
        <f t="shared" si="19"/>
        <v>6.3799999999999981</v>
      </c>
      <c r="DB13" s="86">
        <v>6</v>
      </c>
      <c r="DC13" s="86">
        <f t="shared" si="20"/>
        <v>37.999999999999815</v>
      </c>
      <c r="DD13" s="98"/>
      <c r="DF13" s="86" t="s">
        <v>5</v>
      </c>
      <c r="DG13" s="86">
        <v>5</v>
      </c>
      <c r="DH13" s="58"/>
      <c r="DI13" s="96"/>
      <c r="DJ13" s="96"/>
      <c r="DK13" s="53"/>
      <c r="DL13" s="58"/>
      <c r="DM13" s="97"/>
      <c r="DN13" s="58"/>
      <c r="DO13" s="59"/>
      <c r="DP13" s="86"/>
      <c r="DQ13" s="86"/>
      <c r="DR13" s="98"/>
      <c r="DT13" s="86" t="s">
        <v>5</v>
      </c>
      <c r="DU13" s="86">
        <v>5</v>
      </c>
      <c r="DV13" s="58">
        <v>7.3</v>
      </c>
      <c r="DW13" s="96"/>
      <c r="DX13" s="96"/>
      <c r="DY13" s="53">
        <v>21.87</v>
      </c>
      <c r="DZ13" s="58">
        <f t="shared" si="24"/>
        <v>14.57</v>
      </c>
      <c r="EA13" s="97">
        <v>7.3</v>
      </c>
      <c r="EB13" s="58">
        <v>1</v>
      </c>
      <c r="EC13" s="59">
        <f t="shared" si="25"/>
        <v>6.2700000000000005</v>
      </c>
      <c r="ED13" s="86">
        <v>6</v>
      </c>
      <c r="EE13" s="86">
        <f t="shared" si="26"/>
        <v>27.000000000000046</v>
      </c>
      <c r="EF13" s="98"/>
      <c r="EG13" s="86" t="s">
        <v>5</v>
      </c>
      <c r="EH13" s="86">
        <v>5</v>
      </c>
      <c r="EI13" s="58">
        <v>7.2</v>
      </c>
      <c r="EJ13" s="96"/>
      <c r="EK13" s="96"/>
      <c r="EL13" s="53">
        <v>21.82</v>
      </c>
      <c r="EM13" s="58">
        <f t="shared" si="27"/>
        <v>14.620000000000001</v>
      </c>
      <c r="EN13" s="97">
        <v>7.3</v>
      </c>
      <c r="EO13" s="58">
        <v>1</v>
      </c>
      <c r="EP13" s="59">
        <f t="shared" si="28"/>
        <v>6.3200000000000012</v>
      </c>
      <c r="EQ13" s="86">
        <v>6</v>
      </c>
      <c r="ER13" s="86">
        <f t="shared" si="29"/>
        <v>32.000000000000114</v>
      </c>
      <c r="ES13" s="98"/>
      <c r="EU13" s="86" t="s">
        <v>5</v>
      </c>
      <c r="EV13" s="86">
        <v>5</v>
      </c>
      <c r="EW13" s="58">
        <v>7.1</v>
      </c>
      <c r="EX13" s="96"/>
      <c r="EY13" s="96"/>
      <c r="EZ13" s="53">
        <v>21.85</v>
      </c>
      <c r="FA13" s="58">
        <f t="shared" si="59"/>
        <v>14.750000000000002</v>
      </c>
      <c r="FB13" s="97">
        <v>7.3</v>
      </c>
      <c r="FC13" s="58">
        <v>1</v>
      </c>
      <c r="FD13" s="59">
        <f t="shared" si="30"/>
        <v>6.450000000000002</v>
      </c>
      <c r="FE13" s="86">
        <v>6</v>
      </c>
      <c r="FF13" s="86">
        <f t="shared" si="31"/>
        <v>45.000000000000199</v>
      </c>
      <c r="FG13" s="98"/>
      <c r="FH13" s="86" t="s">
        <v>5</v>
      </c>
      <c r="FI13" s="86">
        <v>5</v>
      </c>
      <c r="FJ13" s="58">
        <v>7.1</v>
      </c>
      <c r="FK13" s="96"/>
      <c r="FL13" s="96"/>
      <c r="FM13" s="53">
        <v>21.82</v>
      </c>
      <c r="FN13" s="58">
        <f t="shared" si="32"/>
        <v>14.72</v>
      </c>
      <c r="FO13" s="97">
        <v>7.3</v>
      </c>
      <c r="FP13" s="58">
        <v>1</v>
      </c>
      <c r="FQ13" s="59">
        <f t="shared" si="33"/>
        <v>6.4200000000000008</v>
      </c>
      <c r="FR13" s="86">
        <v>6</v>
      </c>
      <c r="FS13" s="86">
        <f t="shared" si="34"/>
        <v>42.000000000000085</v>
      </c>
      <c r="FT13" s="98"/>
      <c r="FV13" s="86" t="s">
        <v>5</v>
      </c>
      <c r="FW13" s="86">
        <v>5</v>
      </c>
      <c r="FX13" s="58">
        <v>7.15</v>
      </c>
      <c r="FY13" s="96"/>
      <c r="FZ13" s="96"/>
      <c r="GA13" s="53">
        <v>21.89</v>
      </c>
      <c r="GB13" s="58">
        <f t="shared" si="35"/>
        <v>14.74</v>
      </c>
      <c r="GC13" s="97">
        <v>7.3</v>
      </c>
      <c r="GD13" s="58">
        <v>1</v>
      </c>
      <c r="GE13" s="59">
        <f t="shared" si="36"/>
        <v>6.44</v>
      </c>
      <c r="GF13" s="86">
        <v>6</v>
      </c>
      <c r="GG13" s="86">
        <f t="shared" si="37"/>
        <v>44.000000000000043</v>
      </c>
      <c r="GH13" s="98"/>
      <c r="GI13" s="86" t="s">
        <v>5</v>
      </c>
      <c r="GJ13" s="86">
        <v>5</v>
      </c>
      <c r="GK13" s="58">
        <v>7.1</v>
      </c>
      <c r="GL13" s="96"/>
      <c r="GM13" s="96"/>
      <c r="GN13" s="53">
        <v>20.48</v>
      </c>
      <c r="GO13" s="58">
        <f t="shared" si="38"/>
        <v>13.38</v>
      </c>
      <c r="GP13" s="97">
        <v>7.3</v>
      </c>
      <c r="GQ13" s="58">
        <v>1</v>
      </c>
      <c r="GR13" s="59">
        <f t="shared" si="39"/>
        <v>5.080000000000001</v>
      </c>
      <c r="GS13" s="86">
        <v>5</v>
      </c>
      <c r="GT13" s="86">
        <f t="shared" si="40"/>
        <v>8.0000000000000959</v>
      </c>
      <c r="GU13" s="98"/>
      <c r="GW13" s="86" t="s">
        <v>5</v>
      </c>
      <c r="GX13" s="86">
        <v>5</v>
      </c>
      <c r="GY13" s="58">
        <v>7.1</v>
      </c>
      <c r="GZ13" s="96"/>
      <c r="HA13" s="96"/>
      <c r="HB13" s="53">
        <v>20.48</v>
      </c>
      <c r="HC13" s="58">
        <f t="shared" si="41"/>
        <v>13.38</v>
      </c>
      <c r="HD13" s="97">
        <v>7.3</v>
      </c>
      <c r="HE13" s="58">
        <v>1</v>
      </c>
      <c r="HF13" s="59">
        <f t="shared" si="42"/>
        <v>5.080000000000001</v>
      </c>
      <c r="HG13" s="86">
        <v>5</v>
      </c>
      <c r="HH13" s="86">
        <f t="shared" si="43"/>
        <v>8.0000000000000959</v>
      </c>
      <c r="HI13" s="98"/>
      <c r="HJ13" s="86" t="s">
        <v>5</v>
      </c>
      <c r="HK13" s="86">
        <v>5</v>
      </c>
      <c r="HL13" s="58">
        <v>7.1</v>
      </c>
      <c r="HM13" s="96"/>
      <c r="HN13" s="96"/>
      <c r="HO13" s="53">
        <v>21.82</v>
      </c>
      <c r="HP13" s="58">
        <f t="shared" si="44"/>
        <v>14.72</v>
      </c>
      <c r="HQ13" s="97">
        <v>7.3</v>
      </c>
      <c r="HR13" s="58">
        <v>1</v>
      </c>
      <c r="HS13" s="59">
        <f t="shared" si="45"/>
        <v>6.4200000000000008</v>
      </c>
      <c r="HT13" s="86">
        <v>6</v>
      </c>
      <c r="HU13" s="86">
        <f t="shared" si="46"/>
        <v>42.000000000000085</v>
      </c>
      <c r="HV13" s="98"/>
      <c r="HX13" s="86"/>
      <c r="HY13" s="86"/>
      <c r="HZ13" s="58"/>
      <c r="IA13" s="58"/>
      <c r="IB13" s="58"/>
      <c r="IC13" s="58"/>
      <c r="ID13" s="58"/>
      <c r="IE13" s="97"/>
      <c r="IF13" s="58"/>
      <c r="IG13" s="59"/>
      <c r="IH13" s="86"/>
      <c r="II13" s="86"/>
      <c r="IJ13" s="98"/>
      <c r="IK13" s="86" t="s">
        <v>5</v>
      </c>
      <c r="IL13" s="86">
        <v>5</v>
      </c>
      <c r="IM13" s="58">
        <v>7.05</v>
      </c>
      <c r="IN13" s="96"/>
      <c r="IO13" s="96"/>
      <c r="IP13" s="53">
        <v>21.84</v>
      </c>
      <c r="IQ13" s="58">
        <f t="shared" si="47"/>
        <v>14.79</v>
      </c>
      <c r="IR13" s="97">
        <v>7.3</v>
      </c>
      <c r="IS13" s="58">
        <v>1</v>
      </c>
      <c r="IT13" s="59">
        <f t="shared" si="48"/>
        <v>6.4899999999999993</v>
      </c>
      <c r="IU13" s="86">
        <v>6</v>
      </c>
      <c r="IV13" s="86">
        <f t="shared" si="49"/>
        <v>48.999999999999929</v>
      </c>
      <c r="IW13" s="98"/>
      <c r="IY13" s="86" t="s">
        <v>5</v>
      </c>
      <c r="IZ13" s="86">
        <v>5</v>
      </c>
      <c r="JA13" s="58">
        <v>7.1</v>
      </c>
      <c r="JB13" s="96"/>
      <c r="JC13" s="96"/>
      <c r="JD13" s="53">
        <v>21.83</v>
      </c>
      <c r="JE13" s="58">
        <f t="shared" si="50"/>
        <v>14.729999999999999</v>
      </c>
      <c r="JF13" s="97">
        <v>7.3</v>
      </c>
      <c r="JG13" s="58">
        <v>1</v>
      </c>
      <c r="JH13" s="59">
        <f t="shared" si="51"/>
        <v>6.4299999999999988</v>
      </c>
      <c r="JI13" s="86">
        <v>6</v>
      </c>
      <c r="JJ13" s="86">
        <f t="shared" si="52"/>
        <v>42.999999999999886</v>
      </c>
      <c r="JK13" s="98"/>
      <c r="JL13" s="86" t="s">
        <v>5</v>
      </c>
      <c r="JM13" s="86">
        <v>5</v>
      </c>
      <c r="JN13" s="58">
        <v>7.1</v>
      </c>
      <c r="JO13" s="96"/>
      <c r="JP13" s="96"/>
      <c r="JQ13" s="53">
        <v>19.690000000000001</v>
      </c>
      <c r="JR13" s="58">
        <f t="shared" si="53"/>
        <v>12.590000000000002</v>
      </c>
      <c r="JS13" s="97">
        <v>7.3</v>
      </c>
      <c r="JT13" s="58">
        <v>1</v>
      </c>
      <c r="JU13" s="59">
        <f t="shared" si="54"/>
        <v>4.2900000000000018</v>
      </c>
      <c r="JV13" s="86">
        <v>4</v>
      </c>
      <c r="JW13" s="86">
        <f t="shared" si="55"/>
        <v>29.000000000000181</v>
      </c>
      <c r="JX13" s="98"/>
      <c r="JZ13" s="86" t="s">
        <v>5</v>
      </c>
      <c r="KA13" s="86">
        <v>5</v>
      </c>
      <c r="KB13" s="58">
        <v>7.2</v>
      </c>
      <c r="KC13" s="96"/>
      <c r="KD13" s="96"/>
      <c r="KE13" s="53">
        <v>21.81</v>
      </c>
      <c r="KF13" s="58">
        <f t="shared" si="56"/>
        <v>14.61</v>
      </c>
      <c r="KG13" s="97">
        <v>7.3</v>
      </c>
      <c r="KH13" s="58">
        <v>1</v>
      </c>
      <c r="KI13" s="59">
        <f t="shared" si="57"/>
        <v>6.31</v>
      </c>
      <c r="KJ13" s="86">
        <v>6</v>
      </c>
      <c r="KK13" s="86">
        <f t="shared" si="58"/>
        <v>30.999999999999961</v>
      </c>
      <c r="KL13" s="98"/>
    </row>
    <row r="14" spans="1:298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0"/>
        <v>0</v>
      </c>
      <c r="H14" s="56"/>
      <c r="I14" s="52"/>
      <c r="J14" s="57">
        <f t="shared" si="1"/>
        <v>0</v>
      </c>
      <c r="K14" s="55">
        <v>0</v>
      </c>
      <c r="L14" s="55">
        <f t="shared" si="2"/>
        <v>0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>
        <v>0</v>
      </c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>
        <f t="shared" si="6"/>
        <v>0</v>
      </c>
      <c r="AI14" s="56"/>
      <c r="AJ14" s="52"/>
      <c r="AK14" s="57">
        <f t="shared" si="7"/>
        <v>0</v>
      </c>
      <c r="AL14" s="55">
        <v>0</v>
      </c>
      <c r="AM14" s="55">
        <f t="shared" si="8"/>
        <v>0</v>
      </c>
      <c r="AN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>
        <v>0</v>
      </c>
      <c r="BA14" s="55">
        <f t="shared" si="11"/>
        <v>0</v>
      </c>
      <c r="BB14" s="95"/>
      <c r="BC14" s="86"/>
      <c r="BD14" s="86"/>
      <c r="BE14" s="58"/>
      <c r="BF14" s="58"/>
      <c r="BG14" s="58"/>
      <c r="BH14" s="58"/>
      <c r="BI14" s="58"/>
      <c r="BJ14" s="97"/>
      <c r="BK14" s="58"/>
      <c r="BL14" s="59"/>
      <c r="BM14" s="86"/>
      <c r="BN14" s="86"/>
      <c r="BO14" s="98"/>
      <c r="BQ14" s="55" t="s">
        <v>6</v>
      </c>
      <c r="BR14" s="55">
        <v>6</v>
      </c>
      <c r="BS14" s="52"/>
      <c r="BT14" s="52"/>
      <c r="BU14" s="52"/>
      <c r="BV14" s="52"/>
      <c r="BW14" s="52">
        <f t="shared" si="12"/>
        <v>0</v>
      </c>
      <c r="BX14" s="56"/>
      <c r="BY14" s="52"/>
      <c r="BZ14" s="57">
        <f t="shared" si="13"/>
        <v>0</v>
      </c>
      <c r="CA14" s="55">
        <v>0</v>
      </c>
      <c r="CB14" s="55">
        <f t="shared" si="14"/>
        <v>0</v>
      </c>
      <c r="CC14" s="95"/>
      <c r="CE14" s="55" t="s">
        <v>6</v>
      </c>
      <c r="CF14" s="55">
        <v>6</v>
      </c>
      <c r="CG14" s="52"/>
      <c r="CH14" s="52"/>
      <c r="CI14" s="52"/>
      <c r="CJ14" s="52"/>
      <c r="CK14" s="52">
        <f t="shared" si="15"/>
        <v>0</v>
      </c>
      <c r="CL14" s="56"/>
      <c r="CM14" s="52"/>
      <c r="CN14" s="57">
        <f t="shared" si="16"/>
        <v>0</v>
      </c>
      <c r="CO14" s="55">
        <v>0</v>
      </c>
      <c r="CP14" s="55">
        <f t="shared" si="17"/>
        <v>0</v>
      </c>
      <c r="CQ14" s="95"/>
      <c r="CR14" s="55" t="s">
        <v>6</v>
      </c>
      <c r="CS14" s="55">
        <v>6</v>
      </c>
      <c r="CT14" s="52"/>
      <c r="CU14" s="52"/>
      <c r="CV14" s="52"/>
      <c r="CW14" s="52"/>
      <c r="CX14" s="52">
        <f t="shared" si="18"/>
        <v>0</v>
      </c>
      <c r="CY14" s="56"/>
      <c r="CZ14" s="52"/>
      <c r="DA14" s="57">
        <f t="shared" si="19"/>
        <v>0</v>
      </c>
      <c r="DB14" s="55">
        <v>0</v>
      </c>
      <c r="DC14" s="55">
        <f t="shared" si="20"/>
        <v>0</v>
      </c>
      <c r="DD14" s="95"/>
      <c r="DF14" s="55" t="s">
        <v>6</v>
      </c>
      <c r="DG14" s="55">
        <v>6</v>
      </c>
      <c r="DH14" s="52"/>
      <c r="DI14" s="52"/>
      <c r="DJ14" s="52"/>
      <c r="DK14" s="52"/>
      <c r="DL14" s="52">
        <f t="shared" si="21"/>
        <v>0</v>
      </c>
      <c r="DM14" s="56"/>
      <c r="DN14" s="52"/>
      <c r="DO14" s="57">
        <f t="shared" si="22"/>
        <v>0</v>
      </c>
      <c r="DP14" s="55">
        <v>0</v>
      </c>
      <c r="DQ14" s="55">
        <f t="shared" si="23"/>
        <v>0</v>
      </c>
      <c r="DR14" s="95"/>
      <c r="DT14" s="55" t="s">
        <v>6</v>
      </c>
      <c r="DU14" s="55">
        <v>6</v>
      </c>
      <c r="DV14" s="52"/>
      <c r="DW14" s="52"/>
      <c r="DX14" s="52"/>
      <c r="DY14" s="52"/>
      <c r="DZ14" s="52">
        <f t="shared" si="24"/>
        <v>0</v>
      </c>
      <c r="EA14" s="56"/>
      <c r="EB14" s="52"/>
      <c r="EC14" s="57">
        <f t="shared" si="25"/>
        <v>0</v>
      </c>
      <c r="ED14" s="55">
        <v>0</v>
      </c>
      <c r="EE14" s="55">
        <f t="shared" si="26"/>
        <v>0</v>
      </c>
      <c r="EF14" s="95"/>
      <c r="EG14" s="55" t="s">
        <v>6</v>
      </c>
      <c r="EH14" s="55">
        <v>6</v>
      </c>
      <c r="EI14" s="52"/>
      <c r="EJ14" s="52"/>
      <c r="EK14" s="52"/>
      <c r="EL14" s="52"/>
      <c r="EM14" s="52">
        <f t="shared" si="27"/>
        <v>0</v>
      </c>
      <c r="EN14" s="56"/>
      <c r="EO14" s="52"/>
      <c r="EP14" s="57">
        <f t="shared" si="28"/>
        <v>0</v>
      </c>
      <c r="EQ14" s="55">
        <v>0</v>
      </c>
      <c r="ER14" s="55">
        <f t="shared" si="29"/>
        <v>0</v>
      </c>
      <c r="ES14" s="95"/>
      <c r="EU14" s="55" t="s">
        <v>6</v>
      </c>
      <c r="EV14" s="55">
        <v>6</v>
      </c>
      <c r="EW14" s="52"/>
      <c r="EX14" s="52"/>
      <c r="EY14" s="52"/>
      <c r="EZ14" s="52"/>
      <c r="FA14" s="52">
        <f t="shared" si="59"/>
        <v>0</v>
      </c>
      <c r="FB14" s="56"/>
      <c r="FC14" s="52"/>
      <c r="FD14" s="57">
        <f t="shared" si="30"/>
        <v>0</v>
      </c>
      <c r="FE14" s="55">
        <v>0</v>
      </c>
      <c r="FF14" s="55">
        <f t="shared" si="31"/>
        <v>0</v>
      </c>
      <c r="FG14" s="95"/>
      <c r="FH14" s="55" t="s">
        <v>6</v>
      </c>
      <c r="FI14" s="55">
        <v>6</v>
      </c>
      <c r="FJ14" s="52"/>
      <c r="FK14" s="52"/>
      <c r="FL14" s="52"/>
      <c r="FM14" s="52"/>
      <c r="FN14" s="52">
        <f t="shared" si="32"/>
        <v>0</v>
      </c>
      <c r="FO14" s="56"/>
      <c r="FP14" s="52"/>
      <c r="FQ14" s="57">
        <f t="shared" si="33"/>
        <v>0</v>
      </c>
      <c r="FR14" s="55">
        <v>0</v>
      </c>
      <c r="FS14" s="55">
        <f t="shared" si="34"/>
        <v>0</v>
      </c>
      <c r="FT14" s="95"/>
      <c r="FV14" s="55" t="s">
        <v>6</v>
      </c>
      <c r="FW14" s="55">
        <v>6</v>
      </c>
      <c r="FX14" s="52"/>
      <c r="FY14" s="52"/>
      <c r="FZ14" s="52"/>
      <c r="GA14" s="52"/>
      <c r="GB14" s="52">
        <f t="shared" si="35"/>
        <v>0</v>
      </c>
      <c r="GC14" s="56"/>
      <c r="GD14" s="52"/>
      <c r="GE14" s="57">
        <f t="shared" si="36"/>
        <v>0</v>
      </c>
      <c r="GF14" s="55">
        <v>0</v>
      </c>
      <c r="GG14" s="55">
        <f t="shared" si="37"/>
        <v>0</v>
      </c>
      <c r="GH14" s="95"/>
      <c r="GI14" s="55" t="s">
        <v>6</v>
      </c>
      <c r="GJ14" s="55">
        <v>6</v>
      </c>
      <c r="GK14" s="52"/>
      <c r="GL14" s="52"/>
      <c r="GM14" s="52">
        <v>9.4499999999999993</v>
      </c>
      <c r="GN14" s="52">
        <v>12.68</v>
      </c>
      <c r="GO14" s="52">
        <f t="shared" si="38"/>
        <v>3.2300000000000004</v>
      </c>
      <c r="GP14" s="56"/>
      <c r="GQ14" s="52"/>
      <c r="GR14" s="57">
        <f t="shared" si="39"/>
        <v>3.2300000000000004</v>
      </c>
      <c r="GS14" s="55">
        <v>3</v>
      </c>
      <c r="GT14" s="55">
        <f t="shared" si="40"/>
        <v>23.000000000000043</v>
      </c>
      <c r="GU14" s="95"/>
      <c r="GW14" s="55" t="s">
        <v>6</v>
      </c>
      <c r="GX14" s="55">
        <v>6</v>
      </c>
      <c r="GY14" s="52"/>
      <c r="GZ14" s="52"/>
      <c r="HA14" s="52">
        <v>8.35</v>
      </c>
      <c r="HB14" s="52">
        <v>12.69</v>
      </c>
      <c r="HC14" s="52">
        <f t="shared" si="41"/>
        <v>4.34</v>
      </c>
      <c r="HD14" s="56"/>
      <c r="HE14" s="52"/>
      <c r="HF14" s="57">
        <f t="shared" si="42"/>
        <v>4.34</v>
      </c>
      <c r="HG14" s="55">
        <v>4</v>
      </c>
      <c r="HH14" s="55">
        <f t="shared" si="43"/>
        <v>33.999999999999986</v>
      </c>
      <c r="HI14" s="95"/>
      <c r="HJ14" s="55" t="s">
        <v>6</v>
      </c>
      <c r="HK14" s="55">
        <v>6</v>
      </c>
      <c r="HL14" s="52"/>
      <c r="HM14" s="52"/>
      <c r="HN14" s="52"/>
      <c r="HO14" s="52"/>
      <c r="HP14" s="52">
        <f t="shared" si="44"/>
        <v>0</v>
      </c>
      <c r="HQ14" s="56"/>
      <c r="HR14" s="52"/>
      <c r="HS14" s="57">
        <f t="shared" si="45"/>
        <v>0</v>
      </c>
      <c r="HT14" s="55">
        <v>0</v>
      </c>
      <c r="HU14" s="55">
        <f t="shared" si="46"/>
        <v>0</v>
      </c>
      <c r="HV14" s="95"/>
      <c r="HX14" s="86"/>
      <c r="HY14" s="86"/>
      <c r="HZ14" s="58"/>
      <c r="IA14" s="58"/>
      <c r="IB14" s="58"/>
      <c r="IC14" s="58"/>
      <c r="ID14" s="58"/>
      <c r="IE14" s="97"/>
      <c r="IF14" s="58"/>
      <c r="IG14" s="59"/>
      <c r="IH14" s="86"/>
      <c r="II14" s="86"/>
      <c r="IJ14" s="98"/>
      <c r="IK14" s="55" t="s">
        <v>6</v>
      </c>
      <c r="IL14" s="55">
        <v>6</v>
      </c>
      <c r="IM14" s="52"/>
      <c r="IN14" s="52"/>
      <c r="IO14" s="52"/>
      <c r="IP14" s="52"/>
      <c r="IQ14" s="52">
        <f t="shared" si="47"/>
        <v>0</v>
      </c>
      <c r="IR14" s="56"/>
      <c r="IS14" s="52"/>
      <c r="IT14" s="57">
        <f t="shared" si="48"/>
        <v>0</v>
      </c>
      <c r="IU14" s="55">
        <v>0</v>
      </c>
      <c r="IV14" s="55">
        <f t="shared" si="49"/>
        <v>0</v>
      </c>
      <c r="IW14" s="95"/>
      <c r="IY14" s="55" t="s">
        <v>6</v>
      </c>
      <c r="IZ14" s="55">
        <v>6</v>
      </c>
      <c r="JA14" s="52"/>
      <c r="JB14" s="52"/>
      <c r="JC14" s="52"/>
      <c r="JD14" s="52"/>
      <c r="JE14" s="52">
        <f t="shared" si="50"/>
        <v>0</v>
      </c>
      <c r="JF14" s="56"/>
      <c r="JG14" s="52"/>
      <c r="JH14" s="57">
        <f t="shared" si="51"/>
        <v>0</v>
      </c>
      <c r="JI14" s="55">
        <v>0</v>
      </c>
      <c r="JJ14" s="55">
        <f t="shared" si="52"/>
        <v>0</v>
      </c>
      <c r="JK14" s="95"/>
      <c r="JL14" s="55" t="s">
        <v>6</v>
      </c>
      <c r="JM14" s="55">
        <v>6</v>
      </c>
      <c r="JN14" s="52"/>
      <c r="JO14" s="52"/>
      <c r="JP14" s="52"/>
      <c r="JQ14" s="52"/>
      <c r="JR14" s="52">
        <f t="shared" si="53"/>
        <v>0</v>
      </c>
      <c r="JS14" s="56"/>
      <c r="JT14" s="52"/>
      <c r="JU14" s="57">
        <f t="shared" si="54"/>
        <v>0</v>
      </c>
      <c r="JV14" s="55">
        <v>0</v>
      </c>
      <c r="JW14" s="55">
        <f t="shared" si="55"/>
        <v>0</v>
      </c>
      <c r="JX14" s="95"/>
      <c r="JZ14" s="55" t="s">
        <v>6</v>
      </c>
      <c r="KA14" s="55">
        <v>6</v>
      </c>
      <c r="KB14" s="52"/>
      <c r="KC14" s="52"/>
      <c r="KD14" s="52"/>
      <c r="KE14" s="52"/>
      <c r="KF14" s="52">
        <f t="shared" si="56"/>
        <v>0</v>
      </c>
      <c r="KG14" s="56"/>
      <c r="KH14" s="52"/>
      <c r="KI14" s="57">
        <f t="shared" si="57"/>
        <v>0</v>
      </c>
      <c r="KJ14" s="55">
        <v>0</v>
      </c>
      <c r="KK14" s="55">
        <f t="shared" si="58"/>
        <v>0</v>
      </c>
      <c r="KL14" s="95"/>
    </row>
    <row r="15" spans="1:298" ht="17.149999999999999" customHeight="1" x14ac:dyDescent="0.35">
      <c r="A15" s="86" t="s">
        <v>1</v>
      </c>
      <c r="B15" s="94">
        <v>7</v>
      </c>
      <c r="C15" s="58">
        <v>7.15</v>
      </c>
      <c r="D15" s="96"/>
      <c r="E15" s="96"/>
      <c r="F15" s="53">
        <v>20.82</v>
      </c>
      <c r="G15" s="58">
        <f t="shared" si="0"/>
        <v>13.67</v>
      </c>
      <c r="H15" s="97">
        <v>7.3</v>
      </c>
      <c r="I15" s="58">
        <v>1</v>
      </c>
      <c r="J15" s="59">
        <f t="shared" si="1"/>
        <v>5.37</v>
      </c>
      <c r="K15" s="86">
        <v>5</v>
      </c>
      <c r="L15" s="86">
        <f t="shared" si="2"/>
        <v>37.000000000000014</v>
      </c>
      <c r="M15" s="98"/>
      <c r="O15" s="86" t="s">
        <v>1</v>
      </c>
      <c r="P15" s="94">
        <v>7</v>
      </c>
      <c r="Q15" s="58">
        <v>7.15</v>
      </c>
      <c r="R15" s="96"/>
      <c r="S15" s="96"/>
      <c r="T15" s="53">
        <v>20.86</v>
      </c>
      <c r="U15" s="58">
        <f t="shared" si="3"/>
        <v>13.709999999999999</v>
      </c>
      <c r="V15" s="97">
        <v>7.3</v>
      </c>
      <c r="W15" s="58">
        <v>1</v>
      </c>
      <c r="X15" s="59">
        <f t="shared" si="4"/>
        <v>5.4099999999999993</v>
      </c>
      <c r="Y15" s="86">
        <v>5</v>
      </c>
      <c r="Z15" s="86">
        <f t="shared" si="5"/>
        <v>40.999999999999929</v>
      </c>
      <c r="AA15" s="98"/>
      <c r="AB15" s="86" t="s">
        <v>1</v>
      </c>
      <c r="AC15" s="94">
        <v>7</v>
      </c>
      <c r="AD15" s="58">
        <v>7.15</v>
      </c>
      <c r="AE15" s="96"/>
      <c r="AF15" s="96"/>
      <c r="AG15" s="53">
        <v>19.600000000000001</v>
      </c>
      <c r="AH15" s="58">
        <f t="shared" si="6"/>
        <v>12.450000000000001</v>
      </c>
      <c r="AI15" s="97">
        <v>7.3</v>
      </c>
      <c r="AJ15" s="58">
        <v>1</v>
      </c>
      <c r="AK15" s="59">
        <f t="shared" si="7"/>
        <v>4.1500000000000012</v>
      </c>
      <c r="AL15" s="86">
        <v>4</v>
      </c>
      <c r="AM15" s="86">
        <f t="shared" si="8"/>
        <v>15.000000000000124</v>
      </c>
      <c r="AN15" s="98"/>
      <c r="AP15" s="86" t="s">
        <v>1</v>
      </c>
      <c r="AQ15" s="94">
        <v>7</v>
      </c>
      <c r="AR15" s="58">
        <v>7.2</v>
      </c>
      <c r="AS15" s="96"/>
      <c r="AT15" s="96"/>
      <c r="AU15" s="53">
        <v>20.86</v>
      </c>
      <c r="AV15" s="58">
        <f t="shared" si="9"/>
        <v>13.66</v>
      </c>
      <c r="AW15" s="97">
        <v>7.3</v>
      </c>
      <c r="AX15" s="58">
        <v>1</v>
      </c>
      <c r="AY15" s="59">
        <f t="shared" si="10"/>
        <v>5.36</v>
      </c>
      <c r="AZ15" s="86">
        <v>5</v>
      </c>
      <c r="BA15" s="86">
        <f t="shared" si="11"/>
        <v>36.000000000000028</v>
      </c>
      <c r="BB15" s="98"/>
      <c r="BC15" s="86"/>
      <c r="BD15" s="94"/>
      <c r="BE15" s="58"/>
      <c r="BF15" s="58"/>
      <c r="BG15" s="58"/>
      <c r="BH15" s="58"/>
      <c r="BI15" s="58"/>
      <c r="BJ15" s="97"/>
      <c r="BK15" s="58"/>
      <c r="BL15" s="59"/>
      <c r="BM15" s="86"/>
      <c r="BN15" s="86"/>
      <c r="BO15" s="98"/>
      <c r="BQ15" s="86" t="s">
        <v>1</v>
      </c>
      <c r="BR15" s="94">
        <v>7</v>
      </c>
      <c r="BS15" s="99">
        <v>8.15</v>
      </c>
      <c r="BT15" s="96"/>
      <c r="BU15" s="96"/>
      <c r="BV15" s="53">
        <v>20.95</v>
      </c>
      <c r="BW15" s="58">
        <f t="shared" si="12"/>
        <v>12.799999999999999</v>
      </c>
      <c r="BX15" s="97">
        <v>7.3</v>
      </c>
      <c r="BY15" s="58">
        <v>1</v>
      </c>
      <c r="BZ15" s="59">
        <f t="shared" si="13"/>
        <v>4.4999999999999991</v>
      </c>
      <c r="CA15" s="86">
        <v>4</v>
      </c>
      <c r="CB15" s="86">
        <f t="shared" si="14"/>
        <v>49.999999999999915</v>
      </c>
      <c r="CC15" s="98"/>
      <c r="CE15" s="86" t="s">
        <v>1</v>
      </c>
      <c r="CF15" s="94">
        <v>7</v>
      </c>
      <c r="CG15" s="99">
        <v>8.3000000000000007</v>
      </c>
      <c r="CH15" s="96"/>
      <c r="CI15" s="96"/>
      <c r="CJ15" s="53">
        <v>21.47</v>
      </c>
      <c r="CK15" s="58">
        <f t="shared" si="15"/>
        <v>13.169999999999998</v>
      </c>
      <c r="CL15" s="97">
        <v>7.3</v>
      </c>
      <c r="CM15" s="58">
        <v>1.4</v>
      </c>
      <c r="CN15" s="59">
        <f t="shared" si="16"/>
        <v>4.4699999999999989</v>
      </c>
      <c r="CO15" s="86">
        <v>4</v>
      </c>
      <c r="CP15" s="86">
        <f t="shared" si="17"/>
        <v>46.999999999999886</v>
      </c>
      <c r="CQ15" s="98"/>
      <c r="CR15" s="86" t="s">
        <v>1</v>
      </c>
      <c r="CS15" s="94">
        <v>7</v>
      </c>
      <c r="CT15" s="58">
        <v>7.15</v>
      </c>
      <c r="CU15" s="96"/>
      <c r="CV15" s="96"/>
      <c r="CW15" s="53">
        <v>20.95</v>
      </c>
      <c r="CX15" s="58">
        <f t="shared" si="18"/>
        <v>13.799999999999999</v>
      </c>
      <c r="CY15" s="97">
        <v>7.3</v>
      </c>
      <c r="CZ15" s="58">
        <v>1</v>
      </c>
      <c r="DA15" s="59">
        <f t="shared" si="19"/>
        <v>5.4999999999999991</v>
      </c>
      <c r="DB15" s="86">
        <v>5</v>
      </c>
      <c r="DC15" s="86">
        <f t="shared" si="20"/>
        <v>49.999999999999915</v>
      </c>
      <c r="DD15" s="98"/>
      <c r="DF15" s="86" t="s">
        <v>1</v>
      </c>
      <c r="DG15" s="94">
        <v>7</v>
      </c>
      <c r="DH15" s="58">
        <v>7.4</v>
      </c>
      <c r="DI15" s="96"/>
      <c r="DJ15" s="96"/>
      <c r="DK15" s="53">
        <v>18.8</v>
      </c>
      <c r="DL15" s="58">
        <f t="shared" si="21"/>
        <v>11.4</v>
      </c>
      <c r="DM15" s="97">
        <v>7.3</v>
      </c>
      <c r="DN15" s="58">
        <v>1</v>
      </c>
      <c r="DO15" s="59">
        <f t="shared" si="22"/>
        <v>3.1000000000000005</v>
      </c>
      <c r="DP15" s="86">
        <v>3</v>
      </c>
      <c r="DQ15" s="86">
        <f t="shared" si="23"/>
        <v>10.000000000000053</v>
      </c>
      <c r="DR15" s="98"/>
      <c r="DT15" s="86" t="s">
        <v>1</v>
      </c>
      <c r="DU15" s="94">
        <v>7</v>
      </c>
      <c r="DV15" s="58"/>
      <c r="DW15" s="96"/>
      <c r="DX15" s="96"/>
      <c r="DY15" s="53"/>
      <c r="DZ15" s="58"/>
      <c r="EA15" s="97"/>
      <c r="EB15" s="58"/>
      <c r="EC15" s="59"/>
      <c r="ED15" s="86"/>
      <c r="EE15" s="86"/>
      <c r="EF15" s="98" t="s">
        <v>227</v>
      </c>
      <c r="EG15" s="86" t="s">
        <v>1</v>
      </c>
      <c r="EH15" s="94">
        <v>7</v>
      </c>
      <c r="EI15" s="58">
        <v>7.2</v>
      </c>
      <c r="EJ15" s="96"/>
      <c r="EK15" s="96"/>
      <c r="EL15" s="53">
        <v>20.82</v>
      </c>
      <c r="EM15" s="58">
        <f t="shared" si="27"/>
        <v>13.620000000000001</v>
      </c>
      <c r="EN15" s="97">
        <v>7.3</v>
      </c>
      <c r="EO15" s="58">
        <v>1</v>
      </c>
      <c r="EP15" s="59">
        <f t="shared" si="28"/>
        <v>5.3200000000000012</v>
      </c>
      <c r="EQ15" s="86">
        <v>5</v>
      </c>
      <c r="ER15" s="86">
        <f t="shared" si="29"/>
        <v>32.000000000000114</v>
      </c>
      <c r="ES15" s="98"/>
      <c r="EU15" s="86" t="s">
        <v>1</v>
      </c>
      <c r="EV15" s="94">
        <v>7</v>
      </c>
      <c r="EW15" s="58">
        <v>7.1</v>
      </c>
      <c r="EX15" s="96"/>
      <c r="EY15" s="96"/>
      <c r="EZ15" s="53">
        <v>21.42</v>
      </c>
      <c r="FA15" s="58">
        <f t="shared" si="59"/>
        <v>14.320000000000002</v>
      </c>
      <c r="FB15" s="97">
        <v>7.3</v>
      </c>
      <c r="FC15" s="58">
        <v>1</v>
      </c>
      <c r="FD15" s="59">
        <f t="shared" si="30"/>
        <v>6.0200000000000022</v>
      </c>
      <c r="FE15" s="86">
        <v>6</v>
      </c>
      <c r="FF15" s="86">
        <f t="shared" si="31"/>
        <v>2.0000000000002238</v>
      </c>
      <c r="FG15" s="98"/>
      <c r="FH15" s="86" t="s">
        <v>1</v>
      </c>
      <c r="FI15" s="94">
        <v>7</v>
      </c>
      <c r="FJ15" s="58">
        <v>7.1</v>
      </c>
      <c r="FK15" s="96"/>
      <c r="FL15" s="96"/>
      <c r="FM15" s="53">
        <v>20.86</v>
      </c>
      <c r="FN15" s="58">
        <f t="shared" si="32"/>
        <v>13.76</v>
      </c>
      <c r="FO15" s="97">
        <v>7.3</v>
      </c>
      <c r="FP15" s="58">
        <v>1</v>
      </c>
      <c r="FQ15" s="59">
        <f t="shared" si="33"/>
        <v>5.46</v>
      </c>
      <c r="FR15" s="86">
        <v>5</v>
      </c>
      <c r="FS15" s="86">
        <f t="shared" si="34"/>
        <v>46</v>
      </c>
      <c r="FT15" s="98"/>
      <c r="FV15" s="86" t="s">
        <v>1</v>
      </c>
      <c r="FW15" s="94">
        <v>7</v>
      </c>
      <c r="FX15" s="58">
        <v>7.15</v>
      </c>
      <c r="FY15" s="96"/>
      <c r="FZ15" s="96"/>
      <c r="GA15" s="53">
        <v>21.45</v>
      </c>
      <c r="GB15" s="58">
        <f t="shared" si="35"/>
        <v>14.299999999999999</v>
      </c>
      <c r="GC15" s="97">
        <v>7.3</v>
      </c>
      <c r="GD15" s="58">
        <v>1.4</v>
      </c>
      <c r="GE15" s="59">
        <f t="shared" si="36"/>
        <v>5.6</v>
      </c>
      <c r="GF15" s="86">
        <v>5</v>
      </c>
      <c r="GG15" s="86">
        <f t="shared" si="37"/>
        <v>59.999999999999964</v>
      </c>
      <c r="GH15" s="98"/>
      <c r="GI15" s="86" t="s">
        <v>1</v>
      </c>
      <c r="GJ15" s="94">
        <v>7</v>
      </c>
      <c r="GK15" s="58">
        <v>7.1</v>
      </c>
      <c r="GL15" s="96"/>
      <c r="GM15" s="96"/>
      <c r="GN15" s="53">
        <v>20.83</v>
      </c>
      <c r="GO15" s="58">
        <f t="shared" si="38"/>
        <v>13.729999999999999</v>
      </c>
      <c r="GP15" s="97">
        <v>7.3</v>
      </c>
      <c r="GQ15" s="58">
        <v>1</v>
      </c>
      <c r="GR15" s="59">
        <f t="shared" si="39"/>
        <v>5.4299999999999988</v>
      </c>
      <c r="GS15" s="86">
        <v>5</v>
      </c>
      <c r="GT15" s="86">
        <f t="shared" si="40"/>
        <v>42.999999999999886</v>
      </c>
      <c r="GU15" s="98"/>
      <c r="GW15" s="86" t="s">
        <v>1</v>
      </c>
      <c r="GX15" s="94">
        <v>7</v>
      </c>
      <c r="GY15" s="58">
        <v>7.1</v>
      </c>
      <c r="GZ15" s="96"/>
      <c r="HA15" s="96"/>
      <c r="HB15" s="53">
        <v>20.82</v>
      </c>
      <c r="HC15" s="58">
        <f t="shared" si="41"/>
        <v>13.72</v>
      </c>
      <c r="HD15" s="97">
        <v>7.3</v>
      </c>
      <c r="HE15" s="58">
        <v>1</v>
      </c>
      <c r="HF15" s="59">
        <f t="shared" si="42"/>
        <v>5.4200000000000008</v>
      </c>
      <c r="HG15" s="86">
        <v>5</v>
      </c>
      <c r="HH15" s="86">
        <f t="shared" si="43"/>
        <v>42.000000000000085</v>
      </c>
      <c r="HI15" s="98"/>
      <c r="HJ15" s="86" t="s">
        <v>1</v>
      </c>
      <c r="HK15" s="94">
        <v>7</v>
      </c>
      <c r="HL15" s="58">
        <v>7.1</v>
      </c>
      <c r="HM15" s="96"/>
      <c r="HN15" s="96"/>
      <c r="HO15" s="53">
        <v>20.89</v>
      </c>
      <c r="HP15" s="58">
        <f t="shared" si="44"/>
        <v>13.790000000000001</v>
      </c>
      <c r="HQ15" s="97">
        <v>7.3</v>
      </c>
      <c r="HR15" s="58">
        <v>1</v>
      </c>
      <c r="HS15" s="59">
        <f t="shared" si="45"/>
        <v>5.4900000000000011</v>
      </c>
      <c r="HT15" s="86">
        <v>5</v>
      </c>
      <c r="HU15" s="86">
        <f t="shared" si="46"/>
        <v>49.000000000000114</v>
      </c>
      <c r="HV15" s="98"/>
      <c r="HX15" s="86"/>
      <c r="HY15" s="94"/>
      <c r="HZ15" s="58"/>
      <c r="IA15" s="58"/>
      <c r="IB15" s="58"/>
      <c r="IC15" s="58"/>
      <c r="ID15" s="58"/>
      <c r="IE15" s="97"/>
      <c r="IF15" s="58"/>
      <c r="IG15" s="59"/>
      <c r="IH15" s="86"/>
      <c r="II15" s="86"/>
      <c r="IJ15" s="98"/>
      <c r="IK15" s="86" t="s">
        <v>1</v>
      </c>
      <c r="IL15" s="94">
        <v>7</v>
      </c>
      <c r="IM15" s="58">
        <v>7.05</v>
      </c>
      <c r="IN15" s="96"/>
      <c r="IO15" s="96"/>
      <c r="IP15" s="53">
        <v>20.85</v>
      </c>
      <c r="IQ15" s="58">
        <f t="shared" si="47"/>
        <v>13.8</v>
      </c>
      <c r="IR15" s="97">
        <v>7.3</v>
      </c>
      <c r="IS15" s="58">
        <v>1</v>
      </c>
      <c r="IT15" s="59">
        <f t="shared" si="48"/>
        <v>5.5000000000000009</v>
      </c>
      <c r="IU15" s="86">
        <v>5</v>
      </c>
      <c r="IV15" s="86">
        <f t="shared" si="49"/>
        <v>50.000000000000085</v>
      </c>
      <c r="IW15" s="98"/>
      <c r="IY15" s="86" t="s">
        <v>1</v>
      </c>
      <c r="IZ15" s="94">
        <v>7</v>
      </c>
      <c r="JA15" s="58">
        <v>7.1</v>
      </c>
      <c r="JB15" s="96"/>
      <c r="JC15" s="96"/>
      <c r="JD15" s="53">
        <v>20.95</v>
      </c>
      <c r="JE15" s="58">
        <f t="shared" si="50"/>
        <v>13.85</v>
      </c>
      <c r="JF15" s="97">
        <v>7.3</v>
      </c>
      <c r="JG15" s="58">
        <v>1</v>
      </c>
      <c r="JH15" s="59">
        <f t="shared" si="51"/>
        <v>5.55</v>
      </c>
      <c r="JI15" s="86">
        <v>5</v>
      </c>
      <c r="JJ15" s="86">
        <f t="shared" si="52"/>
        <v>54.999999999999986</v>
      </c>
      <c r="JK15" s="98"/>
      <c r="JL15" s="86" t="s">
        <v>1</v>
      </c>
      <c r="JM15" s="94">
        <v>7</v>
      </c>
      <c r="JN15" s="58">
        <v>7.1</v>
      </c>
      <c r="JO15" s="96"/>
      <c r="JP15" s="96"/>
      <c r="JQ15" s="53">
        <v>19.600000000000001</v>
      </c>
      <c r="JR15" s="58">
        <f t="shared" si="53"/>
        <v>12.500000000000002</v>
      </c>
      <c r="JS15" s="97">
        <v>7.3</v>
      </c>
      <c r="JT15" s="58">
        <v>1</v>
      </c>
      <c r="JU15" s="59">
        <f t="shared" si="54"/>
        <v>4.200000000000002</v>
      </c>
      <c r="JV15" s="86">
        <v>4</v>
      </c>
      <c r="JW15" s="86">
        <f t="shared" si="55"/>
        <v>20.000000000000195</v>
      </c>
      <c r="JX15" s="98"/>
      <c r="JZ15" s="86" t="s">
        <v>1</v>
      </c>
      <c r="KA15" s="94">
        <v>7</v>
      </c>
      <c r="KB15" s="58">
        <v>7.2</v>
      </c>
      <c r="KC15" s="96"/>
      <c r="KD15" s="96"/>
      <c r="KE15" s="53">
        <v>20.82</v>
      </c>
      <c r="KF15" s="58">
        <f t="shared" si="56"/>
        <v>13.620000000000001</v>
      </c>
      <c r="KG15" s="97">
        <v>7.3</v>
      </c>
      <c r="KH15" s="58">
        <v>1</v>
      </c>
      <c r="KI15" s="59">
        <f t="shared" si="57"/>
        <v>5.3200000000000012</v>
      </c>
      <c r="KJ15" s="86">
        <v>5</v>
      </c>
      <c r="KK15" s="86">
        <f t="shared" si="58"/>
        <v>32.000000000000114</v>
      </c>
      <c r="KL15" s="98"/>
    </row>
    <row r="16" spans="1:298" ht="17.149999999999999" customHeight="1" x14ac:dyDescent="0.35">
      <c r="A16" s="86" t="s">
        <v>216</v>
      </c>
      <c r="B16" s="86">
        <v>8</v>
      </c>
      <c r="C16" s="58">
        <v>7.15</v>
      </c>
      <c r="D16" s="96"/>
      <c r="E16" s="96"/>
      <c r="F16" s="53">
        <v>20.52</v>
      </c>
      <c r="G16" s="58">
        <f t="shared" si="0"/>
        <v>13.37</v>
      </c>
      <c r="H16" s="97">
        <v>7.3</v>
      </c>
      <c r="I16" s="58">
        <v>1</v>
      </c>
      <c r="J16" s="59">
        <f t="shared" si="1"/>
        <v>5.0699999999999994</v>
      </c>
      <c r="K16" s="86">
        <v>5</v>
      </c>
      <c r="L16" s="86">
        <f t="shared" si="2"/>
        <v>6.9999999999999396</v>
      </c>
      <c r="M16" s="87"/>
      <c r="O16" s="86" t="s">
        <v>216</v>
      </c>
      <c r="P16" s="86">
        <v>8</v>
      </c>
      <c r="Q16" s="58">
        <v>7.15</v>
      </c>
      <c r="R16" s="96"/>
      <c r="S16" s="96"/>
      <c r="T16" s="53">
        <v>20.91</v>
      </c>
      <c r="U16" s="58">
        <f t="shared" si="3"/>
        <v>13.76</v>
      </c>
      <c r="V16" s="97">
        <v>7.3</v>
      </c>
      <c r="W16" s="58">
        <v>1</v>
      </c>
      <c r="X16" s="59">
        <f t="shared" si="4"/>
        <v>5.46</v>
      </c>
      <c r="Y16" s="86">
        <v>5</v>
      </c>
      <c r="Z16" s="86">
        <f t="shared" si="5"/>
        <v>46</v>
      </c>
      <c r="AA16" s="87"/>
      <c r="AB16" s="86" t="s">
        <v>216</v>
      </c>
      <c r="AC16" s="86">
        <v>8</v>
      </c>
      <c r="AD16" s="58">
        <v>7.15</v>
      </c>
      <c r="AE16" s="96"/>
      <c r="AF16" s="96"/>
      <c r="AG16" s="53">
        <v>18.96</v>
      </c>
      <c r="AH16" s="58">
        <f t="shared" si="6"/>
        <v>11.81</v>
      </c>
      <c r="AI16" s="97">
        <v>7.3</v>
      </c>
      <c r="AJ16" s="58">
        <v>1</v>
      </c>
      <c r="AK16" s="59">
        <f t="shared" si="7"/>
        <v>3.5100000000000007</v>
      </c>
      <c r="AL16" s="86">
        <v>3</v>
      </c>
      <c r="AM16" s="86">
        <f t="shared" si="8"/>
        <v>51.000000000000071</v>
      </c>
      <c r="AN16" s="87"/>
      <c r="AP16" s="86" t="s">
        <v>216</v>
      </c>
      <c r="AQ16" s="86">
        <v>8</v>
      </c>
      <c r="AR16" s="58">
        <v>7.2</v>
      </c>
      <c r="AS16" s="96"/>
      <c r="AT16" s="96"/>
      <c r="AU16" s="53">
        <v>20.82</v>
      </c>
      <c r="AV16" s="58">
        <f t="shared" si="9"/>
        <v>13.620000000000001</v>
      </c>
      <c r="AW16" s="97">
        <v>7.3</v>
      </c>
      <c r="AX16" s="58">
        <v>1</v>
      </c>
      <c r="AY16" s="59">
        <f t="shared" si="10"/>
        <v>5.3200000000000012</v>
      </c>
      <c r="AZ16" s="86">
        <v>5</v>
      </c>
      <c r="BA16" s="86">
        <f t="shared" si="11"/>
        <v>32.000000000000114</v>
      </c>
      <c r="BB16" s="87"/>
      <c r="BC16" s="86"/>
      <c r="BD16" s="86"/>
      <c r="BE16" s="58"/>
      <c r="BF16" s="58"/>
      <c r="BG16" s="58"/>
      <c r="BH16" s="58"/>
      <c r="BI16" s="58"/>
      <c r="BJ16" s="97"/>
      <c r="BK16" s="58"/>
      <c r="BL16" s="59"/>
      <c r="BM16" s="86"/>
      <c r="BN16" s="86"/>
      <c r="BO16" s="87"/>
      <c r="BQ16" s="86" t="s">
        <v>216</v>
      </c>
      <c r="BR16" s="86">
        <v>8</v>
      </c>
      <c r="BS16" s="58">
        <v>7.1</v>
      </c>
      <c r="BT16" s="96"/>
      <c r="BU16" s="96"/>
      <c r="BV16" s="53">
        <v>20.64</v>
      </c>
      <c r="BW16" s="58">
        <f t="shared" si="12"/>
        <v>13.540000000000001</v>
      </c>
      <c r="BX16" s="97">
        <v>7.3</v>
      </c>
      <c r="BY16" s="58">
        <v>1</v>
      </c>
      <c r="BZ16" s="59">
        <f t="shared" si="13"/>
        <v>5.2400000000000011</v>
      </c>
      <c r="CA16" s="86">
        <v>5</v>
      </c>
      <c r="CB16" s="86">
        <f t="shared" si="14"/>
        <v>24.00000000000011</v>
      </c>
      <c r="CC16" s="87"/>
      <c r="CE16" s="86" t="s">
        <v>216</v>
      </c>
      <c r="CF16" s="86">
        <v>8</v>
      </c>
      <c r="CG16" s="58">
        <v>7.25</v>
      </c>
      <c r="CH16" s="96"/>
      <c r="CI16" s="96"/>
      <c r="CJ16" s="53">
        <v>20.79</v>
      </c>
      <c r="CK16" s="58">
        <f t="shared" si="15"/>
        <v>13.54</v>
      </c>
      <c r="CL16" s="97">
        <v>7.3</v>
      </c>
      <c r="CM16" s="58">
        <v>1</v>
      </c>
      <c r="CN16" s="59">
        <f t="shared" si="16"/>
        <v>5.2399999999999993</v>
      </c>
      <c r="CO16" s="86">
        <v>5</v>
      </c>
      <c r="CP16" s="86">
        <f t="shared" si="17"/>
        <v>23.999999999999932</v>
      </c>
      <c r="CQ16" s="87"/>
      <c r="CR16" s="86" t="s">
        <v>216</v>
      </c>
      <c r="CS16" s="86">
        <v>8</v>
      </c>
      <c r="CT16" s="58">
        <v>7.15</v>
      </c>
      <c r="CU16" s="96"/>
      <c r="CV16" s="96"/>
      <c r="CW16" s="53">
        <v>20.64</v>
      </c>
      <c r="CX16" s="58">
        <f t="shared" si="18"/>
        <v>13.49</v>
      </c>
      <c r="CY16" s="97">
        <v>7.3</v>
      </c>
      <c r="CZ16" s="58">
        <v>1</v>
      </c>
      <c r="DA16" s="59">
        <f t="shared" si="19"/>
        <v>5.19</v>
      </c>
      <c r="DB16" s="86">
        <v>5</v>
      </c>
      <c r="DC16" s="86">
        <f t="shared" si="20"/>
        <v>19.000000000000039</v>
      </c>
      <c r="DD16" s="87"/>
      <c r="DF16" s="86" t="s">
        <v>216</v>
      </c>
      <c r="DG16" s="86">
        <v>8</v>
      </c>
      <c r="DH16" s="58"/>
      <c r="DI16" s="96"/>
      <c r="DJ16" s="96"/>
      <c r="DK16" s="53"/>
      <c r="DL16" s="58"/>
      <c r="DM16" s="97">
        <v>7.3</v>
      </c>
      <c r="DN16" s="58"/>
      <c r="DO16" s="59"/>
      <c r="DP16" s="86"/>
      <c r="DQ16" s="86"/>
      <c r="DR16" s="86" t="s">
        <v>229</v>
      </c>
      <c r="DT16" s="86" t="s">
        <v>216</v>
      </c>
      <c r="DU16" s="86">
        <v>8</v>
      </c>
      <c r="DV16" s="58">
        <v>7.3</v>
      </c>
      <c r="DW16" s="96"/>
      <c r="DX16" s="96"/>
      <c r="DY16" s="53">
        <v>20.55</v>
      </c>
      <c r="DZ16" s="58">
        <f t="shared" si="24"/>
        <v>13.25</v>
      </c>
      <c r="EA16" s="97">
        <v>7.3</v>
      </c>
      <c r="EB16" s="58">
        <v>1.4</v>
      </c>
      <c r="EC16" s="59">
        <f t="shared" si="25"/>
        <v>4.5500000000000007</v>
      </c>
      <c r="ED16" s="86">
        <v>4</v>
      </c>
      <c r="EE16" s="86">
        <f t="shared" si="26"/>
        <v>55.000000000000071</v>
      </c>
      <c r="EF16" s="87"/>
      <c r="EG16" s="86" t="s">
        <v>216</v>
      </c>
      <c r="EH16" s="86">
        <v>8</v>
      </c>
      <c r="EI16" s="58">
        <v>7.2</v>
      </c>
      <c r="EJ16" s="96"/>
      <c r="EK16" s="96"/>
      <c r="EL16" s="53">
        <v>20.55</v>
      </c>
      <c r="EM16" s="58">
        <f t="shared" si="27"/>
        <v>13.350000000000001</v>
      </c>
      <c r="EN16" s="97">
        <v>7.3</v>
      </c>
      <c r="EO16" s="58">
        <v>1</v>
      </c>
      <c r="EP16" s="59">
        <f t="shared" si="28"/>
        <v>5.0500000000000016</v>
      </c>
      <c r="EQ16" s="86">
        <v>5</v>
      </c>
      <c r="ER16" s="86">
        <f t="shared" si="29"/>
        <v>5.0000000000001599</v>
      </c>
      <c r="ES16" s="87"/>
      <c r="EU16" s="86" t="s">
        <v>216</v>
      </c>
      <c r="EV16" s="86">
        <v>8</v>
      </c>
      <c r="EW16" s="58">
        <v>7.1</v>
      </c>
      <c r="EX16" s="96"/>
      <c r="EY16" s="96"/>
      <c r="EZ16" s="53">
        <v>20.81</v>
      </c>
      <c r="FA16" s="58">
        <f t="shared" si="59"/>
        <v>13.709999999999999</v>
      </c>
      <c r="FB16" s="97">
        <v>7.3</v>
      </c>
      <c r="FC16" s="58">
        <v>1</v>
      </c>
      <c r="FD16" s="59">
        <f t="shared" si="30"/>
        <v>5.4099999999999993</v>
      </c>
      <c r="FE16" s="86">
        <v>5</v>
      </c>
      <c r="FF16" s="86">
        <f t="shared" si="31"/>
        <v>40.999999999999929</v>
      </c>
      <c r="FG16" s="87"/>
      <c r="FH16" s="86" t="s">
        <v>216</v>
      </c>
      <c r="FI16" s="86">
        <v>8</v>
      </c>
      <c r="FJ16" s="58">
        <v>7.1</v>
      </c>
      <c r="FK16" s="96"/>
      <c r="FL16" s="96"/>
      <c r="FM16" s="53">
        <v>11.6</v>
      </c>
      <c r="FN16" s="58">
        <f t="shared" si="32"/>
        <v>4.5</v>
      </c>
      <c r="FO16" s="97">
        <v>7.3</v>
      </c>
      <c r="FP16" s="58">
        <v>1</v>
      </c>
      <c r="FQ16" s="59">
        <f t="shared" si="33"/>
        <v>-3.8</v>
      </c>
      <c r="FR16" s="86">
        <v>-3</v>
      </c>
      <c r="FS16" s="86">
        <f t="shared" si="34"/>
        <v>-79.999999999999986</v>
      </c>
      <c r="FT16" s="87"/>
      <c r="FV16" s="86" t="s">
        <v>216</v>
      </c>
      <c r="FW16" s="86">
        <v>8</v>
      </c>
      <c r="FX16" s="58">
        <v>7.15</v>
      </c>
      <c r="FY16" s="96"/>
      <c r="FZ16" s="96"/>
      <c r="GA16" s="139">
        <v>12</v>
      </c>
      <c r="GB16" s="58">
        <f t="shared" si="35"/>
        <v>4.8499999999999996</v>
      </c>
      <c r="GC16" s="97">
        <v>7.3</v>
      </c>
      <c r="GD16" s="58">
        <v>1</v>
      </c>
      <c r="GE16" s="59">
        <f t="shared" si="36"/>
        <v>-3.45</v>
      </c>
      <c r="GF16" s="86">
        <v>-3</v>
      </c>
      <c r="GG16" s="86">
        <f t="shared" si="37"/>
        <v>-45.000000000000014</v>
      </c>
      <c r="GH16" s="98" t="s">
        <v>217</v>
      </c>
      <c r="GI16" s="86" t="s">
        <v>216</v>
      </c>
      <c r="GJ16" s="86">
        <v>8</v>
      </c>
      <c r="GK16" s="58">
        <v>7.1</v>
      </c>
      <c r="GL16" s="96"/>
      <c r="GM16" s="96"/>
      <c r="GN16" s="53">
        <v>20.51</v>
      </c>
      <c r="GO16" s="58">
        <f t="shared" si="38"/>
        <v>13.410000000000002</v>
      </c>
      <c r="GP16" s="97">
        <v>7.3</v>
      </c>
      <c r="GQ16" s="58">
        <v>1</v>
      </c>
      <c r="GR16" s="59">
        <f t="shared" si="39"/>
        <v>5.1100000000000021</v>
      </c>
      <c r="GS16" s="86">
        <v>5</v>
      </c>
      <c r="GT16" s="86">
        <f t="shared" si="40"/>
        <v>11.00000000000021</v>
      </c>
      <c r="GU16" s="87"/>
      <c r="GW16" s="86" t="s">
        <v>216</v>
      </c>
      <c r="GX16" s="86">
        <v>8</v>
      </c>
      <c r="GY16" s="58">
        <v>7.1</v>
      </c>
      <c r="GZ16" s="96"/>
      <c r="HA16" s="96"/>
      <c r="HB16" s="53">
        <v>20.51</v>
      </c>
      <c r="HC16" s="58">
        <f t="shared" si="41"/>
        <v>13.410000000000002</v>
      </c>
      <c r="HD16" s="97">
        <v>7.3</v>
      </c>
      <c r="HE16" s="58">
        <v>1</v>
      </c>
      <c r="HF16" s="59">
        <f t="shared" si="42"/>
        <v>5.1100000000000021</v>
      </c>
      <c r="HG16" s="86">
        <v>5</v>
      </c>
      <c r="HH16" s="86">
        <f t="shared" si="43"/>
        <v>11.00000000000021</v>
      </c>
      <c r="HI16" s="87"/>
      <c r="HJ16" s="86" t="s">
        <v>216</v>
      </c>
      <c r="HK16" s="86">
        <v>8</v>
      </c>
      <c r="HL16" s="58">
        <v>7.1</v>
      </c>
      <c r="HM16" s="96"/>
      <c r="HN16" s="96"/>
      <c r="HO16" s="53">
        <v>20.51</v>
      </c>
      <c r="HP16" s="58">
        <f t="shared" si="44"/>
        <v>13.410000000000002</v>
      </c>
      <c r="HQ16" s="97">
        <v>7.3</v>
      </c>
      <c r="HR16" s="58">
        <v>1</v>
      </c>
      <c r="HS16" s="59">
        <f t="shared" si="45"/>
        <v>5.1100000000000021</v>
      </c>
      <c r="HT16" s="86">
        <v>5</v>
      </c>
      <c r="HU16" s="86">
        <f t="shared" si="46"/>
        <v>11.00000000000021</v>
      </c>
      <c r="HV16" s="87"/>
      <c r="HX16" s="86"/>
      <c r="HY16" s="86"/>
      <c r="HZ16" s="58"/>
      <c r="IA16" s="58"/>
      <c r="IB16" s="58"/>
      <c r="IC16" s="58"/>
      <c r="ID16" s="58"/>
      <c r="IE16" s="97"/>
      <c r="IF16" s="58"/>
      <c r="IG16" s="59"/>
      <c r="IH16" s="86"/>
      <c r="II16" s="86"/>
      <c r="IJ16" s="87"/>
      <c r="IK16" s="86" t="s">
        <v>216</v>
      </c>
      <c r="IL16" s="86">
        <v>8</v>
      </c>
      <c r="IM16" s="58">
        <v>7.05</v>
      </c>
      <c r="IN16" s="96"/>
      <c r="IO16" s="96"/>
      <c r="IP16" s="53">
        <v>20.52</v>
      </c>
      <c r="IQ16" s="58">
        <f t="shared" si="47"/>
        <v>13.469999999999999</v>
      </c>
      <c r="IR16" s="97">
        <v>7.3</v>
      </c>
      <c r="IS16" s="58">
        <v>1</v>
      </c>
      <c r="IT16" s="59">
        <f t="shared" si="48"/>
        <v>5.169999999999999</v>
      </c>
      <c r="IU16" s="86">
        <v>5</v>
      </c>
      <c r="IV16" s="86">
        <f t="shared" si="49"/>
        <v>16.999999999999904</v>
      </c>
      <c r="IW16" s="87"/>
      <c r="IY16" s="86" t="s">
        <v>216</v>
      </c>
      <c r="IZ16" s="86">
        <v>8</v>
      </c>
      <c r="JA16" s="58">
        <v>7.1</v>
      </c>
      <c r="JB16" s="96"/>
      <c r="JC16" s="96"/>
      <c r="JD16" s="53">
        <v>20.64</v>
      </c>
      <c r="JE16" s="58">
        <f t="shared" si="50"/>
        <v>13.540000000000001</v>
      </c>
      <c r="JF16" s="97">
        <v>7.3</v>
      </c>
      <c r="JG16" s="58">
        <v>1</v>
      </c>
      <c r="JH16" s="59">
        <f t="shared" si="51"/>
        <v>5.2400000000000011</v>
      </c>
      <c r="JI16" s="86">
        <v>5</v>
      </c>
      <c r="JJ16" s="86">
        <f t="shared" si="52"/>
        <v>24.00000000000011</v>
      </c>
      <c r="JK16" s="87"/>
      <c r="JL16" s="86" t="s">
        <v>216</v>
      </c>
      <c r="JM16" s="86">
        <v>8</v>
      </c>
      <c r="JN16" s="58">
        <v>7.1</v>
      </c>
      <c r="JO16" s="96"/>
      <c r="JP16" s="96"/>
      <c r="JQ16" s="53">
        <v>18.96</v>
      </c>
      <c r="JR16" s="58">
        <f t="shared" si="53"/>
        <v>11.860000000000001</v>
      </c>
      <c r="JS16" s="97">
        <v>7.3</v>
      </c>
      <c r="JT16" s="58">
        <v>1</v>
      </c>
      <c r="JU16" s="59">
        <f t="shared" si="54"/>
        <v>3.5600000000000014</v>
      </c>
      <c r="JV16" s="86">
        <v>3</v>
      </c>
      <c r="JW16" s="86">
        <f t="shared" si="55"/>
        <v>56.000000000000142</v>
      </c>
      <c r="JX16" s="87"/>
      <c r="JZ16" s="86" t="s">
        <v>216</v>
      </c>
      <c r="KA16" s="86">
        <v>8</v>
      </c>
      <c r="KB16" s="58">
        <v>7.2</v>
      </c>
      <c r="KC16" s="96"/>
      <c r="KD16" s="96"/>
      <c r="KE16" s="53">
        <v>20.82</v>
      </c>
      <c r="KF16" s="58">
        <f t="shared" si="56"/>
        <v>13.620000000000001</v>
      </c>
      <c r="KG16" s="97">
        <v>7.3</v>
      </c>
      <c r="KH16" s="58">
        <v>1</v>
      </c>
      <c r="KI16" s="59">
        <f t="shared" si="57"/>
        <v>5.3200000000000012</v>
      </c>
      <c r="KJ16" s="86">
        <v>5</v>
      </c>
      <c r="KK16" s="86">
        <f t="shared" si="58"/>
        <v>32.000000000000114</v>
      </c>
      <c r="KL16" s="87"/>
    </row>
    <row r="17" spans="1:298" ht="17.149999999999999" customHeight="1" x14ac:dyDescent="0.35">
      <c r="A17" s="86" t="s">
        <v>2</v>
      </c>
      <c r="B17" s="86">
        <v>9</v>
      </c>
      <c r="C17" s="58">
        <v>7.15</v>
      </c>
      <c r="D17" s="96"/>
      <c r="E17" s="96"/>
      <c r="F17" s="53">
        <v>18.829999999999998</v>
      </c>
      <c r="G17" s="58">
        <f t="shared" si="0"/>
        <v>11.679999999999998</v>
      </c>
      <c r="H17" s="97">
        <v>7.3</v>
      </c>
      <c r="I17" s="58">
        <v>1</v>
      </c>
      <c r="J17" s="59">
        <f t="shared" si="1"/>
        <v>3.3799999999999981</v>
      </c>
      <c r="K17" s="86">
        <v>3</v>
      </c>
      <c r="L17" s="86">
        <f t="shared" si="2"/>
        <v>37.999999999999815</v>
      </c>
      <c r="M17" s="98"/>
      <c r="O17" s="86" t="s">
        <v>2</v>
      </c>
      <c r="P17" s="86">
        <v>9</v>
      </c>
      <c r="Q17" s="58">
        <v>7.15</v>
      </c>
      <c r="R17" s="96"/>
      <c r="S17" s="96"/>
      <c r="T17" s="53">
        <v>18.899999999999999</v>
      </c>
      <c r="U17" s="58">
        <f t="shared" si="3"/>
        <v>11.749999999999998</v>
      </c>
      <c r="V17" s="97">
        <v>7.3</v>
      </c>
      <c r="W17" s="58">
        <v>1</v>
      </c>
      <c r="X17" s="59">
        <f t="shared" si="4"/>
        <v>3.4499999999999984</v>
      </c>
      <c r="Y17" s="86">
        <v>3</v>
      </c>
      <c r="Z17" s="86">
        <f t="shared" si="5"/>
        <v>44.999999999999844</v>
      </c>
      <c r="AA17" s="98"/>
      <c r="AB17" s="86" t="s">
        <v>2</v>
      </c>
      <c r="AC17" s="86">
        <v>9</v>
      </c>
      <c r="AD17" s="58">
        <v>7.15</v>
      </c>
      <c r="AE17" s="96"/>
      <c r="AF17" s="96"/>
      <c r="AG17" s="53">
        <v>18.62</v>
      </c>
      <c r="AH17" s="58">
        <f t="shared" si="6"/>
        <v>11.47</v>
      </c>
      <c r="AI17" s="97">
        <v>7.3</v>
      </c>
      <c r="AJ17" s="58">
        <v>1</v>
      </c>
      <c r="AK17" s="59">
        <f t="shared" si="7"/>
        <v>3.1700000000000008</v>
      </c>
      <c r="AL17" s="86">
        <v>3</v>
      </c>
      <c r="AM17" s="86">
        <f t="shared" si="8"/>
        <v>17.000000000000082</v>
      </c>
      <c r="AN17" s="98"/>
      <c r="AP17" s="86" t="s">
        <v>2</v>
      </c>
      <c r="AQ17" s="86">
        <v>9</v>
      </c>
      <c r="AR17" s="58">
        <v>7.2</v>
      </c>
      <c r="AS17" s="96"/>
      <c r="AT17" s="96"/>
      <c r="AU17" s="53">
        <v>18.88</v>
      </c>
      <c r="AV17" s="58">
        <f t="shared" si="9"/>
        <v>11.68</v>
      </c>
      <c r="AW17" s="97">
        <v>7.3</v>
      </c>
      <c r="AX17" s="58">
        <v>1</v>
      </c>
      <c r="AY17" s="59">
        <f t="shared" si="10"/>
        <v>3.38</v>
      </c>
      <c r="AZ17" s="86">
        <v>3</v>
      </c>
      <c r="BA17" s="86">
        <f t="shared" si="11"/>
        <v>37.999999999999986</v>
      </c>
      <c r="BB17" s="98"/>
      <c r="BC17" s="55"/>
      <c r="BD17" s="55"/>
      <c r="BE17" s="52"/>
      <c r="BF17" s="52"/>
      <c r="BG17" s="52"/>
      <c r="BH17" s="52"/>
      <c r="BI17" s="52"/>
      <c r="BJ17" s="56"/>
      <c r="BK17" s="52"/>
      <c r="BL17" s="57"/>
      <c r="BM17" s="55"/>
      <c r="BN17" s="82"/>
      <c r="BO17" s="95"/>
      <c r="BQ17" s="86" t="s">
        <v>2</v>
      </c>
      <c r="BR17" s="86">
        <v>9</v>
      </c>
      <c r="BS17" s="58">
        <v>7.1</v>
      </c>
      <c r="BT17" s="96"/>
      <c r="BU17" s="96"/>
      <c r="BV17" s="53">
        <v>19.7</v>
      </c>
      <c r="BW17" s="58">
        <f t="shared" si="12"/>
        <v>12.6</v>
      </c>
      <c r="BX17" s="97">
        <v>7.3</v>
      </c>
      <c r="BY17" s="58">
        <v>1</v>
      </c>
      <c r="BZ17" s="59">
        <f t="shared" si="13"/>
        <v>4.3</v>
      </c>
      <c r="CA17" s="86">
        <v>4</v>
      </c>
      <c r="CB17" s="86">
        <f t="shared" si="14"/>
        <v>29.999999999999982</v>
      </c>
      <c r="CC17" s="98"/>
      <c r="CE17" s="86" t="s">
        <v>2</v>
      </c>
      <c r="CF17" s="86">
        <v>9</v>
      </c>
      <c r="CG17" s="99">
        <v>7.5</v>
      </c>
      <c r="CH17" s="96"/>
      <c r="CI17" s="96"/>
      <c r="CJ17" s="53">
        <v>18.86</v>
      </c>
      <c r="CK17" s="58">
        <f t="shared" si="15"/>
        <v>11.36</v>
      </c>
      <c r="CL17" s="97">
        <v>7.3</v>
      </c>
      <c r="CM17" s="58">
        <v>1</v>
      </c>
      <c r="CN17" s="59">
        <f t="shared" si="16"/>
        <v>3.0599999999999996</v>
      </c>
      <c r="CO17" s="86">
        <v>3</v>
      </c>
      <c r="CP17" s="86">
        <f t="shared" si="17"/>
        <v>5.9999999999999609</v>
      </c>
      <c r="CQ17" s="98"/>
      <c r="CR17" s="86" t="s">
        <v>2</v>
      </c>
      <c r="CS17" s="86">
        <v>9</v>
      </c>
      <c r="CT17" s="58">
        <v>7.15</v>
      </c>
      <c r="CU17" s="96"/>
      <c r="CV17" s="96"/>
      <c r="CW17" s="53">
        <v>19.7</v>
      </c>
      <c r="CX17" s="58">
        <f t="shared" si="18"/>
        <v>12.549999999999999</v>
      </c>
      <c r="CY17" s="97">
        <v>7.3</v>
      </c>
      <c r="CZ17" s="58">
        <v>1</v>
      </c>
      <c r="DA17" s="59">
        <f t="shared" si="19"/>
        <v>4.2499999999999991</v>
      </c>
      <c r="DB17" s="86">
        <v>4</v>
      </c>
      <c r="DC17" s="86">
        <f t="shared" si="20"/>
        <v>24.999999999999911</v>
      </c>
      <c r="DD17" s="98"/>
      <c r="DF17" s="86" t="s">
        <v>2</v>
      </c>
      <c r="DG17" s="86">
        <v>9</v>
      </c>
      <c r="DH17" s="58">
        <v>7.4</v>
      </c>
      <c r="DI17" s="96"/>
      <c r="DJ17" s="96"/>
      <c r="DK17" s="53">
        <v>18.84</v>
      </c>
      <c r="DL17" s="58">
        <f t="shared" si="21"/>
        <v>11.44</v>
      </c>
      <c r="DM17" s="97">
        <v>7.3</v>
      </c>
      <c r="DN17" s="58">
        <v>1</v>
      </c>
      <c r="DO17" s="59">
        <f t="shared" si="22"/>
        <v>3.1399999999999997</v>
      </c>
      <c r="DP17" s="86">
        <v>3</v>
      </c>
      <c r="DQ17" s="86">
        <f t="shared" si="23"/>
        <v>13.999999999999968</v>
      </c>
      <c r="DR17" s="98"/>
      <c r="DT17" s="86" t="s">
        <v>2</v>
      </c>
      <c r="DU17" s="86">
        <v>9</v>
      </c>
      <c r="DV17" s="58">
        <v>7.3</v>
      </c>
      <c r="DW17" s="96"/>
      <c r="DX17" s="96"/>
      <c r="DY17" s="53">
        <v>18.84</v>
      </c>
      <c r="DZ17" s="58">
        <f t="shared" si="24"/>
        <v>11.54</v>
      </c>
      <c r="EA17" s="97">
        <v>7.3</v>
      </c>
      <c r="EB17" s="58">
        <v>1</v>
      </c>
      <c r="EC17" s="59">
        <f t="shared" si="25"/>
        <v>3.2399999999999993</v>
      </c>
      <c r="ED17" s="86">
        <v>3</v>
      </c>
      <c r="EE17" s="86">
        <f t="shared" si="26"/>
        <v>23.999999999999932</v>
      </c>
      <c r="EF17" s="98"/>
      <c r="EG17" s="86" t="s">
        <v>2</v>
      </c>
      <c r="EH17" s="86">
        <v>9</v>
      </c>
      <c r="EI17" s="58">
        <v>7.2</v>
      </c>
      <c r="EJ17" s="96"/>
      <c r="EK17" s="96"/>
      <c r="EL17" s="53">
        <v>18.809999999999999</v>
      </c>
      <c r="EM17" s="58">
        <f t="shared" si="27"/>
        <v>11.61</v>
      </c>
      <c r="EN17" s="97">
        <v>7.3</v>
      </c>
      <c r="EO17" s="58">
        <v>1</v>
      </c>
      <c r="EP17" s="59">
        <f t="shared" si="28"/>
        <v>3.3099999999999996</v>
      </c>
      <c r="EQ17" s="86">
        <v>3</v>
      </c>
      <c r="ER17" s="86">
        <f t="shared" si="29"/>
        <v>30.999999999999961</v>
      </c>
      <c r="ES17" s="98"/>
      <c r="EU17" s="86" t="s">
        <v>2</v>
      </c>
      <c r="EV17" s="86">
        <v>9</v>
      </c>
      <c r="EW17" s="58">
        <v>7.1</v>
      </c>
      <c r="EX17" s="96"/>
      <c r="EY17" s="96"/>
      <c r="EZ17" s="53">
        <v>18.940000000000001</v>
      </c>
      <c r="FA17" s="58">
        <f t="shared" si="59"/>
        <v>11.840000000000002</v>
      </c>
      <c r="FB17" s="97">
        <v>7.3</v>
      </c>
      <c r="FC17" s="58">
        <v>1</v>
      </c>
      <c r="FD17" s="59">
        <f t="shared" si="30"/>
        <v>3.5400000000000018</v>
      </c>
      <c r="FE17" s="86">
        <v>3</v>
      </c>
      <c r="FF17" s="86">
        <f t="shared" si="31"/>
        <v>54.000000000000185</v>
      </c>
      <c r="FG17" s="98"/>
      <c r="FH17" s="86" t="s">
        <v>2</v>
      </c>
      <c r="FI17" s="86">
        <v>9</v>
      </c>
      <c r="FJ17" s="58"/>
      <c r="FK17" s="96"/>
      <c r="FL17" s="96"/>
      <c r="FM17" s="53"/>
      <c r="FN17" s="58"/>
      <c r="FO17" s="97"/>
      <c r="FP17" s="58"/>
      <c r="FQ17" s="59"/>
      <c r="FR17" s="86"/>
      <c r="FS17" s="86"/>
      <c r="FT17" s="98" t="s">
        <v>227</v>
      </c>
      <c r="FV17" s="86" t="s">
        <v>2</v>
      </c>
      <c r="FW17" s="86">
        <v>9</v>
      </c>
      <c r="FX17" s="58">
        <v>7.15</v>
      </c>
      <c r="FY17" s="96"/>
      <c r="FZ17" s="96"/>
      <c r="GA17" s="53">
        <v>18.850000000000001</v>
      </c>
      <c r="GB17" s="58">
        <f t="shared" si="35"/>
        <v>11.700000000000001</v>
      </c>
      <c r="GC17" s="97">
        <v>7.3</v>
      </c>
      <c r="GD17" s="58">
        <v>1</v>
      </c>
      <c r="GE17" s="59">
        <f t="shared" si="36"/>
        <v>3.4000000000000012</v>
      </c>
      <c r="GF17" s="86">
        <v>3</v>
      </c>
      <c r="GG17" s="86">
        <f t="shared" si="37"/>
        <v>40.000000000000128</v>
      </c>
      <c r="GH17" s="98"/>
      <c r="GI17" s="86" t="s">
        <v>2</v>
      </c>
      <c r="GJ17" s="86">
        <v>9</v>
      </c>
      <c r="GK17" s="58"/>
      <c r="GL17" s="96"/>
      <c r="GM17" s="96"/>
      <c r="GN17" s="53"/>
      <c r="GO17" s="58"/>
      <c r="GP17" s="97"/>
      <c r="GQ17" s="58"/>
      <c r="GR17" s="59"/>
      <c r="GS17" s="86"/>
      <c r="GT17" s="86"/>
      <c r="GU17" s="98"/>
      <c r="GW17" s="86" t="s">
        <v>2</v>
      </c>
      <c r="GX17" s="86">
        <v>9</v>
      </c>
      <c r="GY17" s="58">
        <v>7.1</v>
      </c>
      <c r="GZ17" s="96"/>
      <c r="HA17" s="96"/>
      <c r="HB17" s="53">
        <v>18.84</v>
      </c>
      <c r="HC17" s="58">
        <f t="shared" si="41"/>
        <v>11.74</v>
      </c>
      <c r="HD17" s="97">
        <v>7.3</v>
      </c>
      <c r="HE17" s="58">
        <v>1</v>
      </c>
      <c r="HF17" s="59">
        <f t="shared" si="42"/>
        <v>3.4400000000000004</v>
      </c>
      <c r="HG17" s="86">
        <v>3</v>
      </c>
      <c r="HH17" s="86">
        <f t="shared" si="43"/>
        <v>44.000000000000043</v>
      </c>
      <c r="HI17" s="98"/>
      <c r="HJ17" s="86" t="s">
        <v>2</v>
      </c>
      <c r="HK17" s="86">
        <v>9</v>
      </c>
      <c r="HL17" s="58">
        <v>7.1</v>
      </c>
      <c r="HM17" s="96"/>
      <c r="HN17" s="96"/>
      <c r="HO17" s="53">
        <v>18.84</v>
      </c>
      <c r="HP17" s="58">
        <f t="shared" si="44"/>
        <v>11.74</v>
      </c>
      <c r="HQ17" s="97">
        <v>7.3</v>
      </c>
      <c r="HR17" s="58">
        <v>1</v>
      </c>
      <c r="HS17" s="59">
        <f t="shared" si="45"/>
        <v>3.4400000000000004</v>
      </c>
      <c r="HT17" s="86">
        <v>3</v>
      </c>
      <c r="HU17" s="86">
        <f t="shared" si="46"/>
        <v>44.000000000000043</v>
      </c>
      <c r="HV17" s="98"/>
      <c r="HX17" s="55"/>
      <c r="HY17" s="55"/>
      <c r="HZ17" s="52"/>
      <c r="IA17" s="52"/>
      <c r="IB17" s="52"/>
      <c r="IC17" s="52"/>
      <c r="ID17" s="52"/>
      <c r="IE17" s="56"/>
      <c r="IF17" s="52"/>
      <c r="IG17" s="57"/>
      <c r="IH17" s="55"/>
      <c r="II17" s="82"/>
      <c r="IJ17" s="95"/>
      <c r="IK17" s="86" t="s">
        <v>2</v>
      </c>
      <c r="IL17" s="86">
        <v>9</v>
      </c>
      <c r="IM17" s="58">
        <v>7.05</v>
      </c>
      <c r="IN17" s="96"/>
      <c r="IO17" s="96"/>
      <c r="IP17" s="53">
        <v>18.850000000000001</v>
      </c>
      <c r="IQ17" s="58">
        <f t="shared" si="47"/>
        <v>11.8</v>
      </c>
      <c r="IR17" s="97">
        <v>7.3</v>
      </c>
      <c r="IS17" s="58">
        <v>1</v>
      </c>
      <c r="IT17" s="59">
        <f t="shared" si="48"/>
        <v>3.5000000000000009</v>
      </c>
      <c r="IU17" s="86">
        <v>3</v>
      </c>
      <c r="IV17" s="86">
        <f t="shared" si="49"/>
        <v>50.000000000000085</v>
      </c>
      <c r="IW17" s="98"/>
      <c r="IY17" s="86" t="s">
        <v>2</v>
      </c>
      <c r="IZ17" s="86">
        <v>9</v>
      </c>
      <c r="JA17" s="58">
        <v>7.1</v>
      </c>
      <c r="JB17" s="96"/>
      <c r="JC17" s="96"/>
      <c r="JD17" s="53">
        <v>19.7</v>
      </c>
      <c r="JE17" s="58">
        <f t="shared" si="50"/>
        <v>12.6</v>
      </c>
      <c r="JF17" s="97">
        <v>7.3</v>
      </c>
      <c r="JG17" s="58">
        <v>1</v>
      </c>
      <c r="JH17" s="59">
        <f t="shared" si="51"/>
        <v>4.3</v>
      </c>
      <c r="JI17" s="86">
        <v>4</v>
      </c>
      <c r="JJ17" s="86">
        <f t="shared" si="52"/>
        <v>29.999999999999982</v>
      </c>
      <c r="JK17" s="98"/>
      <c r="JL17" s="86" t="s">
        <v>2</v>
      </c>
      <c r="JM17" s="86">
        <v>9</v>
      </c>
      <c r="JN17" s="58"/>
      <c r="JO17" s="96"/>
      <c r="JP17" s="96"/>
      <c r="JQ17" s="53"/>
      <c r="JR17" s="58"/>
      <c r="JS17" s="97"/>
      <c r="JT17" s="58"/>
      <c r="JU17" s="59"/>
      <c r="JV17" s="86"/>
      <c r="JW17" s="86"/>
      <c r="JX17" s="98" t="s">
        <v>227</v>
      </c>
      <c r="JZ17" s="86" t="s">
        <v>2</v>
      </c>
      <c r="KA17" s="86">
        <v>9</v>
      </c>
      <c r="KB17" s="58">
        <v>7.2</v>
      </c>
      <c r="KC17" s="96"/>
      <c r="KD17" s="96"/>
      <c r="KE17" s="53">
        <v>18.84</v>
      </c>
      <c r="KF17" s="58">
        <f t="shared" si="56"/>
        <v>11.64</v>
      </c>
      <c r="KG17" s="97">
        <v>7.3</v>
      </c>
      <c r="KH17" s="58">
        <v>1</v>
      </c>
      <c r="KI17" s="59">
        <f t="shared" si="57"/>
        <v>3.3400000000000007</v>
      </c>
      <c r="KJ17" s="86">
        <v>3</v>
      </c>
      <c r="KK17" s="86">
        <f t="shared" si="58"/>
        <v>34.000000000000071</v>
      </c>
      <c r="KL17" s="98"/>
    </row>
    <row r="18" spans="1:298" s="54" customFormat="1" ht="17.149999999999999" customHeight="1" x14ac:dyDescent="0.35">
      <c r="A18" s="86" t="s">
        <v>225</v>
      </c>
      <c r="B18" s="86">
        <v>10</v>
      </c>
      <c r="C18" s="58">
        <v>7.15</v>
      </c>
      <c r="D18" s="96"/>
      <c r="E18" s="96"/>
      <c r="F18" s="53">
        <v>20.6</v>
      </c>
      <c r="G18" s="58">
        <f t="shared" si="0"/>
        <v>13.450000000000001</v>
      </c>
      <c r="H18" s="97">
        <v>7.3</v>
      </c>
      <c r="I18" s="58">
        <v>1</v>
      </c>
      <c r="J18" s="59">
        <f t="shared" si="1"/>
        <v>5.1500000000000012</v>
      </c>
      <c r="K18" s="86">
        <v>5</v>
      </c>
      <c r="L18" s="86">
        <f t="shared" si="2"/>
        <v>15.000000000000124</v>
      </c>
      <c r="M18" s="98"/>
      <c r="N18"/>
      <c r="O18" s="86" t="s">
        <v>225</v>
      </c>
      <c r="P18" s="86">
        <v>10</v>
      </c>
      <c r="Q18" s="58">
        <v>7.15</v>
      </c>
      <c r="R18" s="96"/>
      <c r="S18" s="96"/>
      <c r="T18" s="53">
        <v>20.62</v>
      </c>
      <c r="U18" s="58">
        <f t="shared" si="3"/>
        <v>13.47</v>
      </c>
      <c r="V18" s="97">
        <v>7.3</v>
      </c>
      <c r="W18" s="58">
        <v>1</v>
      </c>
      <c r="X18" s="59">
        <f t="shared" si="4"/>
        <v>5.1700000000000008</v>
      </c>
      <c r="Y18" s="86">
        <v>5</v>
      </c>
      <c r="Z18" s="86">
        <f t="shared" si="5"/>
        <v>17.000000000000082</v>
      </c>
      <c r="AA18" s="98"/>
      <c r="AB18" s="86" t="s">
        <v>225</v>
      </c>
      <c r="AC18" s="86">
        <v>10</v>
      </c>
      <c r="AD18" s="58">
        <v>7.15</v>
      </c>
      <c r="AE18" s="96"/>
      <c r="AF18" s="96"/>
      <c r="AG18" s="53">
        <v>18.600000000000001</v>
      </c>
      <c r="AH18" s="58">
        <f t="shared" si="6"/>
        <v>11.450000000000001</v>
      </c>
      <c r="AI18" s="97">
        <v>7.3</v>
      </c>
      <c r="AJ18" s="58">
        <v>1</v>
      </c>
      <c r="AK18" s="59">
        <f t="shared" si="7"/>
        <v>3.1500000000000012</v>
      </c>
      <c r="AL18" s="86">
        <v>3</v>
      </c>
      <c r="AM18" s="86">
        <f t="shared" si="8"/>
        <v>15.000000000000124</v>
      </c>
      <c r="AN18" s="98"/>
      <c r="AO18"/>
      <c r="AP18" s="86" t="s">
        <v>225</v>
      </c>
      <c r="AQ18" s="86">
        <v>10</v>
      </c>
      <c r="AR18" s="58">
        <v>7.2</v>
      </c>
      <c r="AS18" s="96"/>
      <c r="AT18" s="96"/>
      <c r="AU18" s="53">
        <v>20.59</v>
      </c>
      <c r="AV18" s="58">
        <f t="shared" si="9"/>
        <v>13.39</v>
      </c>
      <c r="AW18" s="97">
        <v>7.3</v>
      </c>
      <c r="AX18" s="58">
        <v>1</v>
      </c>
      <c r="AY18" s="59">
        <f t="shared" si="10"/>
        <v>5.0900000000000007</v>
      </c>
      <c r="AZ18" s="86">
        <v>5</v>
      </c>
      <c r="BA18" s="86">
        <f t="shared" si="11"/>
        <v>9.0000000000000746</v>
      </c>
      <c r="BB18" s="98"/>
      <c r="BC18" s="86"/>
      <c r="BD18" s="86"/>
      <c r="BE18" s="58"/>
      <c r="BF18" s="96"/>
      <c r="BG18" s="96"/>
      <c r="BH18" s="58"/>
      <c r="BI18" s="58"/>
      <c r="BJ18" s="97"/>
      <c r="BK18" s="58"/>
      <c r="BL18" s="59"/>
      <c r="BM18" s="86"/>
      <c r="BN18" s="86"/>
      <c r="BO18" s="98"/>
      <c r="BP18"/>
      <c r="BQ18" s="86" t="s">
        <v>225</v>
      </c>
      <c r="BR18" s="86">
        <v>10</v>
      </c>
      <c r="BS18" s="58">
        <v>7.1</v>
      </c>
      <c r="BT18" s="96"/>
      <c r="BU18" s="96"/>
      <c r="BV18" s="53">
        <v>20.6</v>
      </c>
      <c r="BW18" s="58">
        <f t="shared" si="12"/>
        <v>13.500000000000002</v>
      </c>
      <c r="BX18" s="97">
        <v>7.3</v>
      </c>
      <c r="BY18" s="58">
        <v>1</v>
      </c>
      <c r="BZ18" s="59">
        <f t="shared" si="13"/>
        <v>5.200000000000002</v>
      </c>
      <c r="CA18" s="86">
        <v>5</v>
      </c>
      <c r="CB18" s="86">
        <f t="shared" si="14"/>
        <v>20.000000000000195</v>
      </c>
      <c r="CC18" s="98"/>
      <c r="CD18"/>
      <c r="CE18" s="86" t="s">
        <v>225</v>
      </c>
      <c r="CF18" s="86">
        <v>10</v>
      </c>
      <c r="CG18" s="58">
        <v>7.25</v>
      </c>
      <c r="CH18" s="96"/>
      <c r="CI18" s="96"/>
      <c r="CJ18" s="53">
        <v>20.63</v>
      </c>
      <c r="CK18" s="58">
        <f t="shared" si="15"/>
        <v>13.379999999999999</v>
      </c>
      <c r="CL18" s="97">
        <v>7.3</v>
      </c>
      <c r="CM18" s="58">
        <v>1</v>
      </c>
      <c r="CN18" s="59">
        <f t="shared" si="16"/>
        <v>5.0799999999999992</v>
      </c>
      <c r="CO18" s="86">
        <v>5</v>
      </c>
      <c r="CP18" s="86">
        <f t="shared" si="17"/>
        <v>7.9999999999999183</v>
      </c>
      <c r="CQ18" s="98"/>
      <c r="CR18" s="86" t="s">
        <v>225</v>
      </c>
      <c r="CS18" s="86">
        <v>10</v>
      </c>
      <c r="CT18" s="58">
        <v>7.15</v>
      </c>
      <c r="CU18" s="96"/>
      <c r="CV18" s="96"/>
      <c r="CW18" s="53">
        <v>20.6</v>
      </c>
      <c r="CX18" s="58">
        <f t="shared" si="18"/>
        <v>13.450000000000001</v>
      </c>
      <c r="CY18" s="97">
        <v>7.3</v>
      </c>
      <c r="CZ18" s="58">
        <v>1</v>
      </c>
      <c r="DA18" s="59">
        <f t="shared" si="19"/>
        <v>5.1500000000000012</v>
      </c>
      <c r="DB18" s="86">
        <v>5</v>
      </c>
      <c r="DC18" s="86">
        <f t="shared" si="20"/>
        <v>15.000000000000124</v>
      </c>
      <c r="DD18" s="98"/>
      <c r="DE18"/>
      <c r="DF18" s="86" t="s">
        <v>225</v>
      </c>
      <c r="DG18" s="86">
        <v>10</v>
      </c>
      <c r="DH18" s="58">
        <v>7.4</v>
      </c>
      <c r="DI18" s="96"/>
      <c r="DJ18" s="96"/>
      <c r="DK18" s="53">
        <v>20.6</v>
      </c>
      <c r="DL18" s="58">
        <f t="shared" si="21"/>
        <v>13.200000000000001</v>
      </c>
      <c r="DM18" s="97">
        <v>7.3</v>
      </c>
      <c r="DN18" s="58">
        <v>1.4</v>
      </c>
      <c r="DO18" s="59">
        <f t="shared" si="22"/>
        <v>4.5000000000000018</v>
      </c>
      <c r="DP18" s="86">
        <v>4</v>
      </c>
      <c r="DQ18" s="86">
        <f t="shared" si="23"/>
        <v>50.000000000000178</v>
      </c>
      <c r="DR18" s="98"/>
      <c r="DS18"/>
      <c r="DT18" s="86" t="s">
        <v>225</v>
      </c>
      <c r="DU18" s="86">
        <v>10</v>
      </c>
      <c r="DV18" s="58">
        <v>7.3</v>
      </c>
      <c r="DW18" s="96"/>
      <c r="DX18" s="96"/>
      <c r="DY18" s="53">
        <v>20.6</v>
      </c>
      <c r="DZ18" s="58">
        <f t="shared" si="24"/>
        <v>13.3</v>
      </c>
      <c r="EA18" s="97">
        <v>7.3</v>
      </c>
      <c r="EB18" s="58">
        <v>1.4</v>
      </c>
      <c r="EC18" s="59">
        <f t="shared" si="25"/>
        <v>4.6000000000000014</v>
      </c>
      <c r="ED18" s="86">
        <v>4</v>
      </c>
      <c r="EE18" s="86">
        <f t="shared" si="26"/>
        <v>60.000000000000142</v>
      </c>
      <c r="EF18" s="98"/>
      <c r="EG18" s="86" t="s">
        <v>225</v>
      </c>
      <c r="EH18" s="86">
        <v>10</v>
      </c>
      <c r="EI18" s="58">
        <v>7.2</v>
      </c>
      <c r="EJ18" s="96"/>
      <c r="EK18" s="96"/>
      <c r="EL18" s="53">
        <v>20.61</v>
      </c>
      <c r="EM18" s="58">
        <f t="shared" si="27"/>
        <v>13.41</v>
      </c>
      <c r="EN18" s="97">
        <v>7.3</v>
      </c>
      <c r="EO18" s="58">
        <v>1</v>
      </c>
      <c r="EP18" s="59">
        <f t="shared" si="28"/>
        <v>5.1100000000000003</v>
      </c>
      <c r="EQ18" s="86">
        <v>5</v>
      </c>
      <c r="ER18" s="86">
        <f t="shared" si="29"/>
        <v>11.000000000000032</v>
      </c>
      <c r="ES18" s="98"/>
      <c r="ET18"/>
      <c r="EU18" s="86" t="s">
        <v>225</v>
      </c>
      <c r="EV18" s="86">
        <v>10</v>
      </c>
      <c r="EW18" s="58">
        <v>7.1</v>
      </c>
      <c r="EX18" s="96"/>
      <c r="EY18" s="96"/>
      <c r="EZ18" s="53">
        <v>20.63</v>
      </c>
      <c r="FA18" s="58">
        <f t="shared" si="59"/>
        <v>13.53</v>
      </c>
      <c r="FB18" s="97">
        <v>7.3</v>
      </c>
      <c r="FC18" s="58">
        <v>1</v>
      </c>
      <c r="FD18" s="59">
        <f t="shared" si="30"/>
        <v>5.2299999999999995</v>
      </c>
      <c r="FE18" s="86">
        <v>5</v>
      </c>
      <c r="FF18" s="86">
        <f t="shared" si="31"/>
        <v>22.999999999999954</v>
      </c>
      <c r="FG18" s="98"/>
      <c r="FH18" s="86" t="s">
        <v>225</v>
      </c>
      <c r="FI18" s="86">
        <v>10</v>
      </c>
      <c r="FJ18" s="58">
        <v>7.1</v>
      </c>
      <c r="FK18" s="96"/>
      <c r="FL18" s="96"/>
      <c r="FM18" s="53">
        <v>20.63</v>
      </c>
      <c r="FN18" s="58">
        <f t="shared" si="32"/>
        <v>13.53</v>
      </c>
      <c r="FO18" s="97">
        <v>7.3</v>
      </c>
      <c r="FP18" s="58">
        <v>1</v>
      </c>
      <c r="FQ18" s="59">
        <f t="shared" si="33"/>
        <v>5.2299999999999995</v>
      </c>
      <c r="FR18" s="86">
        <v>5</v>
      </c>
      <c r="FS18" s="86">
        <f t="shared" si="34"/>
        <v>22.999999999999954</v>
      </c>
      <c r="FT18" s="98"/>
      <c r="FU18"/>
      <c r="FV18" s="86" t="s">
        <v>225</v>
      </c>
      <c r="FW18" s="86">
        <v>10</v>
      </c>
      <c r="FX18" s="58"/>
      <c r="FY18" s="96"/>
      <c r="FZ18" s="96"/>
      <c r="GA18" s="53"/>
      <c r="GB18" s="58"/>
      <c r="GC18" s="97"/>
      <c r="GD18" s="58"/>
      <c r="GE18" s="59"/>
      <c r="GF18" s="86"/>
      <c r="GG18" s="86"/>
      <c r="GH18" s="98" t="s">
        <v>227</v>
      </c>
      <c r="GI18" s="86" t="s">
        <v>225</v>
      </c>
      <c r="GJ18" s="86">
        <v>10</v>
      </c>
      <c r="GK18" s="58">
        <v>7.1</v>
      </c>
      <c r="GL18" s="96"/>
      <c r="GM18" s="96"/>
      <c r="GN18" s="53">
        <v>20.57</v>
      </c>
      <c r="GO18" s="58">
        <f t="shared" si="38"/>
        <v>13.47</v>
      </c>
      <c r="GP18" s="97">
        <v>7.3</v>
      </c>
      <c r="GQ18" s="58">
        <v>1</v>
      </c>
      <c r="GR18" s="59">
        <f t="shared" si="39"/>
        <v>5.1700000000000008</v>
      </c>
      <c r="GS18" s="86">
        <v>5</v>
      </c>
      <c r="GT18" s="86">
        <f t="shared" si="40"/>
        <v>17.000000000000082</v>
      </c>
      <c r="GU18" s="98"/>
      <c r="GV18"/>
      <c r="GW18" s="86" t="s">
        <v>225</v>
      </c>
      <c r="GX18" s="86">
        <v>10</v>
      </c>
      <c r="GY18" s="58">
        <v>7.1</v>
      </c>
      <c r="GZ18" s="96"/>
      <c r="HA18" s="96"/>
      <c r="HB18" s="53">
        <v>20.6</v>
      </c>
      <c r="HC18" s="58">
        <f t="shared" si="41"/>
        <v>13.500000000000002</v>
      </c>
      <c r="HD18" s="97">
        <v>7.3</v>
      </c>
      <c r="HE18" s="58">
        <v>1</v>
      </c>
      <c r="HF18" s="59">
        <f t="shared" si="42"/>
        <v>5.200000000000002</v>
      </c>
      <c r="HG18" s="86">
        <v>5</v>
      </c>
      <c r="HH18" s="86">
        <f t="shared" si="43"/>
        <v>20.000000000000195</v>
      </c>
      <c r="HI18" s="98"/>
      <c r="HJ18" s="86" t="s">
        <v>225</v>
      </c>
      <c r="HK18" s="86">
        <v>10</v>
      </c>
      <c r="HL18" s="58">
        <v>7.1</v>
      </c>
      <c r="HM18" s="96"/>
      <c r="HN18" s="96"/>
      <c r="HO18" s="53">
        <v>20.59</v>
      </c>
      <c r="HP18" s="58">
        <f t="shared" si="44"/>
        <v>13.49</v>
      </c>
      <c r="HQ18" s="97">
        <v>7.3</v>
      </c>
      <c r="HR18" s="58">
        <v>1</v>
      </c>
      <c r="HS18" s="59">
        <f t="shared" si="45"/>
        <v>5.19</v>
      </c>
      <c r="HT18" s="86">
        <v>5</v>
      </c>
      <c r="HU18" s="86">
        <f t="shared" si="46"/>
        <v>19.000000000000039</v>
      </c>
      <c r="HV18" s="98"/>
      <c r="HW18"/>
      <c r="HX18" s="86"/>
      <c r="HY18" s="86"/>
      <c r="HZ18" s="58"/>
      <c r="IA18" s="96"/>
      <c r="IB18" s="96"/>
      <c r="IC18" s="58"/>
      <c r="ID18" s="58"/>
      <c r="IE18" s="97"/>
      <c r="IF18" s="58"/>
      <c r="IG18" s="59"/>
      <c r="IH18" s="86"/>
      <c r="II18" s="86"/>
      <c r="IJ18" s="98"/>
      <c r="IK18" s="86" t="s">
        <v>225</v>
      </c>
      <c r="IL18" s="86">
        <v>10</v>
      </c>
      <c r="IM18" s="58">
        <v>7.05</v>
      </c>
      <c r="IN18" s="96"/>
      <c r="IO18" s="96"/>
      <c r="IP18" s="53">
        <v>20.6</v>
      </c>
      <c r="IQ18" s="58">
        <f t="shared" si="47"/>
        <v>13.55</v>
      </c>
      <c r="IR18" s="97">
        <v>7.3</v>
      </c>
      <c r="IS18" s="58">
        <v>1</v>
      </c>
      <c r="IT18" s="59">
        <f t="shared" si="48"/>
        <v>5.2500000000000009</v>
      </c>
      <c r="IU18" s="86">
        <v>5</v>
      </c>
      <c r="IV18" s="86">
        <f t="shared" si="49"/>
        <v>25.000000000000089</v>
      </c>
      <c r="IW18" s="98"/>
      <c r="IX18"/>
      <c r="IY18" s="86" t="s">
        <v>225</v>
      </c>
      <c r="IZ18" s="86">
        <v>10</v>
      </c>
      <c r="JA18" s="58">
        <v>7.1</v>
      </c>
      <c r="JB18" s="96"/>
      <c r="JC18" s="96"/>
      <c r="JD18" s="53">
        <v>20.6</v>
      </c>
      <c r="JE18" s="58">
        <f t="shared" si="50"/>
        <v>13.500000000000002</v>
      </c>
      <c r="JF18" s="97">
        <v>7.3</v>
      </c>
      <c r="JG18" s="58">
        <v>1</v>
      </c>
      <c r="JH18" s="59">
        <f t="shared" si="51"/>
        <v>5.200000000000002</v>
      </c>
      <c r="JI18" s="86">
        <v>5</v>
      </c>
      <c r="JJ18" s="86">
        <f t="shared" si="52"/>
        <v>20.000000000000195</v>
      </c>
      <c r="JK18" s="98"/>
      <c r="JL18" s="86" t="s">
        <v>225</v>
      </c>
      <c r="JM18" s="86">
        <v>10</v>
      </c>
      <c r="JN18" s="58">
        <v>7.1</v>
      </c>
      <c r="JO18" s="96"/>
      <c r="JP18" s="96"/>
      <c r="JQ18" s="53">
        <v>18.600000000000001</v>
      </c>
      <c r="JR18" s="58">
        <f t="shared" si="53"/>
        <v>11.500000000000002</v>
      </c>
      <c r="JS18" s="97">
        <v>7.3</v>
      </c>
      <c r="JT18" s="58">
        <v>1</v>
      </c>
      <c r="JU18" s="59">
        <f t="shared" si="54"/>
        <v>3.200000000000002</v>
      </c>
      <c r="JV18" s="86">
        <v>3</v>
      </c>
      <c r="JW18" s="86">
        <f t="shared" si="55"/>
        <v>20.000000000000195</v>
      </c>
      <c r="JX18" s="98"/>
      <c r="JY18"/>
      <c r="JZ18" s="86" t="s">
        <v>225</v>
      </c>
      <c r="KA18" s="86">
        <v>10</v>
      </c>
      <c r="KB18" s="58">
        <v>7.2</v>
      </c>
      <c r="KC18" s="96"/>
      <c r="KD18" s="96"/>
      <c r="KE18" s="53">
        <v>20.59</v>
      </c>
      <c r="KF18" s="58">
        <f t="shared" si="56"/>
        <v>13.39</v>
      </c>
      <c r="KG18" s="97">
        <v>7.3</v>
      </c>
      <c r="KH18" s="58">
        <v>1</v>
      </c>
      <c r="KI18" s="59">
        <f t="shared" si="57"/>
        <v>5.0900000000000007</v>
      </c>
      <c r="KJ18" s="86">
        <v>5</v>
      </c>
      <c r="KK18" s="86">
        <f t="shared" si="58"/>
        <v>9.0000000000000746</v>
      </c>
      <c r="KL18" s="98"/>
    </row>
    <row r="19" spans="1:298" ht="17.149999999999999" customHeight="1" x14ac:dyDescent="0.35">
      <c r="A19" s="86" t="s">
        <v>4</v>
      </c>
      <c r="B19" s="86">
        <v>11</v>
      </c>
      <c r="C19" s="58">
        <v>7.15</v>
      </c>
      <c r="D19" s="96"/>
      <c r="E19" s="96"/>
      <c r="F19" s="53">
        <v>20.91</v>
      </c>
      <c r="G19" s="58">
        <f t="shared" si="0"/>
        <v>13.76</v>
      </c>
      <c r="H19" s="97">
        <v>7.3</v>
      </c>
      <c r="I19" s="58">
        <v>1</v>
      </c>
      <c r="J19" s="59">
        <f t="shared" si="1"/>
        <v>5.46</v>
      </c>
      <c r="K19" s="86">
        <v>5</v>
      </c>
      <c r="L19" s="86">
        <f t="shared" si="2"/>
        <v>46</v>
      </c>
      <c r="M19" s="98"/>
      <c r="O19" s="86" t="s">
        <v>4</v>
      </c>
      <c r="P19" s="86">
        <v>11</v>
      </c>
      <c r="Q19" s="58">
        <v>7.15</v>
      </c>
      <c r="R19" s="96"/>
      <c r="S19" s="96"/>
      <c r="T19" s="53">
        <v>20.93</v>
      </c>
      <c r="U19" s="58">
        <f t="shared" si="3"/>
        <v>13.78</v>
      </c>
      <c r="V19" s="97">
        <v>7.3</v>
      </c>
      <c r="W19" s="58">
        <v>1</v>
      </c>
      <c r="X19" s="59">
        <f t="shared" si="4"/>
        <v>5.4799999999999995</v>
      </c>
      <c r="Y19" s="86">
        <v>5</v>
      </c>
      <c r="Z19" s="86">
        <f t="shared" si="5"/>
        <v>47.999999999999957</v>
      </c>
      <c r="AA19" s="98"/>
      <c r="AB19" s="86" t="s">
        <v>4</v>
      </c>
      <c r="AC19" s="86">
        <v>11</v>
      </c>
      <c r="AD19" s="58">
        <v>7.15</v>
      </c>
      <c r="AE19" s="96"/>
      <c r="AF19" s="96"/>
      <c r="AG19" s="53">
        <v>18.899999999999999</v>
      </c>
      <c r="AH19" s="58">
        <f t="shared" si="6"/>
        <v>11.749999999999998</v>
      </c>
      <c r="AI19" s="97">
        <v>7.3</v>
      </c>
      <c r="AJ19" s="58">
        <v>1</v>
      </c>
      <c r="AK19" s="59">
        <f t="shared" si="7"/>
        <v>3.4499999999999984</v>
      </c>
      <c r="AL19" s="86">
        <v>3</v>
      </c>
      <c r="AM19" s="86">
        <f t="shared" si="8"/>
        <v>44.999999999999844</v>
      </c>
      <c r="AN19" s="98"/>
      <c r="AP19" s="86" t="s">
        <v>4</v>
      </c>
      <c r="AQ19" s="86">
        <v>11</v>
      </c>
      <c r="AR19" s="58">
        <v>7.2</v>
      </c>
      <c r="AS19" s="96"/>
      <c r="AT19" s="96"/>
      <c r="AU19" s="53">
        <v>20.91</v>
      </c>
      <c r="AV19" s="58">
        <f t="shared" si="9"/>
        <v>13.71</v>
      </c>
      <c r="AW19" s="97">
        <v>7.3</v>
      </c>
      <c r="AX19" s="58">
        <v>1</v>
      </c>
      <c r="AY19" s="59">
        <f t="shared" si="10"/>
        <v>5.410000000000001</v>
      </c>
      <c r="AZ19" s="86">
        <v>5</v>
      </c>
      <c r="BA19" s="86">
        <f t="shared" si="11"/>
        <v>41.000000000000099</v>
      </c>
      <c r="BB19" s="98"/>
      <c r="BC19" s="62"/>
      <c r="BD19" s="86"/>
      <c r="BE19" s="58"/>
      <c r="BF19" s="96"/>
      <c r="BG19" s="96"/>
      <c r="BH19" s="58"/>
      <c r="BI19" s="58"/>
      <c r="BJ19" s="97"/>
      <c r="BK19" s="58"/>
      <c r="BL19" s="59"/>
      <c r="BM19" s="86"/>
      <c r="BN19" s="86"/>
      <c r="BO19" s="98"/>
      <c r="BQ19" s="86" t="s">
        <v>4</v>
      </c>
      <c r="BR19" s="86">
        <v>11</v>
      </c>
      <c r="BS19" s="58">
        <v>7.1</v>
      </c>
      <c r="BT19" s="96"/>
      <c r="BU19" s="96"/>
      <c r="BV19" s="53">
        <v>20.91</v>
      </c>
      <c r="BW19" s="58">
        <f t="shared" si="12"/>
        <v>13.81</v>
      </c>
      <c r="BX19" s="97">
        <v>7.3</v>
      </c>
      <c r="BY19" s="58">
        <v>1</v>
      </c>
      <c r="BZ19" s="59">
        <f t="shared" si="13"/>
        <v>5.5100000000000007</v>
      </c>
      <c r="CA19" s="86">
        <v>5</v>
      </c>
      <c r="CB19" s="86">
        <f t="shared" si="14"/>
        <v>51.000000000000071</v>
      </c>
      <c r="CC19" s="98"/>
      <c r="CE19" s="86" t="s">
        <v>4</v>
      </c>
      <c r="CF19" s="86">
        <v>11</v>
      </c>
      <c r="CG19" s="58">
        <v>7.25</v>
      </c>
      <c r="CH19" s="96"/>
      <c r="CI19" s="96"/>
      <c r="CJ19" s="53">
        <v>22.77</v>
      </c>
      <c r="CK19" s="58">
        <f t="shared" si="15"/>
        <v>15.52</v>
      </c>
      <c r="CL19" s="97">
        <v>7.3</v>
      </c>
      <c r="CM19" s="58">
        <v>1</v>
      </c>
      <c r="CN19" s="59">
        <f t="shared" si="16"/>
        <v>7.2199999999999989</v>
      </c>
      <c r="CO19" s="86">
        <v>7</v>
      </c>
      <c r="CP19" s="86">
        <f t="shared" si="17"/>
        <v>21.999999999999886</v>
      </c>
      <c r="CQ19" s="98"/>
      <c r="CR19" s="86" t="s">
        <v>4</v>
      </c>
      <c r="CS19" s="86">
        <v>11</v>
      </c>
      <c r="CT19" s="58">
        <v>7.15</v>
      </c>
      <c r="CU19" s="96"/>
      <c r="CV19" s="96"/>
      <c r="CW19" s="53">
        <v>20.91</v>
      </c>
      <c r="CX19" s="58">
        <f t="shared" si="18"/>
        <v>13.76</v>
      </c>
      <c r="CY19" s="97">
        <v>7.3</v>
      </c>
      <c r="CZ19" s="58">
        <v>1</v>
      </c>
      <c r="DA19" s="59">
        <f t="shared" si="19"/>
        <v>5.46</v>
      </c>
      <c r="DB19" s="86">
        <v>5</v>
      </c>
      <c r="DC19" s="86">
        <f t="shared" si="20"/>
        <v>46</v>
      </c>
      <c r="DD19" s="98"/>
      <c r="DF19" s="86" t="s">
        <v>4</v>
      </c>
      <c r="DG19" s="86">
        <v>11</v>
      </c>
      <c r="DH19" s="58">
        <v>7.4</v>
      </c>
      <c r="DI19" s="96"/>
      <c r="DJ19" s="96"/>
      <c r="DK19" s="53">
        <v>20.93</v>
      </c>
      <c r="DL19" s="58">
        <f t="shared" si="21"/>
        <v>13.53</v>
      </c>
      <c r="DM19" s="97">
        <v>7.3</v>
      </c>
      <c r="DN19" s="58">
        <v>1</v>
      </c>
      <c r="DO19" s="59">
        <f t="shared" si="22"/>
        <v>5.2299999999999995</v>
      </c>
      <c r="DP19" s="86">
        <v>5</v>
      </c>
      <c r="DQ19" s="86">
        <f t="shared" si="23"/>
        <v>22.999999999999954</v>
      </c>
      <c r="DR19" s="98"/>
      <c r="DT19" s="86" t="s">
        <v>4</v>
      </c>
      <c r="DU19" s="86">
        <v>11</v>
      </c>
      <c r="DV19" s="58">
        <v>7.3</v>
      </c>
      <c r="DW19" s="96"/>
      <c r="DX19" s="96"/>
      <c r="DY19" s="53">
        <v>20.92</v>
      </c>
      <c r="DZ19" s="58">
        <f t="shared" si="24"/>
        <v>13.620000000000001</v>
      </c>
      <c r="EA19" s="97">
        <v>7.3</v>
      </c>
      <c r="EB19" s="58">
        <v>1</v>
      </c>
      <c r="EC19" s="59">
        <f t="shared" si="25"/>
        <v>5.3200000000000012</v>
      </c>
      <c r="ED19" s="86">
        <v>5</v>
      </c>
      <c r="EE19" s="86">
        <f t="shared" si="26"/>
        <v>32.000000000000114</v>
      </c>
      <c r="EF19" s="98"/>
      <c r="EG19" s="86" t="s">
        <v>4</v>
      </c>
      <c r="EH19" s="86">
        <v>11</v>
      </c>
      <c r="EI19" s="58">
        <v>7.2</v>
      </c>
      <c r="EJ19" s="96"/>
      <c r="EK19" s="96"/>
      <c r="EL19" s="53">
        <v>20.9</v>
      </c>
      <c r="EM19" s="58">
        <f t="shared" si="27"/>
        <v>13.7</v>
      </c>
      <c r="EN19" s="97">
        <v>7.3</v>
      </c>
      <c r="EO19" s="58">
        <v>1</v>
      </c>
      <c r="EP19" s="59">
        <f t="shared" si="28"/>
        <v>5.3999999999999995</v>
      </c>
      <c r="EQ19" s="86">
        <v>5</v>
      </c>
      <c r="ER19" s="86">
        <f t="shared" si="29"/>
        <v>39.999999999999943</v>
      </c>
      <c r="ES19" s="98"/>
      <c r="EU19" s="86" t="s">
        <v>4</v>
      </c>
      <c r="EV19" s="86">
        <v>11</v>
      </c>
      <c r="EW19" s="58">
        <v>7.1</v>
      </c>
      <c r="EX19" s="96"/>
      <c r="EY19" s="96"/>
      <c r="EZ19" s="53">
        <v>20.92</v>
      </c>
      <c r="FA19" s="58">
        <f t="shared" si="59"/>
        <v>13.820000000000002</v>
      </c>
      <c r="FB19" s="97">
        <v>7.3</v>
      </c>
      <c r="FC19" s="58">
        <v>1</v>
      </c>
      <c r="FD19" s="59">
        <f t="shared" si="30"/>
        <v>5.5200000000000022</v>
      </c>
      <c r="FE19" s="86">
        <v>5</v>
      </c>
      <c r="FF19" s="86">
        <f t="shared" si="31"/>
        <v>52.000000000000227</v>
      </c>
      <c r="FG19" s="98"/>
      <c r="FH19" s="86" t="s">
        <v>4</v>
      </c>
      <c r="FI19" s="86">
        <v>11</v>
      </c>
      <c r="FJ19" s="58">
        <v>7.1</v>
      </c>
      <c r="FK19" s="96"/>
      <c r="FL19" s="96"/>
      <c r="FM19" s="53">
        <v>22.77</v>
      </c>
      <c r="FN19" s="58">
        <f t="shared" si="32"/>
        <v>15.67</v>
      </c>
      <c r="FO19" s="97">
        <v>7.3</v>
      </c>
      <c r="FP19" s="58">
        <v>1</v>
      </c>
      <c r="FQ19" s="59">
        <f t="shared" si="33"/>
        <v>7.370000000000001</v>
      </c>
      <c r="FR19" s="86">
        <v>7</v>
      </c>
      <c r="FS19" s="86">
        <f t="shared" si="34"/>
        <v>37.000000000000099</v>
      </c>
      <c r="FT19" s="98"/>
      <c r="FV19" s="86" t="s">
        <v>4</v>
      </c>
      <c r="FW19" s="86">
        <v>11</v>
      </c>
      <c r="FX19" s="58">
        <v>7.15</v>
      </c>
      <c r="FY19" s="96"/>
      <c r="FZ19" s="96"/>
      <c r="GA19" s="53">
        <v>20.91</v>
      </c>
      <c r="GB19" s="58">
        <f t="shared" si="35"/>
        <v>13.76</v>
      </c>
      <c r="GC19" s="97">
        <v>7.3</v>
      </c>
      <c r="GD19" s="58">
        <v>1</v>
      </c>
      <c r="GE19" s="59">
        <f t="shared" si="36"/>
        <v>5.46</v>
      </c>
      <c r="GF19" s="86">
        <v>5</v>
      </c>
      <c r="GG19" s="86">
        <f t="shared" si="37"/>
        <v>46</v>
      </c>
      <c r="GH19" s="98"/>
      <c r="GI19" s="86" t="s">
        <v>4</v>
      </c>
      <c r="GJ19" s="86">
        <v>11</v>
      </c>
      <c r="GK19" s="58">
        <v>7.1</v>
      </c>
      <c r="GL19" s="96"/>
      <c r="GM19" s="96"/>
      <c r="GN19" s="53">
        <v>20.9</v>
      </c>
      <c r="GO19" s="58">
        <f t="shared" si="38"/>
        <v>13.799999999999999</v>
      </c>
      <c r="GP19" s="97">
        <v>7.3</v>
      </c>
      <c r="GQ19" s="58">
        <v>1</v>
      </c>
      <c r="GR19" s="59">
        <f t="shared" si="39"/>
        <v>5.4999999999999991</v>
      </c>
      <c r="GS19" s="86">
        <v>5</v>
      </c>
      <c r="GT19" s="86">
        <f t="shared" si="40"/>
        <v>49.999999999999915</v>
      </c>
      <c r="GU19" s="98"/>
      <c r="GW19" s="86" t="s">
        <v>4</v>
      </c>
      <c r="GX19" s="86">
        <v>11</v>
      </c>
      <c r="GY19" s="58">
        <v>7.1</v>
      </c>
      <c r="GZ19" s="96"/>
      <c r="HA19" s="96"/>
      <c r="HB19" s="53">
        <v>20.9</v>
      </c>
      <c r="HC19" s="58">
        <f t="shared" si="41"/>
        <v>13.799999999999999</v>
      </c>
      <c r="HD19" s="97">
        <v>7.3</v>
      </c>
      <c r="HE19" s="58">
        <v>1</v>
      </c>
      <c r="HF19" s="59">
        <f t="shared" si="42"/>
        <v>5.4999999999999991</v>
      </c>
      <c r="HG19" s="86">
        <v>5</v>
      </c>
      <c r="HH19" s="86">
        <f t="shared" si="43"/>
        <v>49.999999999999915</v>
      </c>
      <c r="HI19" s="98"/>
      <c r="HJ19" s="86" t="s">
        <v>4</v>
      </c>
      <c r="HK19" s="86">
        <v>11</v>
      </c>
      <c r="HL19" s="58">
        <v>7.1</v>
      </c>
      <c r="HM19" s="96"/>
      <c r="HN19" s="96"/>
      <c r="HO19" s="53">
        <v>20.91</v>
      </c>
      <c r="HP19" s="58">
        <f t="shared" si="44"/>
        <v>13.81</v>
      </c>
      <c r="HQ19" s="97">
        <v>7.3</v>
      </c>
      <c r="HR19" s="58">
        <v>1</v>
      </c>
      <c r="HS19" s="59">
        <f t="shared" si="45"/>
        <v>5.5100000000000007</v>
      </c>
      <c r="HT19" s="86">
        <v>5</v>
      </c>
      <c r="HU19" s="86">
        <f t="shared" si="46"/>
        <v>51.000000000000071</v>
      </c>
      <c r="HV19" s="98"/>
      <c r="HX19" s="62"/>
      <c r="HY19" s="86"/>
      <c r="HZ19" s="58"/>
      <c r="IA19" s="96"/>
      <c r="IB19" s="96"/>
      <c r="IC19" s="58"/>
      <c r="ID19" s="58"/>
      <c r="IE19" s="97"/>
      <c r="IF19" s="58"/>
      <c r="IG19" s="59"/>
      <c r="IH19" s="86"/>
      <c r="II19" s="86"/>
      <c r="IJ19" s="98"/>
      <c r="IK19" s="86" t="s">
        <v>4</v>
      </c>
      <c r="IL19" s="86">
        <v>11</v>
      </c>
      <c r="IM19" s="58">
        <v>7.05</v>
      </c>
      <c r="IN19" s="96"/>
      <c r="IO19" s="96"/>
      <c r="IP19" s="53">
        <v>20.92</v>
      </c>
      <c r="IQ19" s="58">
        <f t="shared" si="47"/>
        <v>13.870000000000001</v>
      </c>
      <c r="IR19" s="97">
        <v>7.3</v>
      </c>
      <c r="IS19" s="58">
        <v>1</v>
      </c>
      <c r="IT19" s="59">
        <f t="shared" si="48"/>
        <v>5.5700000000000012</v>
      </c>
      <c r="IU19" s="86">
        <v>5</v>
      </c>
      <c r="IV19" s="86">
        <f t="shared" si="49"/>
        <v>57.000000000000114</v>
      </c>
      <c r="IW19" s="98"/>
      <c r="IY19" s="86" t="s">
        <v>4</v>
      </c>
      <c r="IZ19" s="86">
        <v>11</v>
      </c>
      <c r="JA19" s="58">
        <v>7.1</v>
      </c>
      <c r="JB19" s="96"/>
      <c r="JC19" s="96"/>
      <c r="JD19" s="53">
        <v>20.91</v>
      </c>
      <c r="JE19" s="58">
        <f t="shared" si="50"/>
        <v>13.81</v>
      </c>
      <c r="JF19" s="97">
        <v>7.3</v>
      </c>
      <c r="JG19" s="58">
        <v>1</v>
      </c>
      <c r="JH19" s="59">
        <f t="shared" si="51"/>
        <v>5.5100000000000007</v>
      </c>
      <c r="JI19" s="86">
        <v>5</v>
      </c>
      <c r="JJ19" s="86">
        <f t="shared" si="52"/>
        <v>51.000000000000071</v>
      </c>
      <c r="JK19" s="98"/>
      <c r="JL19" s="86" t="s">
        <v>4</v>
      </c>
      <c r="JM19" s="86">
        <v>11</v>
      </c>
      <c r="JN19" s="58">
        <v>7.1</v>
      </c>
      <c r="JO19" s="96"/>
      <c r="JP19" s="96"/>
      <c r="JQ19" s="53">
        <v>18.899999999999999</v>
      </c>
      <c r="JR19" s="58">
        <f t="shared" si="53"/>
        <v>11.799999999999999</v>
      </c>
      <c r="JS19" s="97">
        <v>7.3</v>
      </c>
      <c r="JT19" s="58">
        <v>1</v>
      </c>
      <c r="JU19" s="59">
        <f t="shared" si="54"/>
        <v>3.4999999999999991</v>
      </c>
      <c r="JV19" s="86">
        <v>3</v>
      </c>
      <c r="JW19" s="86">
        <f t="shared" si="55"/>
        <v>49.999999999999915</v>
      </c>
      <c r="JX19" s="98"/>
      <c r="JZ19" s="86" t="s">
        <v>4</v>
      </c>
      <c r="KA19" s="86">
        <v>11</v>
      </c>
      <c r="KB19" s="58">
        <v>7.2</v>
      </c>
      <c r="KC19" s="96"/>
      <c r="KD19" s="96"/>
      <c r="KE19" s="53">
        <v>20.91</v>
      </c>
      <c r="KF19" s="58">
        <f t="shared" si="56"/>
        <v>13.71</v>
      </c>
      <c r="KG19" s="97">
        <v>7.3</v>
      </c>
      <c r="KH19" s="58">
        <v>1</v>
      </c>
      <c r="KI19" s="59">
        <f t="shared" si="57"/>
        <v>5.410000000000001</v>
      </c>
      <c r="KJ19" s="86">
        <v>5</v>
      </c>
      <c r="KK19" s="86">
        <f t="shared" si="58"/>
        <v>41.000000000000099</v>
      </c>
      <c r="KL19" s="98"/>
    </row>
    <row r="20" spans="1:298" ht="17.149999999999999" customHeight="1" x14ac:dyDescent="0.35">
      <c r="A20" s="86" t="s">
        <v>5</v>
      </c>
      <c r="B20" s="86">
        <v>12</v>
      </c>
      <c r="C20" s="58">
        <v>7.15</v>
      </c>
      <c r="D20" s="96"/>
      <c r="E20" s="96"/>
      <c r="F20" s="53">
        <v>20.92</v>
      </c>
      <c r="G20" s="58">
        <f t="shared" si="0"/>
        <v>13.770000000000001</v>
      </c>
      <c r="H20" s="97">
        <v>7.3</v>
      </c>
      <c r="I20" s="58">
        <v>1</v>
      </c>
      <c r="J20" s="59">
        <f t="shared" si="1"/>
        <v>5.4700000000000015</v>
      </c>
      <c r="K20" s="86">
        <v>5</v>
      </c>
      <c r="L20" s="86">
        <f t="shared" si="2"/>
        <v>47.000000000000156</v>
      </c>
      <c r="M20" s="98"/>
      <c r="N20" s="93"/>
      <c r="O20" s="86" t="s">
        <v>5</v>
      </c>
      <c r="P20" s="86">
        <v>12</v>
      </c>
      <c r="Q20" s="58">
        <v>7.15</v>
      </c>
      <c r="R20" s="96"/>
      <c r="S20" s="96"/>
      <c r="T20" s="53">
        <v>20.91</v>
      </c>
      <c r="U20" s="58">
        <f t="shared" si="3"/>
        <v>13.76</v>
      </c>
      <c r="V20" s="97">
        <v>7.3</v>
      </c>
      <c r="W20" s="58">
        <v>1</v>
      </c>
      <c r="X20" s="59">
        <f t="shared" si="4"/>
        <v>5.46</v>
      </c>
      <c r="Y20" s="86">
        <v>5</v>
      </c>
      <c r="Z20" s="86">
        <f t="shared" si="5"/>
        <v>46</v>
      </c>
      <c r="AA20" s="98"/>
      <c r="AB20" s="86" t="s">
        <v>5</v>
      </c>
      <c r="AC20" s="86">
        <v>12</v>
      </c>
      <c r="AD20" s="58">
        <v>7.15</v>
      </c>
      <c r="AE20" s="96"/>
      <c r="AF20" s="96"/>
      <c r="AG20" s="53">
        <v>19.670000000000002</v>
      </c>
      <c r="AH20" s="58">
        <f t="shared" si="6"/>
        <v>12.520000000000001</v>
      </c>
      <c r="AI20" s="97">
        <v>7.3</v>
      </c>
      <c r="AJ20" s="58">
        <v>1</v>
      </c>
      <c r="AK20" s="59">
        <f t="shared" si="7"/>
        <v>4.2200000000000015</v>
      </c>
      <c r="AL20" s="86">
        <v>4</v>
      </c>
      <c r="AM20" s="86">
        <f t="shared" si="8"/>
        <v>22.000000000000153</v>
      </c>
      <c r="AN20" s="98"/>
      <c r="AO20" s="93"/>
      <c r="AP20" s="86" t="s">
        <v>5</v>
      </c>
      <c r="AQ20" s="86">
        <v>12</v>
      </c>
      <c r="AR20" s="58">
        <v>7.2</v>
      </c>
      <c r="AS20" s="96"/>
      <c r="AT20" s="96"/>
      <c r="AU20" s="53">
        <v>20.9</v>
      </c>
      <c r="AV20" s="58">
        <f t="shared" si="9"/>
        <v>13.7</v>
      </c>
      <c r="AW20" s="97">
        <v>7.3</v>
      </c>
      <c r="AX20" s="58">
        <v>1</v>
      </c>
      <c r="AY20" s="59">
        <f t="shared" si="10"/>
        <v>5.3999999999999995</v>
      </c>
      <c r="AZ20" s="86">
        <v>5</v>
      </c>
      <c r="BA20" s="86">
        <f t="shared" si="11"/>
        <v>39.999999999999943</v>
      </c>
      <c r="BB20" s="98"/>
      <c r="BC20" s="86"/>
      <c r="BD20" s="86"/>
      <c r="BE20" s="58"/>
      <c r="BF20" s="58"/>
      <c r="BG20" s="58"/>
      <c r="BH20" s="58"/>
      <c r="BI20" s="58"/>
      <c r="BJ20" s="97"/>
      <c r="BK20" s="58"/>
      <c r="BL20" s="59"/>
      <c r="BM20" s="86"/>
      <c r="BN20" s="86"/>
      <c r="BO20" s="98"/>
      <c r="BP20" s="93"/>
      <c r="BQ20" s="86" t="s">
        <v>5</v>
      </c>
      <c r="BR20" s="86">
        <v>12</v>
      </c>
      <c r="BS20" s="58">
        <v>7.1</v>
      </c>
      <c r="BT20" s="96"/>
      <c r="BU20" s="96"/>
      <c r="BV20" s="53">
        <v>21.72</v>
      </c>
      <c r="BW20" s="58">
        <f t="shared" si="12"/>
        <v>14.62</v>
      </c>
      <c r="BX20" s="97">
        <v>7.3</v>
      </c>
      <c r="BY20" s="58">
        <v>1</v>
      </c>
      <c r="BZ20" s="59">
        <f t="shared" si="13"/>
        <v>6.3199999999999994</v>
      </c>
      <c r="CA20" s="86">
        <v>6</v>
      </c>
      <c r="CB20" s="86">
        <f t="shared" si="14"/>
        <v>31.99999999999994</v>
      </c>
      <c r="CC20" s="98"/>
      <c r="CD20" s="93"/>
      <c r="CE20" s="86" t="s">
        <v>5</v>
      </c>
      <c r="CF20" s="86">
        <v>12</v>
      </c>
      <c r="CG20" s="58">
        <v>7.25</v>
      </c>
      <c r="CH20" s="96"/>
      <c r="CI20" s="96"/>
      <c r="CJ20" s="53">
        <v>21.74</v>
      </c>
      <c r="CK20" s="58">
        <f t="shared" si="15"/>
        <v>14.489999999999998</v>
      </c>
      <c r="CL20" s="97">
        <v>7.3</v>
      </c>
      <c r="CM20" s="58">
        <v>1</v>
      </c>
      <c r="CN20" s="59">
        <f t="shared" si="16"/>
        <v>6.1899999999999986</v>
      </c>
      <c r="CO20" s="86">
        <v>6</v>
      </c>
      <c r="CP20" s="86">
        <f t="shared" si="17"/>
        <v>18.999999999999861</v>
      </c>
      <c r="CQ20" s="98"/>
      <c r="CR20" s="86" t="s">
        <v>5</v>
      </c>
      <c r="CS20" s="86">
        <v>12</v>
      </c>
      <c r="CT20" s="58">
        <v>7.15</v>
      </c>
      <c r="CU20" s="96"/>
      <c r="CV20" s="96"/>
      <c r="CW20" s="53">
        <v>21.72</v>
      </c>
      <c r="CX20" s="58">
        <f t="shared" si="18"/>
        <v>14.569999999999999</v>
      </c>
      <c r="CY20" s="97">
        <v>7.3</v>
      </c>
      <c r="CZ20" s="58">
        <v>1</v>
      </c>
      <c r="DA20" s="59">
        <f t="shared" si="19"/>
        <v>6.2699999999999987</v>
      </c>
      <c r="DB20" s="86">
        <v>6</v>
      </c>
      <c r="DC20" s="86">
        <f t="shared" si="20"/>
        <v>26.999999999999869</v>
      </c>
      <c r="DD20" s="98"/>
      <c r="DE20" s="93"/>
      <c r="DF20" s="86" t="s">
        <v>5</v>
      </c>
      <c r="DG20" s="86">
        <v>12</v>
      </c>
      <c r="DH20" s="58">
        <v>7.4</v>
      </c>
      <c r="DI20" s="96"/>
      <c r="DJ20" s="96"/>
      <c r="DK20" s="53">
        <v>20.92</v>
      </c>
      <c r="DL20" s="58">
        <f t="shared" si="21"/>
        <v>13.520000000000001</v>
      </c>
      <c r="DM20" s="97">
        <v>7.3</v>
      </c>
      <c r="DN20" s="58">
        <v>1</v>
      </c>
      <c r="DO20" s="59">
        <f t="shared" si="22"/>
        <v>5.2200000000000015</v>
      </c>
      <c r="DP20" s="86">
        <v>5</v>
      </c>
      <c r="DQ20" s="86">
        <f t="shared" si="23"/>
        <v>22.000000000000153</v>
      </c>
      <c r="DR20" s="98"/>
      <c r="DS20" s="93"/>
      <c r="DT20" s="86" t="s">
        <v>5</v>
      </c>
      <c r="DU20" s="86">
        <v>12</v>
      </c>
      <c r="DV20" s="58">
        <v>7.3</v>
      </c>
      <c r="DW20" s="96"/>
      <c r="DX20" s="96"/>
      <c r="DY20" s="53">
        <v>20.92</v>
      </c>
      <c r="DZ20" s="58">
        <f t="shared" si="24"/>
        <v>13.620000000000001</v>
      </c>
      <c r="EA20" s="97">
        <v>7.3</v>
      </c>
      <c r="EB20" s="58">
        <v>1</v>
      </c>
      <c r="EC20" s="59">
        <f t="shared" si="25"/>
        <v>5.3200000000000012</v>
      </c>
      <c r="ED20" s="86">
        <v>5</v>
      </c>
      <c r="EE20" s="86">
        <f t="shared" si="26"/>
        <v>32.000000000000114</v>
      </c>
      <c r="EF20" s="98"/>
      <c r="EG20" s="86" t="s">
        <v>5</v>
      </c>
      <c r="EH20" s="86">
        <v>12</v>
      </c>
      <c r="EI20" s="58">
        <v>7.2</v>
      </c>
      <c r="EJ20" s="96"/>
      <c r="EK20" s="96"/>
      <c r="EL20" s="53">
        <v>20.9</v>
      </c>
      <c r="EM20" s="58">
        <f t="shared" si="27"/>
        <v>13.7</v>
      </c>
      <c r="EN20" s="97">
        <v>7.3</v>
      </c>
      <c r="EO20" s="58">
        <v>1</v>
      </c>
      <c r="EP20" s="59">
        <f t="shared" si="28"/>
        <v>5.3999999999999995</v>
      </c>
      <c r="EQ20" s="86">
        <v>5</v>
      </c>
      <c r="ER20" s="86">
        <f t="shared" si="29"/>
        <v>39.999999999999943</v>
      </c>
      <c r="ES20" s="98"/>
      <c r="ET20" s="93"/>
      <c r="EU20" s="86" t="s">
        <v>5</v>
      </c>
      <c r="EV20" s="86">
        <v>12</v>
      </c>
      <c r="EW20" s="58">
        <v>7.1</v>
      </c>
      <c r="EX20" s="96"/>
      <c r="EY20" s="96"/>
      <c r="EZ20" s="53">
        <v>20.92</v>
      </c>
      <c r="FA20" s="58">
        <f t="shared" si="59"/>
        <v>13.820000000000002</v>
      </c>
      <c r="FB20" s="97">
        <v>7.3</v>
      </c>
      <c r="FC20" s="58">
        <v>1</v>
      </c>
      <c r="FD20" s="59">
        <f t="shared" si="30"/>
        <v>5.5200000000000022</v>
      </c>
      <c r="FE20" s="86">
        <v>5</v>
      </c>
      <c r="FF20" s="86">
        <f t="shared" si="31"/>
        <v>52.000000000000227</v>
      </c>
      <c r="FG20" s="98"/>
      <c r="FH20" s="86" t="s">
        <v>5</v>
      </c>
      <c r="FI20" s="86">
        <v>12</v>
      </c>
      <c r="FJ20" s="58">
        <v>7.1</v>
      </c>
      <c r="FK20" s="96"/>
      <c r="FL20" s="96"/>
      <c r="FM20" s="53">
        <v>20.95</v>
      </c>
      <c r="FN20" s="58">
        <f t="shared" si="32"/>
        <v>13.85</v>
      </c>
      <c r="FO20" s="97">
        <v>7.3</v>
      </c>
      <c r="FP20" s="58">
        <v>1</v>
      </c>
      <c r="FQ20" s="59">
        <f t="shared" si="33"/>
        <v>5.55</v>
      </c>
      <c r="FR20" s="86">
        <v>5</v>
      </c>
      <c r="FS20" s="86">
        <f t="shared" si="34"/>
        <v>54.999999999999986</v>
      </c>
      <c r="FT20" s="98"/>
      <c r="FU20" s="93"/>
      <c r="FV20" s="86" t="s">
        <v>5</v>
      </c>
      <c r="FW20" s="86">
        <v>12</v>
      </c>
      <c r="FX20" s="58">
        <v>7.15</v>
      </c>
      <c r="FY20" s="96"/>
      <c r="FZ20" s="96"/>
      <c r="GA20" s="53">
        <v>20.95</v>
      </c>
      <c r="GB20" s="58">
        <f t="shared" si="35"/>
        <v>13.799999999999999</v>
      </c>
      <c r="GC20" s="97">
        <v>7.3</v>
      </c>
      <c r="GD20" s="58">
        <v>1</v>
      </c>
      <c r="GE20" s="59">
        <f t="shared" si="36"/>
        <v>5.4999999999999991</v>
      </c>
      <c r="GF20" s="86">
        <v>5</v>
      </c>
      <c r="GG20" s="86">
        <f t="shared" si="37"/>
        <v>49.999999999999915</v>
      </c>
      <c r="GH20" s="98"/>
      <c r="GI20" s="86" t="s">
        <v>5</v>
      </c>
      <c r="GJ20" s="86">
        <v>12</v>
      </c>
      <c r="GK20" s="58">
        <v>7.1</v>
      </c>
      <c r="GL20" s="96"/>
      <c r="GM20" s="96"/>
      <c r="GN20" s="53">
        <v>20.9</v>
      </c>
      <c r="GO20" s="58">
        <f t="shared" si="38"/>
        <v>13.799999999999999</v>
      </c>
      <c r="GP20" s="97">
        <v>7.3</v>
      </c>
      <c r="GQ20" s="58">
        <v>1</v>
      </c>
      <c r="GR20" s="59">
        <f t="shared" si="39"/>
        <v>5.4999999999999991</v>
      </c>
      <c r="GS20" s="86">
        <v>5</v>
      </c>
      <c r="GT20" s="86">
        <f t="shared" si="40"/>
        <v>49.999999999999915</v>
      </c>
      <c r="GU20" s="98"/>
      <c r="GW20" s="86" t="s">
        <v>5</v>
      </c>
      <c r="GX20" s="86">
        <v>12</v>
      </c>
      <c r="GY20" s="58">
        <v>7.1</v>
      </c>
      <c r="GZ20" s="96"/>
      <c r="HA20" s="96"/>
      <c r="HB20" s="53">
        <v>20.9</v>
      </c>
      <c r="HC20" s="58">
        <f t="shared" si="41"/>
        <v>13.799999999999999</v>
      </c>
      <c r="HD20" s="97">
        <v>7.3</v>
      </c>
      <c r="HE20" s="58">
        <v>1</v>
      </c>
      <c r="HF20" s="59">
        <f t="shared" si="42"/>
        <v>5.4999999999999991</v>
      </c>
      <c r="HG20" s="86">
        <v>5</v>
      </c>
      <c r="HH20" s="86">
        <f t="shared" si="43"/>
        <v>49.999999999999915</v>
      </c>
      <c r="HI20" s="98"/>
      <c r="HJ20" s="86" t="s">
        <v>5</v>
      </c>
      <c r="HK20" s="86">
        <v>12</v>
      </c>
      <c r="HL20" s="58">
        <v>7.1</v>
      </c>
      <c r="HM20" s="96"/>
      <c r="HN20" s="96"/>
      <c r="HO20" s="53">
        <v>20.91</v>
      </c>
      <c r="HP20" s="58">
        <f t="shared" si="44"/>
        <v>13.81</v>
      </c>
      <c r="HQ20" s="97">
        <v>7.3</v>
      </c>
      <c r="HR20" s="58">
        <v>1</v>
      </c>
      <c r="HS20" s="59">
        <f t="shared" si="45"/>
        <v>5.5100000000000007</v>
      </c>
      <c r="HT20" s="86">
        <v>5</v>
      </c>
      <c r="HU20" s="86">
        <f t="shared" si="46"/>
        <v>51.000000000000071</v>
      </c>
      <c r="HV20" s="98"/>
      <c r="HW20" s="93"/>
      <c r="HX20" s="86"/>
      <c r="HY20" s="86"/>
      <c r="HZ20" s="58"/>
      <c r="IA20" s="58"/>
      <c r="IB20" s="58"/>
      <c r="IC20" s="58"/>
      <c r="ID20" s="58"/>
      <c r="IE20" s="97"/>
      <c r="IF20" s="58"/>
      <c r="IG20" s="59"/>
      <c r="IH20" s="86"/>
      <c r="II20" s="86"/>
      <c r="IJ20" s="98"/>
      <c r="IK20" s="86" t="s">
        <v>5</v>
      </c>
      <c r="IL20" s="86">
        <v>12</v>
      </c>
      <c r="IM20" s="58">
        <v>7.05</v>
      </c>
      <c r="IN20" s="96"/>
      <c r="IO20" s="96"/>
      <c r="IP20" s="53">
        <v>20.92</v>
      </c>
      <c r="IQ20" s="58">
        <f t="shared" si="47"/>
        <v>13.870000000000001</v>
      </c>
      <c r="IR20" s="97">
        <v>7.3</v>
      </c>
      <c r="IS20" s="58">
        <v>1</v>
      </c>
      <c r="IT20" s="59">
        <f t="shared" si="48"/>
        <v>5.5700000000000012</v>
      </c>
      <c r="IU20" s="86">
        <v>5</v>
      </c>
      <c r="IV20" s="86">
        <f t="shared" si="49"/>
        <v>57.000000000000114</v>
      </c>
      <c r="IW20" s="98"/>
      <c r="IX20" s="93"/>
      <c r="IY20" s="86" t="s">
        <v>5</v>
      </c>
      <c r="IZ20" s="86">
        <v>12</v>
      </c>
      <c r="JA20" s="58">
        <v>7.1</v>
      </c>
      <c r="JB20" s="96"/>
      <c r="JC20" s="96"/>
      <c r="JD20" s="53">
        <v>21.72</v>
      </c>
      <c r="JE20" s="58">
        <f t="shared" si="50"/>
        <v>14.62</v>
      </c>
      <c r="JF20" s="97">
        <v>7.3</v>
      </c>
      <c r="JG20" s="58">
        <v>1</v>
      </c>
      <c r="JH20" s="59">
        <f t="shared" si="51"/>
        <v>6.3199999999999994</v>
      </c>
      <c r="JI20" s="86">
        <v>6</v>
      </c>
      <c r="JJ20" s="86">
        <f t="shared" si="52"/>
        <v>31.99999999999994</v>
      </c>
      <c r="JK20" s="98"/>
      <c r="JL20" s="86" t="s">
        <v>5</v>
      </c>
      <c r="JM20" s="86">
        <v>12</v>
      </c>
      <c r="JN20" s="58">
        <v>7.1</v>
      </c>
      <c r="JO20" s="96"/>
      <c r="JP20" s="96"/>
      <c r="JQ20" s="53">
        <v>19.670000000000002</v>
      </c>
      <c r="JR20" s="58">
        <f t="shared" si="53"/>
        <v>12.570000000000002</v>
      </c>
      <c r="JS20" s="97">
        <v>7.3</v>
      </c>
      <c r="JT20" s="58">
        <v>1</v>
      </c>
      <c r="JU20" s="59">
        <f t="shared" si="54"/>
        <v>4.2700000000000022</v>
      </c>
      <c r="JV20" s="86">
        <v>4</v>
      </c>
      <c r="JW20" s="86">
        <f t="shared" si="55"/>
        <v>27.000000000000224</v>
      </c>
      <c r="JX20" s="98"/>
      <c r="JY20" s="93"/>
      <c r="JZ20" s="86" t="s">
        <v>5</v>
      </c>
      <c r="KA20" s="86">
        <v>12</v>
      </c>
      <c r="KB20" s="58">
        <v>7.2</v>
      </c>
      <c r="KC20" s="96"/>
      <c r="KD20" s="96"/>
      <c r="KE20" s="53">
        <v>20.92</v>
      </c>
      <c r="KF20" s="58">
        <f t="shared" si="56"/>
        <v>13.720000000000002</v>
      </c>
      <c r="KG20" s="97">
        <v>7.3</v>
      </c>
      <c r="KH20" s="58">
        <v>1</v>
      </c>
      <c r="KI20" s="59">
        <f t="shared" si="57"/>
        <v>5.4200000000000026</v>
      </c>
      <c r="KJ20" s="86">
        <v>5</v>
      </c>
      <c r="KK20" s="86">
        <f t="shared" si="58"/>
        <v>42.000000000000256</v>
      </c>
      <c r="KL20" s="98"/>
    </row>
    <row r="21" spans="1:298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0"/>
        <v>0</v>
      </c>
      <c r="H21" s="56"/>
      <c r="I21" s="52"/>
      <c r="J21" s="57">
        <f t="shared" si="1"/>
        <v>0</v>
      </c>
      <c r="K21" s="55"/>
      <c r="L21" s="55">
        <f t="shared" si="2"/>
        <v>0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>
        <v>0</v>
      </c>
      <c r="Z21" s="55">
        <f t="shared" si="5"/>
        <v>0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>
        <f t="shared" si="6"/>
        <v>0</v>
      </c>
      <c r="AI21" s="56"/>
      <c r="AJ21" s="52"/>
      <c r="AK21" s="57">
        <f t="shared" si="7"/>
        <v>0</v>
      </c>
      <c r="AL21" s="55">
        <v>0</v>
      </c>
      <c r="AM21" s="55">
        <f t="shared" si="8"/>
        <v>0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>
        <v>0</v>
      </c>
      <c r="BA21" s="55">
        <f t="shared" si="11"/>
        <v>0</v>
      </c>
      <c r="BB21" s="137"/>
      <c r="BC21" s="86"/>
      <c r="BD21" s="86"/>
      <c r="BE21" s="58"/>
      <c r="BF21" s="58"/>
      <c r="BG21" s="58"/>
      <c r="BH21" s="58"/>
      <c r="BI21" s="58"/>
      <c r="BJ21" s="97"/>
      <c r="BK21" s="58"/>
      <c r="BL21" s="59"/>
      <c r="BM21" s="86"/>
      <c r="BN21" s="86"/>
      <c r="BO21" s="102"/>
      <c r="BQ21" s="55" t="s">
        <v>6</v>
      </c>
      <c r="BR21" s="55">
        <v>13</v>
      </c>
      <c r="BS21" s="136"/>
      <c r="BT21" s="52"/>
      <c r="BU21" s="52"/>
      <c r="BV21" s="52"/>
      <c r="BW21" s="52">
        <f t="shared" si="12"/>
        <v>0</v>
      </c>
      <c r="BX21" s="56"/>
      <c r="BY21" s="52"/>
      <c r="BZ21" s="57">
        <f t="shared" si="13"/>
        <v>0</v>
      </c>
      <c r="CA21" s="55">
        <v>0</v>
      </c>
      <c r="CB21" s="55">
        <f t="shared" si="14"/>
        <v>0</v>
      </c>
      <c r="CC21" s="137"/>
      <c r="CE21" s="55" t="s">
        <v>6</v>
      </c>
      <c r="CF21" s="55">
        <v>13</v>
      </c>
      <c r="CG21" s="136"/>
      <c r="CH21" s="52"/>
      <c r="CI21" s="52"/>
      <c r="CJ21" s="52"/>
      <c r="CK21" s="52">
        <f t="shared" si="15"/>
        <v>0</v>
      </c>
      <c r="CL21" s="56"/>
      <c r="CM21" s="52"/>
      <c r="CN21" s="57">
        <f t="shared" si="16"/>
        <v>0</v>
      </c>
      <c r="CO21" s="55">
        <v>0</v>
      </c>
      <c r="CP21" s="55">
        <f t="shared" si="17"/>
        <v>0</v>
      </c>
      <c r="CQ21" s="137"/>
      <c r="CR21" s="55" t="s">
        <v>6</v>
      </c>
      <c r="CS21" s="55">
        <v>13</v>
      </c>
      <c r="CT21" s="136"/>
      <c r="CU21" s="52"/>
      <c r="CV21" s="52"/>
      <c r="CW21" s="52"/>
      <c r="CX21" s="52">
        <f t="shared" si="18"/>
        <v>0</v>
      </c>
      <c r="CY21" s="56"/>
      <c r="CZ21" s="52"/>
      <c r="DA21" s="57">
        <f t="shared" si="19"/>
        <v>0</v>
      </c>
      <c r="DB21" s="55">
        <v>0</v>
      </c>
      <c r="DC21" s="55">
        <f t="shared" si="20"/>
        <v>0</v>
      </c>
      <c r="DD21" s="137"/>
      <c r="DF21" s="55" t="s">
        <v>6</v>
      </c>
      <c r="DG21" s="55">
        <v>13</v>
      </c>
      <c r="DH21" s="136"/>
      <c r="DI21" s="52"/>
      <c r="DJ21" s="52"/>
      <c r="DK21" s="52"/>
      <c r="DL21" s="52">
        <f t="shared" si="21"/>
        <v>0</v>
      </c>
      <c r="DM21" s="56"/>
      <c r="DN21" s="52"/>
      <c r="DO21" s="57">
        <f t="shared" si="22"/>
        <v>0</v>
      </c>
      <c r="DP21" s="55">
        <v>0</v>
      </c>
      <c r="DQ21" s="55">
        <f t="shared" si="23"/>
        <v>0</v>
      </c>
      <c r="DR21" s="137"/>
      <c r="DT21" s="55" t="s">
        <v>6</v>
      </c>
      <c r="DU21" s="55">
        <v>13</v>
      </c>
      <c r="DV21" s="136"/>
      <c r="DW21" s="52"/>
      <c r="DX21" s="52"/>
      <c r="DY21" s="52"/>
      <c r="DZ21" s="52">
        <f t="shared" si="24"/>
        <v>0</v>
      </c>
      <c r="EA21" s="56"/>
      <c r="EB21" s="52"/>
      <c r="EC21" s="57">
        <f t="shared" si="25"/>
        <v>0</v>
      </c>
      <c r="ED21" s="55">
        <v>0</v>
      </c>
      <c r="EE21" s="55">
        <f t="shared" si="26"/>
        <v>0</v>
      </c>
      <c r="EF21" s="137"/>
      <c r="EG21" s="55" t="s">
        <v>6</v>
      </c>
      <c r="EH21" s="55">
        <v>13</v>
      </c>
      <c r="EI21" s="136"/>
      <c r="EJ21" s="52"/>
      <c r="EK21" s="52"/>
      <c r="EL21" s="52"/>
      <c r="EM21" s="52">
        <f t="shared" si="27"/>
        <v>0</v>
      </c>
      <c r="EN21" s="56"/>
      <c r="EO21" s="52"/>
      <c r="EP21" s="57">
        <f t="shared" si="28"/>
        <v>0</v>
      </c>
      <c r="EQ21" s="55">
        <v>0</v>
      </c>
      <c r="ER21" s="55">
        <f t="shared" si="29"/>
        <v>0</v>
      </c>
      <c r="ES21" s="137"/>
      <c r="EU21" s="55" t="s">
        <v>6</v>
      </c>
      <c r="EV21" s="55">
        <v>13</v>
      </c>
      <c r="EW21" s="136"/>
      <c r="EX21" s="52"/>
      <c r="EY21" s="52"/>
      <c r="EZ21" s="52"/>
      <c r="FA21" s="52">
        <f t="shared" si="59"/>
        <v>0</v>
      </c>
      <c r="FB21" s="56"/>
      <c r="FC21" s="52"/>
      <c r="FD21" s="57">
        <f t="shared" si="30"/>
        <v>0</v>
      </c>
      <c r="FE21" s="55">
        <v>0</v>
      </c>
      <c r="FF21" s="55">
        <f t="shared" si="31"/>
        <v>0</v>
      </c>
      <c r="FG21" s="137"/>
      <c r="FH21" s="55" t="s">
        <v>6</v>
      </c>
      <c r="FI21" s="55">
        <v>13</v>
      </c>
      <c r="FJ21" s="136"/>
      <c r="FK21" s="52"/>
      <c r="FL21" s="52"/>
      <c r="FM21" s="52"/>
      <c r="FN21" s="52">
        <f t="shared" si="32"/>
        <v>0</v>
      </c>
      <c r="FO21" s="56"/>
      <c r="FP21" s="52"/>
      <c r="FQ21" s="57">
        <f t="shared" si="33"/>
        <v>0</v>
      </c>
      <c r="FR21" s="55">
        <v>0</v>
      </c>
      <c r="FS21" s="55">
        <f t="shared" si="34"/>
        <v>0</v>
      </c>
      <c r="FT21" s="137"/>
      <c r="FV21" s="55" t="s">
        <v>6</v>
      </c>
      <c r="FW21" s="55">
        <v>13</v>
      </c>
      <c r="FX21" s="136"/>
      <c r="FY21" s="52"/>
      <c r="FZ21" s="52"/>
      <c r="GA21" s="52"/>
      <c r="GB21" s="52">
        <f t="shared" si="35"/>
        <v>0</v>
      </c>
      <c r="GC21" s="56"/>
      <c r="GD21" s="52"/>
      <c r="GE21" s="57">
        <f t="shared" si="36"/>
        <v>0</v>
      </c>
      <c r="GF21" s="55">
        <v>0</v>
      </c>
      <c r="GG21" s="55">
        <f t="shared" si="37"/>
        <v>0</v>
      </c>
      <c r="GH21" s="137"/>
      <c r="GI21" s="55" t="s">
        <v>6</v>
      </c>
      <c r="GJ21" s="55">
        <v>13</v>
      </c>
      <c r="GK21" s="136"/>
      <c r="GL21" s="52"/>
      <c r="GM21" s="52"/>
      <c r="GN21" s="52"/>
      <c r="GO21" s="52">
        <f t="shared" si="38"/>
        <v>0</v>
      </c>
      <c r="GP21" s="56"/>
      <c r="GQ21" s="52"/>
      <c r="GR21" s="57">
        <f t="shared" si="39"/>
        <v>0</v>
      </c>
      <c r="GS21" s="55">
        <v>0</v>
      </c>
      <c r="GT21" s="55">
        <f t="shared" si="40"/>
        <v>0</v>
      </c>
      <c r="GU21" s="137"/>
      <c r="GW21" s="55" t="s">
        <v>6</v>
      </c>
      <c r="GX21" s="55">
        <v>13</v>
      </c>
      <c r="GY21" s="136"/>
      <c r="GZ21" s="52"/>
      <c r="HA21" s="52"/>
      <c r="HB21" s="52"/>
      <c r="HC21" s="52">
        <f t="shared" si="41"/>
        <v>0</v>
      </c>
      <c r="HD21" s="56"/>
      <c r="HE21" s="52"/>
      <c r="HF21" s="57">
        <f t="shared" si="42"/>
        <v>0</v>
      </c>
      <c r="HG21" s="55">
        <v>0</v>
      </c>
      <c r="HH21" s="55">
        <f t="shared" si="43"/>
        <v>0</v>
      </c>
      <c r="HI21" s="137"/>
      <c r="HJ21" s="55" t="s">
        <v>6</v>
      </c>
      <c r="HK21" s="55">
        <v>13</v>
      </c>
      <c r="HL21" s="136"/>
      <c r="HM21" s="52"/>
      <c r="HN21" s="52"/>
      <c r="HO21" s="52"/>
      <c r="HP21" s="52">
        <f t="shared" si="44"/>
        <v>0</v>
      </c>
      <c r="HQ21" s="56"/>
      <c r="HR21" s="52"/>
      <c r="HS21" s="57">
        <f t="shared" si="45"/>
        <v>0</v>
      </c>
      <c r="HT21" s="55">
        <v>0</v>
      </c>
      <c r="HU21" s="55">
        <f t="shared" si="46"/>
        <v>0</v>
      </c>
      <c r="HV21" s="137"/>
      <c r="HX21" s="86"/>
      <c r="HY21" s="86"/>
      <c r="HZ21" s="58"/>
      <c r="IA21" s="58"/>
      <c r="IB21" s="58"/>
      <c r="IC21" s="58"/>
      <c r="ID21" s="58"/>
      <c r="IE21" s="97"/>
      <c r="IF21" s="58"/>
      <c r="IG21" s="59"/>
      <c r="IH21" s="86"/>
      <c r="II21" s="86"/>
      <c r="IJ21" s="102"/>
      <c r="IK21" s="55" t="s">
        <v>6</v>
      </c>
      <c r="IL21" s="55">
        <v>13</v>
      </c>
      <c r="IM21" s="136"/>
      <c r="IN21" s="52"/>
      <c r="IO21" s="52"/>
      <c r="IP21" s="52"/>
      <c r="IQ21" s="52">
        <f t="shared" si="47"/>
        <v>0</v>
      </c>
      <c r="IR21" s="56"/>
      <c r="IS21" s="52"/>
      <c r="IT21" s="57">
        <f t="shared" si="48"/>
        <v>0</v>
      </c>
      <c r="IU21" s="55">
        <v>0</v>
      </c>
      <c r="IV21" s="55">
        <f t="shared" si="49"/>
        <v>0</v>
      </c>
      <c r="IW21" s="137"/>
      <c r="IY21" s="55" t="s">
        <v>6</v>
      </c>
      <c r="IZ21" s="55">
        <v>13</v>
      </c>
      <c r="JA21" s="136"/>
      <c r="JB21" s="52"/>
      <c r="JC21" s="52">
        <v>9.1999999999999993</v>
      </c>
      <c r="JD21" s="52">
        <v>13.29</v>
      </c>
      <c r="JE21" s="52">
        <f t="shared" si="50"/>
        <v>4.09</v>
      </c>
      <c r="JF21" s="56"/>
      <c r="JG21" s="52"/>
      <c r="JH21" s="57">
        <f t="shared" si="51"/>
        <v>4.09</v>
      </c>
      <c r="JI21" s="55">
        <v>4</v>
      </c>
      <c r="JJ21" s="55">
        <f t="shared" si="52"/>
        <v>8.9999999999999858</v>
      </c>
      <c r="JK21" s="137"/>
      <c r="JL21" s="55" t="s">
        <v>6</v>
      </c>
      <c r="JM21" s="55">
        <v>13</v>
      </c>
      <c r="JN21" s="136"/>
      <c r="JO21" s="52"/>
      <c r="JP21" s="52"/>
      <c r="JQ21" s="52"/>
      <c r="JR21" s="52">
        <f t="shared" si="53"/>
        <v>0</v>
      </c>
      <c r="JS21" s="56"/>
      <c r="JT21" s="52"/>
      <c r="JU21" s="57">
        <f t="shared" si="54"/>
        <v>0</v>
      </c>
      <c r="JV21" s="55">
        <v>0</v>
      </c>
      <c r="JW21" s="55">
        <f t="shared" si="55"/>
        <v>0</v>
      </c>
      <c r="JX21" s="137"/>
      <c r="JZ21" s="55" t="s">
        <v>6</v>
      </c>
      <c r="KA21" s="55">
        <v>13</v>
      </c>
      <c r="KB21" s="136"/>
      <c r="KC21" s="52"/>
      <c r="KD21" s="52"/>
      <c r="KE21" s="52"/>
      <c r="KF21" s="52">
        <f t="shared" si="56"/>
        <v>0</v>
      </c>
      <c r="KG21" s="56"/>
      <c r="KH21" s="52"/>
      <c r="KI21" s="57">
        <f t="shared" si="57"/>
        <v>0</v>
      </c>
      <c r="KJ21" s="55">
        <v>0</v>
      </c>
      <c r="KK21" s="55">
        <f t="shared" si="58"/>
        <v>0</v>
      </c>
      <c r="KL21" s="137"/>
    </row>
    <row r="22" spans="1:298" ht="17.149999999999999" customHeight="1" x14ac:dyDescent="0.35">
      <c r="A22" s="86" t="s">
        <v>1</v>
      </c>
      <c r="B22" s="94">
        <v>14</v>
      </c>
      <c r="C22" s="58">
        <v>7.15</v>
      </c>
      <c r="D22" s="96"/>
      <c r="E22" s="96"/>
      <c r="F22" s="53">
        <v>20.66</v>
      </c>
      <c r="G22" s="58">
        <f t="shared" si="0"/>
        <v>13.51</v>
      </c>
      <c r="H22" s="97">
        <v>7.3</v>
      </c>
      <c r="I22" s="58">
        <v>1</v>
      </c>
      <c r="J22" s="59">
        <f t="shared" si="1"/>
        <v>5.21</v>
      </c>
      <c r="K22" s="86">
        <v>5</v>
      </c>
      <c r="L22" s="86">
        <f t="shared" si="2"/>
        <v>20.999999999999996</v>
      </c>
      <c r="M22" s="98"/>
      <c r="O22" s="86" t="s">
        <v>1</v>
      </c>
      <c r="P22" s="94">
        <v>14</v>
      </c>
      <c r="Q22" s="58">
        <v>7.15</v>
      </c>
      <c r="R22" s="96"/>
      <c r="S22" s="96"/>
      <c r="T22" s="53">
        <v>20.97</v>
      </c>
      <c r="U22" s="58">
        <f t="shared" si="3"/>
        <v>13.819999999999999</v>
      </c>
      <c r="V22" s="97">
        <v>7.3</v>
      </c>
      <c r="W22" s="58">
        <v>1</v>
      </c>
      <c r="X22" s="59">
        <f t="shared" si="4"/>
        <v>5.5199999999999987</v>
      </c>
      <c r="Y22" s="86">
        <v>5</v>
      </c>
      <c r="Z22" s="86">
        <f t="shared" si="5"/>
        <v>51.999999999999872</v>
      </c>
      <c r="AA22" s="98"/>
      <c r="AB22" s="86" t="s">
        <v>1</v>
      </c>
      <c r="AC22" s="94">
        <v>14</v>
      </c>
      <c r="AD22" s="58">
        <v>7.15</v>
      </c>
      <c r="AE22" s="96"/>
      <c r="AF22" s="96"/>
      <c r="AG22" s="53">
        <v>18.63</v>
      </c>
      <c r="AH22" s="58">
        <f t="shared" si="6"/>
        <v>11.479999999999999</v>
      </c>
      <c r="AI22" s="97">
        <v>7.3</v>
      </c>
      <c r="AJ22" s="58">
        <v>1</v>
      </c>
      <c r="AK22" s="59">
        <f t="shared" si="7"/>
        <v>3.1799999999999988</v>
      </c>
      <c r="AL22" s="86">
        <v>3</v>
      </c>
      <c r="AM22" s="86">
        <f t="shared" si="8"/>
        <v>17.999999999999883</v>
      </c>
      <c r="AN22" s="98"/>
      <c r="AP22" s="86" t="s">
        <v>1</v>
      </c>
      <c r="AQ22" s="94">
        <v>14</v>
      </c>
      <c r="AR22" s="58">
        <v>7.2</v>
      </c>
      <c r="AS22" s="96"/>
      <c r="AT22" s="96"/>
      <c r="AU22" s="53">
        <v>20.66</v>
      </c>
      <c r="AV22" s="58">
        <f t="shared" si="9"/>
        <v>13.46</v>
      </c>
      <c r="AW22" s="97">
        <v>7.3</v>
      </c>
      <c r="AX22" s="58">
        <v>1</v>
      </c>
      <c r="AY22" s="59">
        <f t="shared" si="10"/>
        <v>5.160000000000001</v>
      </c>
      <c r="AZ22" s="86">
        <v>5</v>
      </c>
      <c r="BA22" s="86">
        <f t="shared" si="11"/>
        <v>16.000000000000103</v>
      </c>
      <c r="BB22" s="98"/>
      <c r="BC22" s="86"/>
      <c r="BD22" s="94"/>
      <c r="BE22" s="58"/>
      <c r="BF22" s="58"/>
      <c r="BG22" s="58"/>
      <c r="BH22" s="58"/>
      <c r="BI22" s="58"/>
      <c r="BJ22" s="97"/>
      <c r="BK22" s="58"/>
      <c r="BL22" s="59"/>
      <c r="BM22" s="86"/>
      <c r="BN22" s="86"/>
      <c r="BO22" s="98"/>
      <c r="BQ22" s="86" t="s">
        <v>1</v>
      </c>
      <c r="BR22" s="94">
        <v>14</v>
      </c>
      <c r="BS22" s="58">
        <v>7.1</v>
      </c>
      <c r="BT22" s="96"/>
      <c r="BU22" s="96"/>
      <c r="BV22" s="53">
        <v>20.69</v>
      </c>
      <c r="BW22" s="58">
        <f t="shared" si="12"/>
        <v>13.590000000000002</v>
      </c>
      <c r="BX22" s="97">
        <v>7.3</v>
      </c>
      <c r="BY22" s="58">
        <v>1</v>
      </c>
      <c r="BZ22" s="59">
        <f t="shared" si="13"/>
        <v>5.2900000000000018</v>
      </c>
      <c r="CA22" s="86">
        <v>5</v>
      </c>
      <c r="CB22" s="86">
        <f t="shared" si="14"/>
        <v>29.000000000000181</v>
      </c>
      <c r="CC22" s="98"/>
      <c r="CE22" s="86" t="s">
        <v>1</v>
      </c>
      <c r="CF22" s="94">
        <v>14</v>
      </c>
      <c r="CG22" s="58"/>
      <c r="CH22" s="96"/>
      <c r="CI22" s="96"/>
      <c r="CJ22" s="53"/>
      <c r="CK22" s="58"/>
      <c r="CL22" s="97"/>
      <c r="CM22" s="58"/>
      <c r="CN22" s="59"/>
      <c r="CO22" s="86"/>
      <c r="CP22" s="86"/>
      <c r="CQ22" s="98" t="s">
        <v>227</v>
      </c>
      <c r="CR22" s="86" t="s">
        <v>1</v>
      </c>
      <c r="CS22" s="94">
        <v>14</v>
      </c>
      <c r="CT22" s="58">
        <v>7.15</v>
      </c>
      <c r="CU22" s="96"/>
      <c r="CV22" s="96"/>
      <c r="CW22" s="53">
        <v>20.69</v>
      </c>
      <c r="CX22" s="58">
        <f t="shared" si="18"/>
        <v>13.540000000000001</v>
      </c>
      <c r="CY22" s="97">
        <v>7.3</v>
      </c>
      <c r="CZ22" s="58">
        <v>1</v>
      </c>
      <c r="DA22" s="59">
        <f t="shared" si="19"/>
        <v>5.2400000000000011</v>
      </c>
      <c r="DB22" s="86">
        <v>5</v>
      </c>
      <c r="DC22" s="86">
        <f t="shared" si="20"/>
        <v>24.00000000000011</v>
      </c>
      <c r="DD22" s="98"/>
      <c r="DF22" s="86" t="s">
        <v>1</v>
      </c>
      <c r="DG22" s="94">
        <v>14</v>
      </c>
      <c r="DH22" s="58">
        <v>7.4</v>
      </c>
      <c r="DI22" s="96"/>
      <c r="DJ22" s="96"/>
      <c r="DK22" s="53">
        <v>20.68</v>
      </c>
      <c r="DL22" s="58">
        <f t="shared" si="21"/>
        <v>13.28</v>
      </c>
      <c r="DM22" s="97">
        <v>7.3</v>
      </c>
      <c r="DN22" s="58">
        <v>1.4</v>
      </c>
      <c r="DO22" s="59">
        <f t="shared" si="22"/>
        <v>4.58</v>
      </c>
      <c r="DP22" s="86">
        <v>4</v>
      </c>
      <c r="DQ22" s="86">
        <f t="shared" si="23"/>
        <v>58.000000000000007</v>
      </c>
      <c r="DR22" s="98"/>
      <c r="DT22" s="86" t="s">
        <v>1</v>
      </c>
      <c r="DU22" s="94">
        <v>14</v>
      </c>
      <c r="DV22" s="58">
        <v>7.3</v>
      </c>
      <c r="DW22" s="96"/>
      <c r="DX22" s="96"/>
      <c r="DY22" s="53">
        <v>20.69</v>
      </c>
      <c r="DZ22" s="58">
        <f t="shared" si="24"/>
        <v>13.39</v>
      </c>
      <c r="EA22" s="97">
        <v>7.3</v>
      </c>
      <c r="EB22" s="58">
        <v>1</v>
      </c>
      <c r="EC22" s="59">
        <f t="shared" si="25"/>
        <v>5.0900000000000007</v>
      </c>
      <c r="ED22" s="86">
        <v>5</v>
      </c>
      <c r="EE22" s="86">
        <f t="shared" si="26"/>
        <v>9.0000000000000746</v>
      </c>
      <c r="EF22" s="98"/>
      <c r="EG22" s="86" t="s">
        <v>1</v>
      </c>
      <c r="EH22" s="94">
        <v>14</v>
      </c>
      <c r="EI22" s="58">
        <v>7.2</v>
      </c>
      <c r="EJ22" s="96"/>
      <c r="EK22" s="96"/>
      <c r="EL22" s="53">
        <v>20.66</v>
      </c>
      <c r="EM22" s="58">
        <f t="shared" si="27"/>
        <v>13.46</v>
      </c>
      <c r="EN22" s="97">
        <v>7.3</v>
      </c>
      <c r="EO22" s="58">
        <v>1</v>
      </c>
      <c r="EP22" s="59">
        <f t="shared" si="28"/>
        <v>5.160000000000001</v>
      </c>
      <c r="EQ22" s="86">
        <v>5</v>
      </c>
      <c r="ER22" s="86">
        <f t="shared" si="29"/>
        <v>16.000000000000103</v>
      </c>
      <c r="ES22" s="98"/>
      <c r="EU22" s="86" t="s">
        <v>1</v>
      </c>
      <c r="EV22" s="94">
        <v>14</v>
      </c>
      <c r="EW22" s="58">
        <v>7.1</v>
      </c>
      <c r="EX22" s="96"/>
      <c r="EY22" s="96"/>
      <c r="EZ22" s="53">
        <v>20.7</v>
      </c>
      <c r="FA22" s="58">
        <f t="shared" si="59"/>
        <v>13.6</v>
      </c>
      <c r="FB22" s="97">
        <v>7.3</v>
      </c>
      <c r="FC22" s="58">
        <v>1</v>
      </c>
      <c r="FD22" s="59">
        <f t="shared" si="30"/>
        <v>5.3</v>
      </c>
      <c r="FE22" s="86">
        <v>5</v>
      </c>
      <c r="FF22" s="86">
        <f t="shared" si="31"/>
        <v>29.999999999999982</v>
      </c>
      <c r="FG22" s="98"/>
      <c r="FH22" s="86" t="s">
        <v>1</v>
      </c>
      <c r="FI22" s="94">
        <v>14</v>
      </c>
      <c r="FJ22" s="58">
        <v>7.1</v>
      </c>
      <c r="FK22" s="96"/>
      <c r="FL22" s="96"/>
      <c r="FM22" s="53">
        <v>20.7</v>
      </c>
      <c r="FN22" s="58">
        <f t="shared" si="32"/>
        <v>13.6</v>
      </c>
      <c r="FO22" s="97">
        <v>7.3</v>
      </c>
      <c r="FP22" s="58">
        <v>1</v>
      </c>
      <c r="FQ22" s="59">
        <f t="shared" si="33"/>
        <v>5.3</v>
      </c>
      <c r="FR22" s="86">
        <v>5</v>
      </c>
      <c r="FS22" s="86">
        <f t="shared" si="34"/>
        <v>29.999999999999982</v>
      </c>
      <c r="FT22" s="98"/>
      <c r="FV22" s="86" t="s">
        <v>1</v>
      </c>
      <c r="FW22" s="94">
        <v>14</v>
      </c>
      <c r="FX22" s="58">
        <v>7.15</v>
      </c>
      <c r="FY22" s="96"/>
      <c r="FZ22" s="96"/>
      <c r="GA22" s="53">
        <v>20.68</v>
      </c>
      <c r="GB22" s="58">
        <f t="shared" si="35"/>
        <v>13.53</v>
      </c>
      <c r="GC22" s="97">
        <v>7.3</v>
      </c>
      <c r="GD22" s="58">
        <v>1</v>
      </c>
      <c r="GE22" s="59">
        <f t="shared" si="36"/>
        <v>5.2299999999999995</v>
      </c>
      <c r="GF22" s="86">
        <v>5</v>
      </c>
      <c r="GG22" s="86">
        <f t="shared" si="37"/>
        <v>22.999999999999954</v>
      </c>
      <c r="GH22" s="98"/>
      <c r="GI22" s="86" t="s">
        <v>1</v>
      </c>
      <c r="GJ22" s="94">
        <v>14</v>
      </c>
      <c r="GK22" s="58">
        <v>7.1</v>
      </c>
      <c r="GL22" s="96"/>
      <c r="GM22" s="96"/>
      <c r="GN22" s="53">
        <v>20.96</v>
      </c>
      <c r="GO22" s="58">
        <f t="shared" si="38"/>
        <v>13.860000000000001</v>
      </c>
      <c r="GP22" s="97">
        <v>7.3</v>
      </c>
      <c r="GQ22" s="58">
        <v>1</v>
      </c>
      <c r="GR22" s="59">
        <f t="shared" si="39"/>
        <v>5.5600000000000014</v>
      </c>
      <c r="GS22" s="86">
        <v>5</v>
      </c>
      <c r="GT22" s="86">
        <f t="shared" si="40"/>
        <v>56.000000000000142</v>
      </c>
      <c r="GU22" s="98"/>
      <c r="GW22" s="86" t="s">
        <v>1</v>
      </c>
      <c r="GX22" s="94">
        <v>14</v>
      </c>
      <c r="GY22" s="58">
        <v>7.1</v>
      </c>
      <c r="GZ22" s="96"/>
      <c r="HA22" s="96"/>
      <c r="HB22" s="53">
        <v>20.67</v>
      </c>
      <c r="HC22" s="58">
        <f t="shared" si="41"/>
        <v>13.570000000000002</v>
      </c>
      <c r="HD22" s="97">
        <v>7.3</v>
      </c>
      <c r="HE22" s="58">
        <v>1</v>
      </c>
      <c r="HF22" s="59">
        <f t="shared" si="42"/>
        <v>5.2700000000000022</v>
      </c>
      <c r="HG22" s="86">
        <v>5</v>
      </c>
      <c r="HH22" s="86">
        <f t="shared" si="43"/>
        <v>27.000000000000224</v>
      </c>
      <c r="HI22" s="98"/>
      <c r="HJ22" s="86" t="s">
        <v>1</v>
      </c>
      <c r="HK22" s="94">
        <v>14</v>
      </c>
      <c r="HL22" s="58">
        <v>7.1</v>
      </c>
      <c r="HM22" s="96"/>
      <c r="HN22" s="96"/>
      <c r="HO22" s="53">
        <v>20.66</v>
      </c>
      <c r="HP22" s="58">
        <f t="shared" si="44"/>
        <v>13.56</v>
      </c>
      <c r="HQ22" s="97">
        <v>7.3</v>
      </c>
      <c r="HR22" s="58">
        <v>1</v>
      </c>
      <c r="HS22" s="59">
        <f t="shared" si="45"/>
        <v>5.2600000000000007</v>
      </c>
      <c r="HT22" s="86">
        <v>5</v>
      </c>
      <c r="HU22" s="86">
        <f t="shared" si="46"/>
        <v>26.000000000000068</v>
      </c>
      <c r="HV22" s="98"/>
      <c r="HX22" s="86"/>
      <c r="HY22" s="94"/>
      <c r="HZ22" s="58"/>
      <c r="IA22" s="58"/>
      <c r="IB22" s="58"/>
      <c r="IC22" s="58"/>
      <c r="ID22" s="58"/>
      <c r="IE22" s="97"/>
      <c r="IF22" s="58"/>
      <c r="IG22" s="59"/>
      <c r="IH22" s="86"/>
      <c r="II22" s="86"/>
      <c r="IJ22" s="98"/>
      <c r="IK22" s="86" t="s">
        <v>1</v>
      </c>
      <c r="IL22" s="94">
        <v>14</v>
      </c>
      <c r="IM22" s="58">
        <v>7.05</v>
      </c>
      <c r="IN22" s="96"/>
      <c r="IO22" s="96"/>
      <c r="IP22" s="53">
        <v>20.68</v>
      </c>
      <c r="IQ22" s="58">
        <f t="shared" si="47"/>
        <v>13.629999999999999</v>
      </c>
      <c r="IR22" s="97">
        <v>7.3</v>
      </c>
      <c r="IS22" s="58">
        <v>1</v>
      </c>
      <c r="IT22" s="59">
        <f t="shared" si="48"/>
        <v>5.3299999999999992</v>
      </c>
      <c r="IU22" s="86">
        <v>5</v>
      </c>
      <c r="IV22" s="86">
        <f t="shared" si="49"/>
        <v>32.999999999999915</v>
      </c>
      <c r="IW22" s="98"/>
      <c r="IY22" s="86" t="s">
        <v>1</v>
      </c>
      <c r="IZ22" s="94">
        <v>14</v>
      </c>
      <c r="JA22" s="58">
        <v>7.1</v>
      </c>
      <c r="JB22" s="96"/>
      <c r="JC22" s="96"/>
      <c r="JD22" s="53">
        <v>20.69</v>
      </c>
      <c r="JE22" s="58">
        <f t="shared" si="50"/>
        <v>13.590000000000002</v>
      </c>
      <c r="JF22" s="97">
        <v>7.3</v>
      </c>
      <c r="JG22" s="58">
        <v>1</v>
      </c>
      <c r="JH22" s="59">
        <f t="shared" si="51"/>
        <v>5.2900000000000018</v>
      </c>
      <c r="JI22" s="86">
        <v>5</v>
      </c>
      <c r="JJ22" s="86">
        <f t="shared" si="52"/>
        <v>29.000000000000181</v>
      </c>
      <c r="JK22" s="98"/>
      <c r="JL22" s="86" t="s">
        <v>1</v>
      </c>
      <c r="JM22" s="94">
        <v>14</v>
      </c>
      <c r="JN22" s="58">
        <v>7.1</v>
      </c>
      <c r="JO22" s="96"/>
      <c r="JP22" s="96"/>
      <c r="JQ22" s="53">
        <v>18.63</v>
      </c>
      <c r="JR22" s="58">
        <f t="shared" si="53"/>
        <v>11.53</v>
      </c>
      <c r="JS22" s="97">
        <v>7.3</v>
      </c>
      <c r="JT22" s="58">
        <v>1</v>
      </c>
      <c r="JU22" s="59">
        <f t="shared" si="54"/>
        <v>3.2299999999999995</v>
      </c>
      <c r="JV22" s="86">
        <v>3</v>
      </c>
      <c r="JW22" s="86">
        <f t="shared" si="55"/>
        <v>22.999999999999954</v>
      </c>
      <c r="JX22" s="98"/>
      <c r="JZ22" s="86" t="s">
        <v>1</v>
      </c>
      <c r="KA22" s="94">
        <v>14</v>
      </c>
      <c r="KB22" s="58">
        <v>7.2</v>
      </c>
      <c r="KC22" s="96"/>
      <c r="KD22" s="96"/>
      <c r="KE22" s="53">
        <v>20.66</v>
      </c>
      <c r="KF22" s="58">
        <f t="shared" si="56"/>
        <v>13.46</v>
      </c>
      <c r="KG22" s="97">
        <v>7.3</v>
      </c>
      <c r="KH22" s="58">
        <v>1</v>
      </c>
      <c r="KI22" s="59">
        <f t="shared" si="57"/>
        <v>5.160000000000001</v>
      </c>
      <c r="KJ22" s="86">
        <v>5</v>
      </c>
      <c r="KK22" s="86">
        <f t="shared" si="58"/>
        <v>16.000000000000103</v>
      </c>
      <c r="KL22" s="98"/>
    </row>
    <row r="23" spans="1:298" ht="17.149999999999999" customHeight="1" x14ac:dyDescent="0.35">
      <c r="A23" s="86" t="s">
        <v>216</v>
      </c>
      <c r="B23" s="94">
        <v>15</v>
      </c>
      <c r="C23" s="58">
        <v>7.15</v>
      </c>
      <c r="D23" s="96"/>
      <c r="E23" s="96"/>
      <c r="F23" s="53">
        <v>17.61</v>
      </c>
      <c r="G23" s="58">
        <f t="shared" si="0"/>
        <v>10.459999999999999</v>
      </c>
      <c r="H23" s="97">
        <v>7.3</v>
      </c>
      <c r="I23" s="58">
        <v>1</v>
      </c>
      <c r="J23" s="59">
        <f t="shared" si="1"/>
        <v>2.1599999999999993</v>
      </c>
      <c r="K23" s="86">
        <v>2</v>
      </c>
      <c r="L23" s="86">
        <f t="shared" si="2"/>
        <v>15.999999999999925</v>
      </c>
      <c r="M23" s="103"/>
      <c r="O23" s="86" t="s">
        <v>216</v>
      </c>
      <c r="P23" s="94">
        <v>15</v>
      </c>
      <c r="Q23" s="58">
        <v>7.15</v>
      </c>
      <c r="R23" s="96"/>
      <c r="S23" s="96"/>
      <c r="T23" s="53">
        <v>18.89</v>
      </c>
      <c r="U23" s="58">
        <f t="shared" si="3"/>
        <v>11.74</v>
      </c>
      <c r="V23" s="97">
        <v>7.3</v>
      </c>
      <c r="W23" s="58">
        <v>1</v>
      </c>
      <c r="X23" s="59">
        <f t="shared" si="4"/>
        <v>3.4400000000000004</v>
      </c>
      <c r="Y23" s="86">
        <v>3</v>
      </c>
      <c r="Z23" s="86">
        <f t="shared" si="5"/>
        <v>44.000000000000043</v>
      </c>
      <c r="AA23" s="103"/>
      <c r="AB23" s="86" t="s">
        <v>216</v>
      </c>
      <c r="AC23" s="94">
        <v>15</v>
      </c>
      <c r="AD23" s="58">
        <v>7.15</v>
      </c>
      <c r="AE23" s="96"/>
      <c r="AF23" s="96"/>
      <c r="AG23" s="53">
        <v>17.940000000000001</v>
      </c>
      <c r="AH23" s="58">
        <f t="shared" si="6"/>
        <v>10.790000000000001</v>
      </c>
      <c r="AI23" s="97">
        <v>7.3</v>
      </c>
      <c r="AJ23" s="58">
        <v>1</v>
      </c>
      <c r="AK23" s="59">
        <f t="shared" si="7"/>
        <v>2.4900000000000011</v>
      </c>
      <c r="AL23" s="86">
        <v>2</v>
      </c>
      <c r="AM23" s="86">
        <f t="shared" si="8"/>
        <v>49.000000000000114</v>
      </c>
      <c r="AN23" s="103"/>
      <c r="AP23" s="86" t="s">
        <v>216</v>
      </c>
      <c r="AQ23" s="94">
        <v>15</v>
      </c>
      <c r="AR23" s="58">
        <v>7.2</v>
      </c>
      <c r="AS23" s="96"/>
      <c r="AT23" s="96"/>
      <c r="AU23" s="53">
        <v>17.600000000000001</v>
      </c>
      <c r="AV23" s="58">
        <f t="shared" si="9"/>
        <v>10.400000000000002</v>
      </c>
      <c r="AW23" s="97">
        <v>7.3</v>
      </c>
      <c r="AX23" s="58">
        <v>1</v>
      </c>
      <c r="AY23" s="59">
        <f t="shared" si="10"/>
        <v>2.1000000000000023</v>
      </c>
      <c r="AZ23" s="86">
        <v>2</v>
      </c>
      <c r="BA23" s="86">
        <f t="shared" si="11"/>
        <v>10.000000000000231</v>
      </c>
      <c r="BB23" s="103"/>
      <c r="BC23" s="86"/>
      <c r="BD23" s="94"/>
      <c r="BE23" s="58"/>
      <c r="BF23" s="58"/>
      <c r="BG23" s="58"/>
      <c r="BH23" s="58"/>
      <c r="BI23" s="58"/>
      <c r="BJ23" s="97"/>
      <c r="BK23" s="58"/>
      <c r="BL23" s="59"/>
      <c r="BM23" s="86"/>
      <c r="BN23" s="86"/>
      <c r="BO23" s="103"/>
      <c r="BQ23" s="86" t="s">
        <v>216</v>
      </c>
      <c r="BR23" s="94">
        <v>15</v>
      </c>
      <c r="BS23" s="58">
        <v>7.1</v>
      </c>
      <c r="BT23" s="96"/>
      <c r="BU23" s="96"/>
      <c r="BV23" s="53">
        <v>19.64</v>
      </c>
      <c r="BW23" s="58">
        <f t="shared" si="12"/>
        <v>12.540000000000001</v>
      </c>
      <c r="BX23" s="97">
        <v>7.3</v>
      </c>
      <c r="BY23" s="58">
        <v>1</v>
      </c>
      <c r="BZ23" s="59">
        <f t="shared" si="13"/>
        <v>4.2400000000000011</v>
      </c>
      <c r="CA23" s="86">
        <v>4</v>
      </c>
      <c r="CB23" s="86">
        <f t="shared" si="14"/>
        <v>24.00000000000011</v>
      </c>
      <c r="CC23" s="103"/>
      <c r="CE23" s="86" t="s">
        <v>216</v>
      </c>
      <c r="CF23" s="94">
        <v>15</v>
      </c>
      <c r="CG23" s="58">
        <v>7.25</v>
      </c>
      <c r="CH23" s="96"/>
      <c r="CI23" s="96"/>
      <c r="CJ23" s="53">
        <v>17.670000000000002</v>
      </c>
      <c r="CK23" s="58">
        <f t="shared" si="15"/>
        <v>10.420000000000002</v>
      </c>
      <c r="CL23" s="97">
        <v>7.3</v>
      </c>
      <c r="CM23" s="58">
        <v>1</v>
      </c>
      <c r="CN23" s="59">
        <f t="shared" si="16"/>
        <v>2.1200000000000019</v>
      </c>
      <c r="CO23" s="86">
        <v>2</v>
      </c>
      <c r="CP23" s="86">
        <f t="shared" si="17"/>
        <v>12.000000000000188</v>
      </c>
      <c r="CQ23" s="103"/>
      <c r="CR23" s="86" t="s">
        <v>216</v>
      </c>
      <c r="CS23" s="94">
        <v>15</v>
      </c>
      <c r="CT23" s="58">
        <v>7.15</v>
      </c>
      <c r="CU23" s="96"/>
      <c r="CV23" s="96"/>
      <c r="CW23" s="53">
        <v>19.64</v>
      </c>
      <c r="CX23" s="58">
        <f t="shared" si="18"/>
        <v>12.49</v>
      </c>
      <c r="CY23" s="97">
        <v>7.3</v>
      </c>
      <c r="CZ23" s="58">
        <v>1</v>
      </c>
      <c r="DA23" s="59">
        <f t="shared" si="19"/>
        <v>4.1900000000000004</v>
      </c>
      <c r="DB23" s="86">
        <v>4</v>
      </c>
      <c r="DC23" s="86">
        <f t="shared" si="20"/>
        <v>19.000000000000039</v>
      </c>
      <c r="DD23" s="103"/>
      <c r="DF23" s="86" t="s">
        <v>216</v>
      </c>
      <c r="DG23" s="94">
        <v>15</v>
      </c>
      <c r="DH23" s="58">
        <v>7.4</v>
      </c>
      <c r="DI23" s="96"/>
      <c r="DJ23" s="96"/>
      <c r="DK23" s="53">
        <v>17.61</v>
      </c>
      <c r="DL23" s="58">
        <f t="shared" si="21"/>
        <v>10.209999999999999</v>
      </c>
      <c r="DM23" s="97">
        <v>7.3</v>
      </c>
      <c r="DN23" s="58">
        <v>1.4</v>
      </c>
      <c r="DO23" s="59">
        <f t="shared" si="22"/>
        <v>1.5099999999999993</v>
      </c>
      <c r="DP23" s="86">
        <v>1</v>
      </c>
      <c r="DQ23" s="86">
        <f t="shared" si="23"/>
        <v>50.999999999999936</v>
      </c>
      <c r="DR23" s="103"/>
      <c r="DT23" s="86" t="s">
        <v>216</v>
      </c>
      <c r="DU23" s="94">
        <v>15</v>
      </c>
      <c r="DV23" s="58">
        <v>7.3</v>
      </c>
      <c r="DW23" s="96"/>
      <c r="DX23" s="96"/>
      <c r="DY23" s="53">
        <v>17.61</v>
      </c>
      <c r="DZ23" s="58">
        <f t="shared" si="24"/>
        <v>10.309999999999999</v>
      </c>
      <c r="EA23" s="97">
        <v>7.3</v>
      </c>
      <c r="EB23" s="58">
        <v>1</v>
      </c>
      <c r="EC23" s="59">
        <f t="shared" si="25"/>
        <v>2.0099999999999989</v>
      </c>
      <c r="ED23" s="86">
        <v>2</v>
      </c>
      <c r="EE23" s="86">
        <f t="shared" si="26"/>
        <v>0.99999999999988987</v>
      </c>
      <c r="EF23" s="103"/>
      <c r="EG23" s="86" t="s">
        <v>216</v>
      </c>
      <c r="EH23" s="94">
        <v>15</v>
      </c>
      <c r="EI23" s="58">
        <v>7.2</v>
      </c>
      <c r="EJ23" s="96"/>
      <c r="EK23" s="96"/>
      <c r="EL23" s="53">
        <v>17.600000000000001</v>
      </c>
      <c r="EM23" s="58">
        <f t="shared" si="27"/>
        <v>10.400000000000002</v>
      </c>
      <c r="EN23" s="97">
        <v>7.3</v>
      </c>
      <c r="EO23" s="58">
        <v>1</v>
      </c>
      <c r="EP23" s="59">
        <f t="shared" si="28"/>
        <v>2.1000000000000023</v>
      </c>
      <c r="EQ23" s="86">
        <v>2</v>
      </c>
      <c r="ER23" s="86">
        <f t="shared" si="29"/>
        <v>10.000000000000231</v>
      </c>
      <c r="ES23" s="103"/>
      <c r="EU23" s="86" t="s">
        <v>216</v>
      </c>
      <c r="EV23" s="94">
        <v>15</v>
      </c>
      <c r="EW23" s="58">
        <v>7.1</v>
      </c>
      <c r="EX23" s="96"/>
      <c r="EY23" s="96"/>
      <c r="EZ23" s="53">
        <v>17.809999999999999</v>
      </c>
      <c r="FA23" s="58">
        <f t="shared" si="59"/>
        <v>10.709999999999999</v>
      </c>
      <c r="FB23" s="97">
        <v>7.3</v>
      </c>
      <c r="FC23" s="58">
        <v>1</v>
      </c>
      <c r="FD23" s="59">
        <f t="shared" si="30"/>
        <v>2.4099999999999993</v>
      </c>
      <c r="FE23" s="86">
        <v>2</v>
      </c>
      <c r="FF23" s="86">
        <f t="shared" si="31"/>
        <v>40.999999999999929</v>
      </c>
      <c r="FG23" s="103"/>
      <c r="FH23" s="86" t="s">
        <v>216</v>
      </c>
      <c r="FI23" s="94">
        <v>15</v>
      </c>
      <c r="FJ23" s="58">
        <v>7.1</v>
      </c>
      <c r="FK23" s="96"/>
      <c r="FL23" s="96"/>
      <c r="FM23" s="53">
        <v>17.66</v>
      </c>
      <c r="FN23" s="58">
        <f t="shared" si="32"/>
        <v>10.56</v>
      </c>
      <c r="FO23" s="97">
        <v>7.3</v>
      </c>
      <c r="FP23" s="58">
        <v>1</v>
      </c>
      <c r="FQ23" s="59">
        <f t="shared" si="33"/>
        <v>2.2600000000000007</v>
      </c>
      <c r="FR23" s="86">
        <v>2</v>
      </c>
      <c r="FS23" s="86">
        <f t="shared" si="34"/>
        <v>26.000000000000068</v>
      </c>
      <c r="FT23" s="103"/>
      <c r="FV23" s="86" t="s">
        <v>216</v>
      </c>
      <c r="FW23" s="94">
        <v>15</v>
      </c>
      <c r="FX23" s="58">
        <v>7.15</v>
      </c>
      <c r="FY23" s="96"/>
      <c r="FZ23" s="96"/>
      <c r="GA23" s="53">
        <v>17.61</v>
      </c>
      <c r="GB23" s="58">
        <f t="shared" si="35"/>
        <v>10.459999999999999</v>
      </c>
      <c r="GC23" s="97">
        <v>7.3</v>
      </c>
      <c r="GD23" s="58">
        <v>1</v>
      </c>
      <c r="GE23" s="59">
        <f t="shared" si="36"/>
        <v>2.1599999999999993</v>
      </c>
      <c r="GF23" s="86">
        <v>2</v>
      </c>
      <c r="GG23" s="86">
        <f t="shared" si="37"/>
        <v>15.999999999999925</v>
      </c>
      <c r="GH23" s="103"/>
      <c r="GI23" s="86" t="s">
        <v>216</v>
      </c>
      <c r="GJ23" s="94">
        <v>15</v>
      </c>
      <c r="GK23" s="58">
        <v>7.1</v>
      </c>
      <c r="GL23" s="96"/>
      <c r="GM23" s="96"/>
      <c r="GN23" s="53">
        <v>17.63</v>
      </c>
      <c r="GO23" s="58">
        <f t="shared" si="38"/>
        <v>10.53</v>
      </c>
      <c r="GP23" s="97">
        <v>7.3</v>
      </c>
      <c r="GQ23" s="58">
        <v>1</v>
      </c>
      <c r="GR23" s="59">
        <f t="shared" si="39"/>
        <v>2.2299999999999995</v>
      </c>
      <c r="GS23" s="86">
        <v>2</v>
      </c>
      <c r="GT23" s="86">
        <f t="shared" si="40"/>
        <v>22.999999999999954</v>
      </c>
      <c r="GU23" s="103"/>
      <c r="GW23" s="86" t="s">
        <v>216</v>
      </c>
      <c r="GX23" s="94">
        <v>15</v>
      </c>
      <c r="GY23" s="58">
        <v>7.1</v>
      </c>
      <c r="GZ23" s="96"/>
      <c r="HA23" s="96"/>
      <c r="HB23" s="53">
        <v>19.100000000000001</v>
      </c>
      <c r="HC23" s="58">
        <f t="shared" si="41"/>
        <v>12.000000000000002</v>
      </c>
      <c r="HD23" s="97">
        <v>7.3</v>
      </c>
      <c r="HE23" s="58">
        <v>1.4</v>
      </c>
      <c r="HF23" s="59">
        <f t="shared" si="42"/>
        <v>3.300000000000002</v>
      </c>
      <c r="HG23" s="86">
        <v>3</v>
      </c>
      <c r="HH23" s="86">
        <f t="shared" si="43"/>
        <v>30.000000000000206</v>
      </c>
      <c r="HI23" s="103" t="s">
        <v>228</v>
      </c>
      <c r="HJ23" s="86" t="s">
        <v>216</v>
      </c>
      <c r="HK23" s="94">
        <v>15</v>
      </c>
      <c r="HL23" s="58">
        <v>7.1</v>
      </c>
      <c r="HM23" s="96"/>
      <c r="HN23" s="96"/>
      <c r="HO23" s="53">
        <v>17.61</v>
      </c>
      <c r="HP23" s="58">
        <f t="shared" si="44"/>
        <v>10.51</v>
      </c>
      <c r="HQ23" s="97">
        <v>7.3</v>
      </c>
      <c r="HR23" s="58">
        <v>1</v>
      </c>
      <c r="HS23" s="59">
        <f t="shared" si="45"/>
        <v>2.21</v>
      </c>
      <c r="HT23" s="86">
        <v>2</v>
      </c>
      <c r="HU23" s="86">
        <f t="shared" si="46"/>
        <v>20.999999999999996</v>
      </c>
      <c r="HV23" s="103"/>
      <c r="HX23" s="86"/>
      <c r="HY23" s="94"/>
      <c r="HZ23" s="58"/>
      <c r="IA23" s="58"/>
      <c r="IB23" s="58"/>
      <c r="IC23" s="58"/>
      <c r="ID23" s="58"/>
      <c r="IE23" s="97"/>
      <c r="IF23" s="58"/>
      <c r="IG23" s="59"/>
      <c r="IH23" s="86"/>
      <c r="II23" s="86"/>
      <c r="IJ23" s="103"/>
      <c r="IK23" s="86" t="s">
        <v>216</v>
      </c>
      <c r="IL23" s="94">
        <v>15</v>
      </c>
      <c r="IM23" s="58">
        <v>7.05</v>
      </c>
      <c r="IN23" s="96"/>
      <c r="IO23" s="96"/>
      <c r="IP23" s="53">
        <v>17.62</v>
      </c>
      <c r="IQ23" s="58">
        <f t="shared" si="47"/>
        <v>10.57</v>
      </c>
      <c r="IR23" s="97">
        <v>7.3</v>
      </c>
      <c r="IS23" s="58">
        <v>1</v>
      </c>
      <c r="IT23" s="59">
        <f t="shared" si="48"/>
        <v>2.2700000000000005</v>
      </c>
      <c r="IU23" s="86">
        <v>2</v>
      </c>
      <c r="IV23" s="86">
        <f t="shared" si="49"/>
        <v>27.000000000000046</v>
      </c>
      <c r="IW23" s="103"/>
      <c r="IY23" s="86" t="s">
        <v>216</v>
      </c>
      <c r="IZ23" s="94">
        <v>15</v>
      </c>
      <c r="JA23" s="58">
        <v>7.1</v>
      </c>
      <c r="JB23" s="96"/>
      <c r="JC23" s="96"/>
      <c r="JD23" s="53">
        <v>19.64</v>
      </c>
      <c r="JE23" s="58">
        <f t="shared" si="50"/>
        <v>12.540000000000001</v>
      </c>
      <c r="JF23" s="97">
        <v>7.3</v>
      </c>
      <c r="JG23" s="58">
        <v>1</v>
      </c>
      <c r="JH23" s="59">
        <f t="shared" si="51"/>
        <v>4.2400000000000011</v>
      </c>
      <c r="JI23" s="86">
        <v>4</v>
      </c>
      <c r="JJ23" s="86">
        <f t="shared" si="52"/>
        <v>24.00000000000011</v>
      </c>
      <c r="JK23" s="103"/>
      <c r="JL23" s="86" t="s">
        <v>216</v>
      </c>
      <c r="JM23" s="94">
        <v>15</v>
      </c>
      <c r="JN23" s="58">
        <v>7.1</v>
      </c>
      <c r="JO23" s="96"/>
      <c r="JP23" s="96"/>
      <c r="JQ23" s="53">
        <v>17.940000000000001</v>
      </c>
      <c r="JR23" s="58">
        <f t="shared" si="53"/>
        <v>10.840000000000002</v>
      </c>
      <c r="JS23" s="97">
        <v>7.3</v>
      </c>
      <c r="JT23" s="58">
        <v>1</v>
      </c>
      <c r="JU23" s="59">
        <f t="shared" si="54"/>
        <v>2.5400000000000018</v>
      </c>
      <c r="JV23" s="86">
        <v>2</v>
      </c>
      <c r="JW23" s="86">
        <f t="shared" si="55"/>
        <v>54.000000000000185</v>
      </c>
      <c r="JX23" s="103"/>
      <c r="JZ23" s="86" t="s">
        <v>216</v>
      </c>
      <c r="KA23" s="94">
        <v>15</v>
      </c>
      <c r="KB23" s="58">
        <v>7.2</v>
      </c>
      <c r="KC23" s="96"/>
      <c r="KD23" s="96"/>
      <c r="KE23" s="53">
        <v>18.87</v>
      </c>
      <c r="KF23" s="58">
        <f t="shared" si="56"/>
        <v>11.670000000000002</v>
      </c>
      <c r="KG23" s="97">
        <v>7.3</v>
      </c>
      <c r="KH23" s="58">
        <v>1</v>
      </c>
      <c r="KI23" s="59">
        <f t="shared" si="57"/>
        <v>3.3700000000000019</v>
      </c>
      <c r="KJ23" s="86">
        <v>3</v>
      </c>
      <c r="KK23" s="86">
        <f t="shared" si="58"/>
        <v>37.000000000000185</v>
      </c>
      <c r="KL23" s="103"/>
    </row>
    <row r="24" spans="1:298" ht="17.149999999999999" customHeight="1" x14ac:dyDescent="0.35">
      <c r="A24" s="86" t="s">
        <v>2</v>
      </c>
      <c r="B24" s="94">
        <v>16</v>
      </c>
      <c r="C24" s="58">
        <v>7.15</v>
      </c>
      <c r="D24" s="96"/>
      <c r="E24" s="96"/>
      <c r="F24" s="53">
        <v>18.61</v>
      </c>
      <c r="G24" s="58">
        <f t="shared" si="0"/>
        <v>11.459999999999999</v>
      </c>
      <c r="H24" s="97">
        <v>7.3</v>
      </c>
      <c r="I24" s="58">
        <v>1</v>
      </c>
      <c r="J24" s="59">
        <f t="shared" si="1"/>
        <v>3.1599999999999993</v>
      </c>
      <c r="K24" s="86">
        <v>3</v>
      </c>
      <c r="L24" s="86">
        <f t="shared" si="2"/>
        <v>15.999999999999925</v>
      </c>
      <c r="M24" s="98"/>
      <c r="O24" s="86" t="s">
        <v>2</v>
      </c>
      <c r="P24" s="94">
        <v>16</v>
      </c>
      <c r="Q24" s="58">
        <v>7.15</v>
      </c>
      <c r="R24" s="96"/>
      <c r="S24" s="96"/>
      <c r="T24" s="53">
        <v>18.61</v>
      </c>
      <c r="U24" s="58">
        <f t="shared" si="3"/>
        <v>11.459999999999999</v>
      </c>
      <c r="V24" s="97">
        <v>7.3</v>
      </c>
      <c r="W24" s="58">
        <v>1</v>
      </c>
      <c r="X24" s="59">
        <f t="shared" si="4"/>
        <v>3.1599999999999993</v>
      </c>
      <c r="Y24" s="86">
        <v>3</v>
      </c>
      <c r="Z24" s="86">
        <f t="shared" si="5"/>
        <v>15.999999999999925</v>
      </c>
      <c r="AA24" s="98"/>
      <c r="AB24" s="86" t="s">
        <v>2</v>
      </c>
      <c r="AC24" s="94">
        <v>16</v>
      </c>
      <c r="AD24" s="58">
        <v>7.15</v>
      </c>
      <c r="AE24" s="96"/>
      <c r="AF24" s="96"/>
      <c r="AG24" s="53">
        <v>17.97</v>
      </c>
      <c r="AH24" s="58">
        <f t="shared" si="6"/>
        <v>10.819999999999999</v>
      </c>
      <c r="AI24" s="97">
        <v>7.3</v>
      </c>
      <c r="AJ24" s="58">
        <v>1</v>
      </c>
      <c r="AK24" s="59">
        <f t="shared" si="7"/>
        <v>2.5199999999999987</v>
      </c>
      <c r="AL24" s="86">
        <v>2</v>
      </c>
      <c r="AM24" s="86">
        <f t="shared" si="8"/>
        <v>51.999999999999872</v>
      </c>
      <c r="AN24" s="98"/>
      <c r="AP24" s="86" t="s">
        <v>2</v>
      </c>
      <c r="AQ24" s="94">
        <v>16</v>
      </c>
      <c r="AR24" s="58">
        <v>7.2</v>
      </c>
      <c r="AS24" s="96"/>
      <c r="AT24" s="96"/>
      <c r="AU24" s="53">
        <v>18.920000000000002</v>
      </c>
      <c r="AV24" s="58">
        <f t="shared" si="9"/>
        <v>11.720000000000002</v>
      </c>
      <c r="AW24" s="97">
        <v>7.3</v>
      </c>
      <c r="AX24" s="58">
        <v>1</v>
      </c>
      <c r="AY24" s="59">
        <f t="shared" si="10"/>
        <v>3.4200000000000026</v>
      </c>
      <c r="AZ24" s="86">
        <v>3</v>
      </c>
      <c r="BA24" s="86">
        <f t="shared" si="11"/>
        <v>42.000000000000256</v>
      </c>
      <c r="BB24" s="98"/>
      <c r="BC24" s="55"/>
      <c r="BD24" s="100"/>
      <c r="BE24" s="52"/>
      <c r="BF24" s="52"/>
      <c r="BG24" s="52"/>
      <c r="BH24" s="52"/>
      <c r="BI24" s="52"/>
      <c r="BJ24" s="56"/>
      <c r="BK24" s="52"/>
      <c r="BL24" s="57"/>
      <c r="BM24" s="55"/>
      <c r="BN24" s="82"/>
      <c r="BO24" s="95"/>
      <c r="BQ24" s="86" t="s">
        <v>2</v>
      </c>
      <c r="BR24" s="94">
        <v>16</v>
      </c>
      <c r="BS24" s="58">
        <v>7.1</v>
      </c>
      <c r="BT24" s="96"/>
      <c r="BU24" s="96"/>
      <c r="BV24" s="53">
        <v>19.62</v>
      </c>
      <c r="BW24" s="58">
        <f t="shared" si="12"/>
        <v>12.520000000000001</v>
      </c>
      <c r="BX24" s="97">
        <v>7.3</v>
      </c>
      <c r="BY24" s="58">
        <v>1</v>
      </c>
      <c r="BZ24" s="59">
        <f t="shared" si="13"/>
        <v>4.2200000000000015</v>
      </c>
      <c r="CA24" s="86">
        <v>4</v>
      </c>
      <c r="CB24" s="86">
        <f t="shared" si="14"/>
        <v>22.000000000000153</v>
      </c>
      <c r="CC24" s="98"/>
      <c r="CE24" s="86" t="s">
        <v>2</v>
      </c>
      <c r="CF24" s="94">
        <v>16</v>
      </c>
      <c r="CG24" s="58">
        <v>7.25</v>
      </c>
      <c r="CH24" s="96"/>
      <c r="CI24" s="96"/>
      <c r="CJ24" s="53">
        <v>18.7</v>
      </c>
      <c r="CK24" s="58">
        <f t="shared" si="15"/>
        <v>11.45</v>
      </c>
      <c r="CL24" s="97">
        <v>7.3</v>
      </c>
      <c r="CM24" s="58">
        <v>1</v>
      </c>
      <c r="CN24" s="59">
        <f t="shared" si="16"/>
        <v>3.1499999999999995</v>
      </c>
      <c r="CO24" s="86">
        <v>3</v>
      </c>
      <c r="CP24" s="86">
        <f t="shared" si="17"/>
        <v>14.999999999999947</v>
      </c>
      <c r="CQ24" s="98"/>
      <c r="CR24" s="86" t="s">
        <v>2</v>
      </c>
      <c r="CS24" s="94">
        <v>16</v>
      </c>
      <c r="CT24" s="58">
        <v>7.15</v>
      </c>
      <c r="CU24" s="96"/>
      <c r="CV24" s="96"/>
      <c r="CW24" s="53">
        <v>19.62</v>
      </c>
      <c r="CX24" s="58">
        <f t="shared" si="18"/>
        <v>12.47</v>
      </c>
      <c r="CY24" s="97">
        <v>7.3</v>
      </c>
      <c r="CZ24" s="58">
        <v>1</v>
      </c>
      <c r="DA24" s="59">
        <f t="shared" si="19"/>
        <v>4.1700000000000008</v>
      </c>
      <c r="DB24" s="86">
        <v>4</v>
      </c>
      <c r="DC24" s="86">
        <f t="shared" si="20"/>
        <v>17.000000000000082</v>
      </c>
      <c r="DD24" s="98"/>
      <c r="DF24" s="86" t="s">
        <v>2</v>
      </c>
      <c r="DG24" s="94">
        <v>16</v>
      </c>
      <c r="DH24" s="58">
        <v>7.4</v>
      </c>
      <c r="DI24" s="96"/>
      <c r="DJ24" s="96"/>
      <c r="DK24" s="53">
        <v>18.600000000000001</v>
      </c>
      <c r="DL24" s="58">
        <f t="shared" si="21"/>
        <v>11.200000000000001</v>
      </c>
      <c r="DM24" s="97">
        <v>7.3</v>
      </c>
      <c r="DN24" s="58">
        <v>1.4</v>
      </c>
      <c r="DO24" s="59">
        <f t="shared" si="22"/>
        <v>2.5000000000000013</v>
      </c>
      <c r="DP24" s="86">
        <v>2</v>
      </c>
      <c r="DQ24" s="86">
        <f t="shared" si="23"/>
        <v>50.000000000000135</v>
      </c>
      <c r="DR24" s="98"/>
      <c r="DT24" s="86" t="s">
        <v>2</v>
      </c>
      <c r="DU24" s="94">
        <v>16</v>
      </c>
      <c r="DV24" s="58">
        <v>7.5</v>
      </c>
      <c r="DW24" s="96"/>
      <c r="DX24" s="96"/>
      <c r="DY24" s="53">
        <v>18.59</v>
      </c>
      <c r="DZ24" s="58">
        <f t="shared" si="24"/>
        <v>11.09</v>
      </c>
      <c r="EA24" s="97">
        <v>7.3</v>
      </c>
      <c r="EB24" s="58">
        <v>1.4</v>
      </c>
      <c r="EC24" s="59">
        <f t="shared" si="25"/>
        <v>2.39</v>
      </c>
      <c r="ED24" s="86">
        <v>2</v>
      </c>
      <c r="EE24" s="86">
        <f t="shared" si="26"/>
        <v>39.000000000000014</v>
      </c>
      <c r="EF24" s="98"/>
      <c r="EG24" s="86" t="s">
        <v>2</v>
      </c>
      <c r="EH24" s="94">
        <v>16</v>
      </c>
      <c r="EI24" s="58">
        <v>7.2</v>
      </c>
      <c r="EJ24" s="96"/>
      <c r="EK24" s="96"/>
      <c r="EL24" s="53">
        <v>18.600000000000001</v>
      </c>
      <c r="EM24" s="58">
        <f t="shared" si="27"/>
        <v>11.400000000000002</v>
      </c>
      <c r="EN24" s="97">
        <v>7.3</v>
      </c>
      <c r="EO24" s="58">
        <v>1</v>
      </c>
      <c r="EP24" s="59">
        <f t="shared" si="28"/>
        <v>3.1000000000000023</v>
      </c>
      <c r="EQ24" s="86">
        <v>3</v>
      </c>
      <c r="ER24" s="86">
        <f t="shared" si="29"/>
        <v>10.000000000000231</v>
      </c>
      <c r="ES24" s="98"/>
      <c r="EU24" s="86" t="s">
        <v>2</v>
      </c>
      <c r="EV24" s="94">
        <v>16</v>
      </c>
      <c r="EW24" s="58">
        <v>7.1</v>
      </c>
      <c r="EX24" s="96"/>
      <c r="EY24" s="96"/>
      <c r="EZ24" s="53">
        <v>18.78</v>
      </c>
      <c r="FA24" s="58">
        <f t="shared" si="59"/>
        <v>11.680000000000001</v>
      </c>
      <c r="FB24" s="97">
        <v>7.3</v>
      </c>
      <c r="FC24" s="58">
        <v>1</v>
      </c>
      <c r="FD24" s="59">
        <f t="shared" si="30"/>
        <v>3.3800000000000017</v>
      </c>
      <c r="FE24" s="86">
        <v>3</v>
      </c>
      <c r="FF24" s="86">
        <f t="shared" si="31"/>
        <v>38.000000000000171</v>
      </c>
      <c r="FG24" s="98"/>
      <c r="FH24" s="86" t="s">
        <v>2</v>
      </c>
      <c r="FI24" s="94">
        <v>16</v>
      </c>
      <c r="FJ24" s="58">
        <v>7.1</v>
      </c>
      <c r="FK24" s="96"/>
      <c r="FL24" s="96"/>
      <c r="FM24" s="53">
        <v>18.600000000000001</v>
      </c>
      <c r="FN24" s="58">
        <f t="shared" si="32"/>
        <v>11.500000000000002</v>
      </c>
      <c r="FO24" s="97">
        <v>7.3</v>
      </c>
      <c r="FP24" s="58">
        <v>1</v>
      </c>
      <c r="FQ24" s="59">
        <f t="shared" si="33"/>
        <v>3.200000000000002</v>
      </c>
      <c r="FR24" s="86">
        <v>3</v>
      </c>
      <c r="FS24" s="86">
        <f t="shared" si="34"/>
        <v>20.000000000000195</v>
      </c>
      <c r="FT24" s="98"/>
      <c r="FV24" s="86" t="s">
        <v>2</v>
      </c>
      <c r="FW24" s="94">
        <v>16</v>
      </c>
      <c r="FX24" s="58">
        <v>7.35</v>
      </c>
      <c r="FY24" s="96"/>
      <c r="FZ24" s="96"/>
      <c r="GA24" s="53">
        <v>18.600000000000001</v>
      </c>
      <c r="GB24" s="58">
        <f t="shared" si="35"/>
        <v>11.250000000000002</v>
      </c>
      <c r="GC24" s="97">
        <v>7.3</v>
      </c>
      <c r="GD24" s="58">
        <v>1.4</v>
      </c>
      <c r="GE24" s="59">
        <f t="shared" si="36"/>
        <v>2.550000000000002</v>
      </c>
      <c r="GF24" s="86">
        <v>2</v>
      </c>
      <c r="GG24" s="86">
        <f t="shared" si="37"/>
        <v>55.000000000000206</v>
      </c>
      <c r="GH24" s="98"/>
      <c r="GI24" s="86" t="s">
        <v>2</v>
      </c>
      <c r="GJ24" s="94">
        <v>16</v>
      </c>
      <c r="GK24" s="58">
        <v>7.1</v>
      </c>
      <c r="GL24" s="96"/>
      <c r="GM24" s="96"/>
      <c r="GN24" s="53">
        <v>18.62</v>
      </c>
      <c r="GO24" s="58">
        <f t="shared" si="38"/>
        <v>11.520000000000001</v>
      </c>
      <c r="GP24" s="97">
        <v>7.3</v>
      </c>
      <c r="GQ24" s="58">
        <v>1</v>
      </c>
      <c r="GR24" s="59">
        <f t="shared" si="39"/>
        <v>3.2200000000000015</v>
      </c>
      <c r="GS24" s="86">
        <v>3</v>
      </c>
      <c r="GT24" s="86">
        <f t="shared" si="40"/>
        <v>22.000000000000153</v>
      </c>
      <c r="GU24" s="98"/>
      <c r="GW24" s="86" t="s">
        <v>2</v>
      </c>
      <c r="GX24" s="94">
        <v>16</v>
      </c>
      <c r="GY24" s="58">
        <v>7.1</v>
      </c>
      <c r="GZ24" s="96"/>
      <c r="HA24" s="96"/>
      <c r="HB24" s="53">
        <v>19.100000000000001</v>
      </c>
      <c r="HC24" s="58">
        <f t="shared" si="41"/>
        <v>12.000000000000002</v>
      </c>
      <c r="HD24" s="97">
        <v>7.3</v>
      </c>
      <c r="HE24" s="58">
        <v>1.4</v>
      </c>
      <c r="HF24" s="59">
        <f t="shared" si="42"/>
        <v>3.300000000000002</v>
      </c>
      <c r="HG24" s="86">
        <v>3</v>
      </c>
      <c r="HH24" s="86">
        <f t="shared" si="43"/>
        <v>30.000000000000206</v>
      </c>
      <c r="HI24" s="103" t="s">
        <v>228</v>
      </c>
      <c r="HJ24" s="86" t="s">
        <v>2</v>
      </c>
      <c r="HK24" s="94">
        <v>16</v>
      </c>
      <c r="HL24" s="58">
        <v>7.1</v>
      </c>
      <c r="HM24" s="96"/>
      <c r="HN24" s="96"/>
      <c r="HO24" s="53">
        <v>18.91</v>
      </c>
      <c r="HP24" s="58">
        <f t="shared" si="44"/>
        <v>11.81</v>
      </c>
      <c r="HQ24" s="97">
        <v>7.3</v>
      </c>
      <c r="HR24" s="58">
        <v>1</v>
      </c>
      <c r="HS24" s="59">
        <f t="shared" si="45"/>
        <v>3.5100000000000007</v>
      </c>
      <c r="HT24" s="86">
        <v>3</v>
      </c>
      <c r="HU24" s="86">
        <f t="shared" si="46"/>
        <v>51.000000000000071</v>
      </c>
      <c r="HV24" s="98"/>
      <c r="HX24" s="55"/>
      <c r="HY24" s="100"/>
      <c r="HZ24" s="52"/>
      <c r="IA24" s="52"/>
      <c r="IB24" s="52"/>
      <c r="IC24" s="52"/>
      <c r="ID24" s="52"/>
      <c r="IE24" s="56"/>
      <c r="IF24" s="52"/>
      <c r="IG24" s="57"/>
      <c r="IH24" s="55"/>
      <c r="II24" s="82"/>
      <c r="IJ24" s="95"/>
      <c r="IK24" s="86" t="s">
        <v>2</v>
      </c>
      <c r="IL24" s="94">
        <v>16</v>
      </c>
      <c r="IM24" s="58">
        <v>7.05</v>
      </c>
      <c r="IN24" s="96"/>
      <c r="IO24" s="96"/>
      <c r="IP24" s="53">
        <v>18.61</v>
      </c>
      <c r="IQ24" s="58">
        <f t="shared" si="47"/>
        <v>11.559999999999999</v>
      </c>
      <c r="IR24" s="97">
        <v>7.3</v>
      </c>
      <c r="IS24" s="58">
        <v>1</v>
      </c>
      <c r="IT24" s="59">
        <f t="shared" si="48"/>
        <v>3.2599999999999989</v>
      </c>
      <c r="IU24" s="86">
        <v>3</v>
      </c>
      <c r="IV24" s="86">
        <f t="shared" si="49"/>
        <v>25.99999999999989</v>
      </c>
      <c r="IW24" s="98"/>
      <c r="IY24" s="86" t="s">
        <v>2</v>
      </c>
      <c r="IZ24" s="94">
        <v>16</v>
      </c>
      <c r="JA24" s="58">
        <v>7.1</v>
      </c>
      <c r="JB24" s="96"/>
      <c r="JC24" s="96"/>
      <c r="JD24" s="53">
        <v>19.62</v>
      </c>
      <c r="JE24" s="58">
        <f t="shared" si="50"/>
        <v>12.520000000000001</v>
      </c>
      <c r="JF24" s="97">
        <v>7.3</v>
      </c>
      <c r="JG24" s="58">
        <v>1</v>
      </c>
      <c r="JH24" s="59">
        <f t="shared" si="51"/>
        <v>4.2200000000000015</v>
      </c>
      <c r="JI24" s="86">
        <v>4</v>
      </c>
      <c r="JJ24" s="86">
        <f t="shared" si="52"/>
        <v>22.000000000000153</v>
      </c>
      <c r="JK24" s="98"/>
      <c r="JL24" s="86" t="s">
        <v>2</v>
      </c>
      <c r="JM24" s="94">
        <v>16</v>
      </c>
      <c r="JN24" s="58">
        <v>7.1</v>
      </c>
      <c r="JO24" s="96"/>
      <c r="JP24" s="96"/>
      <c r="JQ24" s="53">
        <v>17.97</v>
      </c>
      <c r="JR24" s="58">
        <f t="shared" si="53"/>
        <v>10.87</v>
      </c>
      <c r="JS24" s="97">
        <v>7.3</v>
      </c>
      <c r="JT24" s="58">
        <v>1</v>
      </c>
      <c r="JU24" s="59">
        <f t="shared" si="54"/>
        <v>2.5699999999999994</v>
      </c>
      <c r="JV24" s="86">
        <v>2</v>
      </c>
      <c r="JW24" s="86">
        <f t="shared" si="55"/>
        <v>56.999999999999943</v>
      </c>
      <c r="JX24" s="98"/>
      <c r="JZ24" s="86" t="s">
        <v>2</v>
      </c>
      <c r="KA24" s="94">
        <v>16</v>
      </c>
      <c r="KB24" s="58">
        <v>7.2</v>
      </c>
      <c r="KC24" s="96"/>
      <c r="KD24" s="96"/>
      <c r="KE24" s="53">
        <v>18.600000000000001</v>
      </c>
      <c r="KF24" s="58">
        <f t="shared" si="56"/>
        <v>11.400000000000002</v>
      </c>
      <c r="KG24" s="97">
        <v>7.3</v>
      </c>
      <c r="KH24" s="58">
        <v>1</v>
      </c>
      <c r="KI24" s="59">
        <f t="shared" si="57"/>
        <v>3.1000000000000023</v>
      </c>
      <c r="KJ24" s="86">
        <v>3</v>
      </c>
      <c r="KK24" s="86">
        <f t="shared" si="58"/>
        <v>10.000000000000231</v>
      </c>
      <c r="KL24" s="98"/>
    </row>
    <row r="25" spans="1:298" s="54" customFormat="1" ht="17.149999999999999" customHeight="1" x14ac:dyDescent="0.35">
      <c r="A25" s="86" t="s">
        <v>225</v>
      </c>
      <c r="B25" s="94">
        <v>17</v>
      </c>
      <c r="C25" s="58">
        <v>7.15</v>
      </c>
      <c r="D25" s="96"/>
      <c r="E25" s="96"/>
      <c r="F25" s="53">
        <v>18.940000000000001</v>
      </c>
      <c r="G25" s="58">
        <f t="shared" si="0"/>
        <v>11.790000000000001</v>
      </c>
      <c r="H25" s="97">
        <v>7.3</v>
      </c>
      <c r="I25" s="58">
        <v>1</v>
      </c>
      <c r="J25" s="59">
        <f t="shared" si="1"/>
        <v>3.4900000000000011</v>
      </c>
      <c r="K25" s="86">
        <v>3</v>
      </c>
      <c r="L25" s="86">
        <f t="shared" si="2"/>
        <v>49.000000000000114</v>
      </c>
      <c r="M25" s="86"/>
      <c r="N25"/>
      <c r="O25" s="86" t="s">
        <v>225</v>
      </c>
      <c r="P25" s="94">
        <v>17</v>
      </c>
      <c r="Q25" s="58">
        <v>7.15</v>
      </c>
      <c r="R25" s="96"/>
      <c r="S25" s="96"/>
      <c r="T25" s="53">
        <v>19.59</v>
      </c>
      <c r="U25" s="58">
        <f t="shared" si="3"/>
        <v>12.44</v>
      </c>
      <c r="V25" s="97">
        <v>7.3</v>
      </c>
      <c r="W25" s="58">
        <v>1</v>
      </c>
      <c r="X25" s="59">
        <f t="shared" si="4"/>
        <v>4.1399999999999997</v>
      </c>
      <c r="Y25" s="86">
        <v>4</v>
      </c>
      <c r="Z25" s="86">
        <f t="shared" si="5"/>
        <v>13.999999999999968</v>
      </c>
      <c r="AA25" s="86"/>
      <c r="AB25" s="86" t="s">
        <v>225</v>
      </c>
      <c r="AC25" s="94">
        <v>17</v>
      </c>
      <c r="AD25" s="58">
        <v>7.15</v>
      </c>
      <c r="AE25" s="96"/>
      <c r="AF25" s="96"/>
      <c r="AG25" s="53">
        <v>18.600000000000001</v>
      </c>
      <c r="AH25" s="58">
        <f t="shared" si="6"/>
        <v>11.450000000000001</v>
      </c>
      <c r="AI25" s="97">
        <v>7.3</v>
      </c>
      <c r="AJ25" s="58">
        <v>1</v>
      </c>
      <c r="AK25" s="59">
        <f t="shared" si="7"/>
        <v>3.1500000000000012</v>
      </c>
      <c r="AL25" s="86">
        <v>3</v>
      </c>
      <c r="AM25" s="86">
        <f t="shared" si="8"/>
        <v>15.000000000000124</v>
      </c>
      <c r="AN25" s="86"/>
      <c r="AO25"/>
      <c r="AP25" s="86" t="s">
        <v>225</v>
      </c>
      <c r="AQ25" s="94">
        <v>17</v>
      </c>
      <c r="AR25" s="58">
        <v>7.2</v>
      </c>
      <c r="AS25" s="96"/>
      <c r="AT25" s="96"/>
      <c r="AU25" s="53">
        <v>19.440000000000001</v>
      </c>
      <c r="AV25" s="58">
        <f t="shared" si="9"/>
        <v>12.240000000000002</v>
      </c>
      <c r="AW25" s="97">
        <v>7.3</v>
      </c>
      <c r="AX25" s="58">
        <v>1.4</v>
      </c>
      <c r="AY25" s="59">
        <f t="shared" si="10"/>
        <v>3.5400000000000023</v>
      </c>
      <c r="AZ25" s="86">
        <v>3</v>
      </c>
      <c r="BA25" s="86">
        <f t="shared" si="11"/>
        <v>54.000000000000227</v>
      </c>
      <c r="BB25" s="86"/>
      <c r="BC25" s="86"/>
      <c r="BD25" s="94"/>
      <c r="BE25" s="58"/>
      <c r="BF25" s="58"/>
      <c r="BG25" s="58"/>
      <c r="BH25" s="58"/>
      <c r="BI25" s="58"/>
      <c r="BJ25" s="97"/>
      <c r="BK25" s="58"/>
      <c r="BL25" s="59"/>
      <c r="BM25" s="86"/>
      <c r="BN25" s="86"/>
      <c r="BO25" s="86"/>
      <c r="BP25"/>
      <c r="BQ25" s="86" t="s">
        <v>225</v>
      </c>
      <c r="BR25" s="94">
        <v>17</v>
      </c>
      <c r="BS25" s="58">
        <v>7.1</v>
      </c>
      <c r="BT25" s="96"/>
      <c r="BU25" s="96"/>
      <c r="BV25" s="53">
        <v>19.7</v>
      </c>
      <c r="BW25" s="58">
        <f t="shared" si="12"/>
        <v>12.6</v>
      </c>
      <c r="BX25" s="97">
        <v>7.3</v>
      </c>
      <c r="BY25" s="58">
        <v>1</v>
      </c>
      <c r="BZ25" s="59">
        <f t="shared" si="13"/>
        <v>4.3</v>
      </c>
      <c r="CA25" s="86">
        <v>4</v>
      </c>
      <c r="CB25" s="86">
        <f t="shared" si="14"/>
        <v>29.999999999999982</v>
      </c>
      <c r="CC25" s="86"/>
      <c r="CD25"/>
      <c r="CE25" s="86" t="s">
        <v>225</v>
      </c>
      <c r="CF25" s="94">
        <v>17</v>
      </c>
      <c r="CG25" s="58">
        <v>7.25</v>
      </c>
      <c r="CH25" s="96"/>
      <c r="CI25" s="96"/>
      <c r="CJ25" s="53">
        <v>19.68</v>
      </c>
      <c r="CK25" s="58">
        <f t="shared" si="15"/>
        <v>12.43</v>
      </c>
      <c r="CL25" s="97">
        <v>7.3</v>
      </c>
      <c r="CM25" s="58">
        <v>1</v>
      </c>
      <c r="CN25" s="59">
        <f t="shared" si="16"/>
        <v>4.13</v>
      </c>
      <c r="CO25" s="86">
        <v>4</v>
      </c>
      <c r="CP25" s="86">
        <f t="shared" si="17"/>
        <v>12.999999999999989</v>
      </c>
      <c r="CQ25" s="86"/>
      <c r="CR25" s="86" t="s">
        <v>225</v>
      </c>
      <c r="CS25" s="94">
        <v>17</v>
      </c>
      <c r="CT25" s="58">
        <v>7.15</v>
      </c>
      <c r="CU25" s="96"/>
      <c r="CV25" s="96"/>
      <c r="CW25" s="53">
        <v>19.7</v>
      </c>
      <c r="CX25" s="58">
        <f t="shared" si="18"/>
        <v>12.549999999999999</v>
      </c>
      <c r="CY25" s="97">
        <v>7.3</v>
      </c>
      <c r="CZ25" s="58">
        <v>1</v>
      </c>
      <c r="DA25" s="59">
        <f t="shared" si="19"/>
        <v>4.2499999999999991</v>
      </c>
      <c r="DB25" s="86">
        <v>4</v>
      </c>
      <c r="DC25" s="86">
        <f t="shared" si="20"/>
        <v>24.999999999999911</v>
      </c>
      <c r="DD25" s="86"/>
      <c r="DE25"/>
      <c r="DF25" s="86" t="s">
        <v>225</v>
      </c>
      <c r="DG25" s="94">
        <v>17</v>
      </c>
      <c r="DH25" s="58">
        <v>7.4</v>
      </c>
      <c r="DI25" s="96"/>
      <c r="DJ25" s="96"/>
      <c r="DK25" s="53">
        <v>18.920000000000002</v>
      </c>
      <c r="DL25" s="58">
        <f t="shared" si="21"/>
        <v>11.520000000000001</v>
      </c>
      <c r="DM25" s="97">
        <v>7.3</v>
      </c>
      <c r="DN25" s="58">
        <v>1</v>
      </c>
      <c r="DO25" s="59">
        <f t="shared" si="22"/>
        <v>3.2200000000000015</v>
      </c>
      <c r="DP25" s="86">
        <v>3</v>
      </c>
      <c r="DQ25" s="86">
        <f t="shared" si="23"/>
        <v>22.000000000000153</v>
      </c>
      <c r="DR25" s="86"/>
      <c r="DS25"/>
      <c r="DT25" s="86" t="s">
        <v>225</v>
      </c>
      <c r="DU25" s="94">
        <v>17</v>
      </c>
      <c r="DV25" s="58">
        <v>7.5</v>
      </c>
      <c r="DW25" s="96"/>
      <c r="DX25" s="96"/>
      <c r="DY25" s="53">
        <v>18.97</v>
      </c>
      <c r="DZ25" s="58">
        <f t="shared" si="24"/>
        <v>11.469999999999999</v>
      </c>
      <c r="EA25" s="97">
        <v>7.3</v>
      </c>
      <c r="EB25" s="58">
        <v>1</v>
      </c>
      <c r="EC25" s="59">
        <f t="shared" si="25"/>
        <v>3.169999999999999</v>
      </c>
      <c r="ED25" s="86">
        <v>3</v>
      </c>
      <c r="EE25" s="86">
        <f t="shared" si="26"/>
        <v>16.999999999999904</v>
      </c>
      <c r="EF25" s="86"/>
      <c r="EG25" s="86" t="s">
        <v>225</v>
      </c>
      <c r="EH25" s="94">
        <v>17</v>
      </c>
      <c r="EI25" s="58">
        <v>7.2</v>
      </c>
      <c r="EJ25" s="96"/>
      <c r="EK25" s="96"/>
      <c r="EL25" s="53">
        <v>18.940000000000001</v>
      </c>
      <c r="EM25" s="58">
        <f t="shared" si="27"/>
        <v>11.740000000000002</v>
      </c>
      <c r="EN25" s="97">
        <v>7.3</v>
      </c>
      <c r="EO25" s="58">
        <v>1</v>
      </c>
      <c r="EP25" s="59">
        <f t="shared" si="28"/>
        <v>3.4400000000000022</v>
      </c>
      <c r="EQ25" s="86">
        <v>3</v>
      </c>
      <c r="ER25" s="86">
        <f t="shared" si="29"/>
        <v>44.000000000000213</v>
      </c>
      <c r="ES25" s="86"/>
      <c r="ET25"/>
      <c r="EU25" s="86" t="s">
        <v>225</v>
      </c>
      <c r="EV25" s="94">
        <v>17</v>
      </c>
      <c r="EW25" s="58">
        <v>7.1</v>
      </c>
      <c r="EX25" s="96"/>
      <c r="EY25" s="96"/>
      <c r="EZ25" s="53">
        <v>19.77</v>
      </c>
      <c r="FA25" s="58">
        <f t="shared" si="59"/>
        <v>12.67</v>
      </c>
      <c r="FB25" s="97">
        <v>7.3</v>
      </c>
      <c r="FC25" s="58">
        <v>1</v>
      </c>
      <c r="FD25" s="59">
        <f t="shared" si="30"/>
        <v>4.37</v>
      </c>
      <c r="FE25" s="86">
        <v>4</v>
      </c>
      <c r="FF25" s="86">
        <f t="shared" si="31"/>
        <v>37.000000000000014</v>
      </c>
      <c r="FG25" s="86"/>
      <c r="FH25" s="86" t="s">
        <v>225</v>
      </c>
      <c r="FI25" s="94">
        <v>17</v>
      </c>
      <c r="FJ25" s="58">
        <v>7.1</v>
      </c>
      <c r="FK25" s="96"/>
      <c r="FL25" s="96"/>
      <c r="FM25" s="53">
        <v>18.75</v>
      </c>
      <c r="FN25" s="58">
        <f t="shared" si="32"/>
        <v>11.65</v>
      </c>
      <c r="FO25" s="97">
        <v>7.3</v>
      </c>
      <c r="FP25" s="58">
        <v>1</v>
      </c>
      <c r="FQ25" s="59">
        <f t="shared" si="33"/>
        <v>3.3500000000000005</v>
      </c>
      <c r="FR25" s="86">
        <v>3</v>
      </c>
      <c r="FS25" s="86">
        <f t="shared" si="34"/>
        <v>35.000000000000057</v>
      </c>
      <c r="FT25" s="86"/>
      <c r="FU25"/>
      <c r="FV25" s="86" t="s">
        <v>225</v>
      </c>
      <c r="FW25" s="94">
        <v>17</v>
      </c>
      <c r="FX25" s="58">
        <v>7.35</v>
      </c>
      <c r="FY25" s="96"/>
      <c r="FZ25" s="96"/>
      <c r="GA25" s="53">
        <v>18.96</v>
      </c>
      <c r="GB25" s="58">
        <f t="shared" si="35"/>
        <v>11.610000000000001</v>
      </c>
      <c r="GC25" s="97">
        <v>7.3</v>
      </c>
      <c r="GD25" s="58">
        <v>1</v>
      </c>
      <c r="GE25" s="59">
        <f t="shared" si="36"/>
        <v>3.3100000000000014</v>
      </c>
      <c r="GF25" s="86">
        <v>3</v>
      </c>
      <c r="GG25" s="86">
        <f t="shared" si="37"/>
        <v>31.000000000000139</v>
      </c>
      <c r="GH25" s="86"/>
      <c r="GI25" s="86" t="s">
        <v>225</v>
      </c>
      <c r="GJ25" s="94">
        <v>17</v>
      </c>
      <c r="GK25" s="58">
        <v>7.1</v>
      </c>
      <c r="GL25" s="96"/>
      <c r="GM25" s="96"/>
      <c r="GN25" s="53">
        <v>18.95</v>
      </c>
      <c r="GO25" s="58">
        <f t="shared" si="38"/>
        <v>11.85</v>
      </c>
      <c r="GP25" s="97">
        <v>7.3</v>
      </c>
      <c r="GQ25" s="58">
        <v>1</v>
      </c>
      <c r="GR25" s="59">
        <f t="shared" si="39"/>
        <v>3.55</v>
      </c>
      <c r="GS25" s="86">
        <v>3</v>
      </c>
      <c r="GT25" s="86">
        <f t="shared" si="40"/>
        <v>54.999999999999986</v>
      </c>
      <c r="GU25" s="86"/>
      <c r="GV25"/>
      <c r="GW25" s="86" t="s">
        <v>225</v>
      </c>
      <c r="GX25" s="94">
        <v>17</v>
      </c>
      <c r="GY25" s="58">
        <v>7.1</v>
      </c>
      <c r="GZ25" s="96"/>
      <c r="HA25" s="96"/>
      <c r="HB25" s="53">
        <v>19.100000000000001</v>
      </c>
      <c r="HC25" s="58">
        <f t="shared" si="41"/>
        <v>12.000000000000002</v>
      </c>
      <c r="HD25" s="97">
        <v>7.3</v>
      </c>
      <c r="HE25" s="58">
        <v>1.4</v>
      </c>
      <c r="HF25" s="59">
        <f t="shared" si="42"/>
        <v>3.300000000000002</v>
      </c>
      <c r="HG25" s="86">
        <v>3</v>
      </c>
      <c r="HH25" s="86">
        <f t="shared" si="43"/>
        <v>30.000000000000206</v>
      </c>
      <c r="HI25" s="103" t="s">
        <v>228</v>
      </c>
      <c r="HJ25" s="86" t="s">
        <v>225</v>
      </c>
      <c r="HK25" s="94">
        <v>17</v>
      </c>
      <c r="HL25" s="58">
        <v>7.1</v>
      </c>
      <c r="HM25" s="96"/>
      <c r="HN25" s="96"/>
      <c r="HO25" s="53">
        <v>19.420000000000002</v>
      </c>
      <c r="HP25" s="58">
        <f t="shared" si="44"/>
        <v>12.320000000000002</v>
      </c>
      <c r="HQ25" s="97">
        <v>7.3</v>
      </c>
      <c r="HR25" s="58">
        <v>1</v>
      </c>
      <c r="HS25" s="59">
        <f t="shared" si="45"/>
        <v>4.0200000000000022</v>
      </c>
      <c r="HT25" s="86">
        <v>4</v>
      </c>
      <c r="HU25" s="86">
        <f t="shared" si="46"/>
        <v>2.0000000000002238</v>
      </c>
      <c r="HV25" s="86"/>
      <c r="HW25"/>
      <c r="HX25" s="86"/>
      <c r="HY25" s="94"/>
      <c r="HZ25" s="58"/>
      <c r="IA25" s="58"/>
      <c r="IB25" s="58"/>
      <c r="IC25" s="58"/>
      <c r="ID25" s="58"/>
      <c r="IE25" s="97"/>
      <c r="IF25" s="58"/>
      <c r="IG25" s="59"/>
      <c r="IH25" s="86"/>
      <c r="II25" s="86"/>
      <c r="IJ25" s="86"/>
      <c r="IK25" s="86" t="s">
        <v>225</v>
      </c>
      <c r="IL25" s="94">
        <v>17</v>
      </c>
      <c r="IM25" s="58">
        <v>7.05</v>
      </c>
      <c r="IN25" s="96"/>
      <c r="IO25" s="96"/>
      <c r="IP25" s="53">
        <v>18.97</v>
      </c>
      <c r="IQ25" s="58">
        <f t="shared" si="47"/>
        <v>11.919999999999998</v>
      </c>
      <c r="IR25" s="97">
        <v>7.3</v>
      </c>
      <c r="IS25" s="58">
        <v>1.4</v>
      </c>
      <c r="IT25" s="59">
        <f t="shared" si="48"/>
        <v>3.2199999999999984</v>
      </c>
      <c r="IU25" s="86">
        <v>3</v>
      </c>
      <c r="IV25" s="86">
        <f t="shared" si="49"/>
        <v>21.999999999999844</v>
      </c>
      <c r="IW25" s="86"/>
      <c r="IX25"/>
      <c r="IY25" s="86" t="s">
        <v>225</v>
      </c>
      <c r="IZ25" s="94">
        <v>17</v>
      </c>
      <c r="JA25" s="58">
        <v>7.1</v>
      </c>
      <c r="JB25" s="96"/>
      <c r="JC25" s="96"/>
      <c r="JD25" s="53">
        <v>19.7</v>
      </c>
      <c r="JE25" s="58">
        <f t="shared" si="50"/>
        <v>12.6</v>
      </c>
      <c r="JF25" s="97">
        <v>7.3</v>
      </c>
      <c r="JG25" s="58">
        <v>1</v>
      </c>
      <c r="JH25" s="59">
        <f t="shared" si="51"/>
        <v>4.3</v>
      </c>
      <c r="JI25" s="86">
        <v>4</v>
      </c>
      <c r="JJ25" s="86">
        <f t="shared" si="52"/>
        <v>29.999999999999982</v>
      </c>
      <c r="JK25" s="86"/>
      <c r="JL25" s="86" t="s">
        <v>225</v>
      </c>
      <c r="JM25" s="94">
        <v>17</v>
      </c>
      <c r="JN25" s="58">
        <v>7.1</v>
      </c>
      <c r="JO25" s="96"/>
      <c r="JP25" s="96"/>
      <c r="JQ25" s="53">
        <v>18.600000000000001</v>
      </c>
      <c r="JR25" s="58">
        <f t="shared" si="53"/>
        <v>11.500000000000002</v>
      </c>
      <c r="JS25" s="97">
        <v>7.3</v>
      </c>
      <c r="JT25" s="58">
        <v>1</v>
      </c>
      <c r="JU25" s="59">
        <f t="shared" si="54"/>
        <v>3.200000000000002</v>
      </c>
      <c r="JV25" s="86">
        <v>3</v>
      </c>
      <c r="JW25" s="86">
        <f t="shared" si="55"/>
        <v>20.000000000000195</v>
      </c>
      <c r="JX25" s="86"/>
      <c r="JY25"/>
      <c r="JZ25" s="86" t="s">
        <v>225</v>
      </c>
      <c r="KA25" s="94">
        <v>17</v>
      </c>
      <c r="KB25" s="58">
        <v>7.2</v>
      </c>
      <c r="KC25" s="96"/>
      <c r="KD25" s="96"/>
      <c r="KE25" s="53">
        <v>18.989999999999998</v>
      </c>
      <c r="KF25" s="58">
        <f t="shared" si="56"/>
        <v>11.79</v>
      </c>
      <c r="KG25" s="97">
        <v>7.3</v>
      </c>
      <c r="KH25" s="58">
        <v>1</v>
      </c>
      <c r="KI25" s="59">
        <f t="shared" si="57"/>
        <v>3.4899999999999993</v>
      </c>
      <c r="KJ25" s="86">
        <v>3</v>
      </c>
      <c r="KK25" s="86">
        <f t="shared" si="58"/>
        <v>48.999999999999929</v>
      </c>
      <c r="KL25" s="86"/>
    </row>
    <row r="26" spans="1:298" ht="17.149999999999999" customHeight="1" x14ac:dyDescent="0.35">
      <c r="A26" s="86" t="s">
        <v>4</v>
      </c>
      <c r="B26" s="94">
        <v>18</v>
      </c>
      <c r="C26" s="58">
        <v>7.15</v>
      </c>
      <c r="D26" s="96"/>
      <c r="E26" s="96"/>
      <c r="F26" s="53">
        <v>20.93</v>
      </c>
      <c r="G26" s="58">
        <f t="shared" si="0"/>
        <v>13.78</v>
      </c>
      <c r="H26" s="97">
        <v>7.3</v>
      </c>
      <c r="I26" s="58">
        <v>1</v>
      </c>
      <c r="J26" s="59">
        <f t="shared" si="1"/>
        <v>5.4799999999999995</v>
      </c>
      <c r="K26" s="86">
        <v>5</v>
      </c>
      <c r="L26" s="86">
        <f t="shared" si="2"/>
        <v>47.999999999999957</v>
      </c>
      <c r="M26" s="98"/>
      <c r="O26" s="86" t="s">
        <v>4</v>
      </c>
      <c r="P26" s="94">
        <v>18</v>
      </c>
      <c r="Q26" s="58">
        <v>7.15</v>
      </c>
      <c r="R26" s="96"/>
      <c r="S26" s="96"/>
      <c r="T26" s="53">
        <v>21.35</v>
      </c>
      <c r="U26" s="58">
        <f t="shared" si="3"/>
        <v>14.200000000000001</v>
      </c>
      <c r="V26" s="97">
        <v>7.3</v>
      </c>
      <c r="W26" s="58">
        <v>1.4</v>
      </c>
      <c r="X26" s="59">
        <f t="shared" si="4"/>
        <v>5.5000000000000018</v>
      </c>
      <c r="Y26" s="86">
        <v>5</v>
      </c>
      <c r="Z26" s="86">
        <f t="shared" si="5"/>
        <v>50.000000000000178</v>
      </c>
      <c r="AA26" s="98"/>
      <c r="AB26" s="86" t="s">
        <v>4</v>
      </c>
      <c r="AC26" s="94">
        <v>18</v>
      </c>
      <c r="AD26" s="58">
        <v>7.15</v>
      </c>
      <c r="AE26" s="96"/>
      <c r="AF26" s="96"/>
      <c r="AG26" s="53">
        <v>18.62</v>
      </c>
      <c r="AH26" s="58">
        <f t="shared" si="6"/>
        <v>11.47</v>
      </c>
      <c r="AI26" s="97">
        <v>7.3</v>
      </c>
      <c r="AJ26" s="58">
        <v>1</v>
      </c>
      <c r="AK26" s="59">
        <f t="shared" si="7"/>
        <v>3.1700000000000008</v>
      </c>
      <c r="AL26" s="86">
        <v>3</v>
      </c>
      <c r="AM26" s="86">
        <f t="shared" si="8"/>
        <v>17.000000000000082</v>
      </c>
      <c r="AN26" s="98"/>
      <c r="AP26" s="86" t="s">
        <v>4</v>
      </c>
      <c r="AQ26" s="94">
        <v>18</v>
      </c>
      <c r="AR26" s="58">
        <v>7.2</v>
      </c>
      <c r="AS26" s="96"/>
      <c r="AT26" s="96"/>
      <c r="AU26" s="53">
        <v>20.93</v>
      </c>
      <c r="AV26" s="58">
        <f t="shared" si="9"/>
        <v>13.73</v>
      </c>
      <c r="AW26" s="97">
        <v>7.3</v>
      </c>
      <c r="AX26" s="58">
        <v>1.4</v>
      </c>
      <c r="AY26" s="59">
        <f t="shared" si="10"/>
        <v>5.0300000000000011</v>
      </c>
      <c r="AZ26" s="86">
        <v>5</v>
      </c>
      <c r="BA26" s="86">
        <f t="shared" si="11"/>
        <v>3.0000000000001137</v>
      </c>
      <c r="BB26" s="98"/>
      <c r="BC26" s="86"/>
      <c r="BD26" s="94"/>
      <c r="BE26" s="58"/>
      <c r="BF26" s="96"/>
      <c r="BG26" s="96"/>
      <c r="BH26" s="58"/>
      <c r="BI26" s="58"/>
      <c r="BJ26" s="97"/>
      <c r="BK26" s="58"/>
      <c r="BL26" s="59"/>
      <c r="BM26" s="86"/>
      <c r="BN26" s="86"/>
      <c r="BO26" s="98"/>
      <c r="BQ26" s="86" t="s">
        <v>4</v>
      </c>
      <c r="BR26" s="94">
        <v>18</v>
      </c>
      <c r="BS26" s="58">
        <v>7.1</v>
      </c>
      <c r="BT26" s="96"/>
      <c r="BU26" s="96"/>
      <c r="BV26" s="53">
        <v>20.99</v>
      </c>
      <c r="BW26" s="58">
        <f t="shared" si="12"/>
        <v>13.889999999999999</v>
      </c>
      <c r="BX26" s="97">
        <v>7.3</v>
      </c>
      <c r="BY26" s="58">
        <v>1</v>
      </c>
      <c r="BZ26" s="59">
        <f t="shared" si="13"/>
        <v>5.589999999999999</v>
      </c>
      <c r="CA26" s="86">
        <v>5</v>
      </c>
      <c r="CB26" s="86">
        <f t="shared" si="14"/>
        <v>58.999999999999901</v>
      </c>
      <c r="CC26" s="98"/>
      <c r="CE26" s="86" t="s">
        <v>4</v>
      </c>
      <c r="CF26" s="94">
        <v>18</v>
      </c>
      <c r="CG26" s="99">
        <v>9</v>
      </c>
      <c r="CH26" s="96"/>
      <c r="CI26" s="96"/>
      <c r="CJ26" s="53">
        <v>21.4</v>
      </c>
      <c r="CK26" s="58">
        <f t="shared" si="15"/>
        <v>12.399999999999999</v>
      </c>
      <c r="CL26" s="97">
        <v>7.3</v>
      </c>
      <c r="CM26" s="58">
        <v>1</v>
      </c>
      <c r="CN26" s="59">
        <f t="shared" si="16"/>
        <v>4.0999999999999988</v>
      </c>
      <c r="CO26" s="86">
        <v>4</v>
      </c>
      <c r="CP26" s="86">
        <f t="shared" si="17"/>
        <v>9.9999999999998757</v>
      </c>
      <c r="CQ26" s="98"/>
      <c r="CR26" s="86" t="s">
        <v>4</v>
      </c>
      <c r="CS26" s="94">
        <v>18</v>
      </c>
      <c r="CT26" s="58">
        <v>7.15</v>
      </c>
      <c r="CU26" s="96"/>
      <c r="CV26" s="96"/>
      <c r="CW26" s="53">
        <v>20.99</v>
      </c>
      <c r="CX26" s="58">
        <f t="shared" si="18"/>
        <v>13.839999999999998</v>
      </c>
      <c r="CY26" s="97">
        <v>7.3</v>
      </c>
      <c r="CZ26" s="58">
        <v>1</v>
      </c>
      <c r="DA26" s="59">
        <f t="shared" si="19"/>
        <v>5.5399999999999983</v>
      </c>
      <c r="DB26" s="86">
        <v>5</v>
      </c>
      <c r="DC26" s="86">
        <f t="shared" si="20"/>
        <v>53.999999999999829</v>
      </c>
      <c r="DD26" s="98"/>
      <c r="DF26" s="86" t="s">
        <v>4</v>
      </c>
      <c r="DG26" s="94">
        <v>18</v>
      </c>
      <c r="DH26" s="58">
        <v>7.4</v>
      </c>
      <c r="DI26" s="96"/>
      <c r="DJ26" s="96"/>
      <c r="DK26" s="53">
        <v>20.92</v>
      </c>
      <c r="DL26" s="58">
        <f t="shared" si="21"/>
        <v>13.520000000000001</v>
      </c>
      <c r="DM26" s="97">
        <v>7.3</v>
      </c>
      <c r="DN26" s="58">
        <v>1</v>
      </c>
      <c r="DO26" s="59">
        <f t="shared" si="22"/>
        <v>5.2200000000000015</v>
      </c>
      <c r="DP26" s="86">
        <v>5</v>
      </c>
      <c r="DQ26" s="86">
        <f t="shared" si="23"/>
        <v>22.000000000000153</v>
      </c>
      <c r="DR26" s="98"/>
      <c r="DT26" s="86" t="s">
        <v>4</v>
      </c>
      <c r="DU26" s="94">
        <v>18</v>
      </c>
      <c r="DV26" s="58">
        <v>7.5</v>
      </c>
      <c r="DW26" s="96"/>
      <c r="DX26" s="96"/>
      <c r="DY26" s="53">
        <v>20.94</v>
      </c>
      <c r="DZ26" s="58">
        <f t="shared" si="24"/>
        <v>13.440000000000001</v>
      </c>
      <c r="EA26" s="97">
        <v>7.3</v>
      </c>
      <c r="EB26" s="58">
        <v>1</v>
      </c>
      <c r="EC26" s="59">
        <f t="shared" si="25"/>
        <v>5.1400000000000015</v>
      </c>
      <c r="ED26" s="86">
        <v>5</v>
      </c>
      <c r="EE26" s="86">
        <f t="shared" si="26"/>
        <v>14.000000000000146</v>
      </c>
      <c r="EF26" s="98"/>
      <c r="EG26" s="86" t="s">
        <v>4</v>
      </c>
      <c r="EH26" s="94">
        <v>18</v>
      </c>
      <c r="EI26" s="58">
        <v>7.2</v>
      </c>
      <c r="EJ26" s="96"/>
      <c r="EK26" s="96"/>
      <c r="EL26" s="53">
        <v>20.94</v>
      </c>
      <c r="EM26" s="58">
        <f t="shared" si="27"/>
        <v>13.740000000000002</v>
      </c>
      <c r="EN26" s="97">
        <v>7.3</v>
      </c>
      <c r="EO26" s="58">
        <v>1.4</v>
      </c>
      <c r="EP26" s="59">
        <f t="shared" si="28"/>
        <v>5.0400000000000027</v>
      </c>
      <c r="EQ26" s="86">
        <v>5</v>
      </c>
      <c r="ER26" s="86">
        <f t="shared" si="29"/>
        <v>4.00000000000027</v>
      </c>
      <c r="ES26" s="98"/>
      <c r="EU26" s="86" t="s">
        <v>4</v>
      </c>
      <c r="EV26" s="94">
        <v>18</v>
      </c>
      <c r="EW26" s="58">
        <v>7.1</v>
      </c>
      <c r="EX26" s="96"/>
      <c r="EY26" s="96"/>
      <c r="EZ26" s="53">
        <v>20.96</v>
      </c>
      <c r="FA26" s="58">
        <f t="shared" si="59"/>
        <v>13.860000000000001</v>
      </c>
      <c r="FB26" s="97">
        <v>7.3</v>
      </c>
      <c r="FC26" s="58">
        <v>1</v>
      </c>
      <c r="FD26" s="59">
        <f t="shared" si="30"/>
        <v>5.5600000000000014</v>
      </c>
      <c r="FE26" s="86">
        <v>5</v>
      </c>
      <c r="FF26" s="86">
        <f t="shared" si="31"/>
        <v>56.000000000000142</v>
      </c>
      <c r="FG26" s="98"/>
      <c r="FH26" s="86" t="s">
        <v>4</v>
      </c>
      <c r="FI26" s="94">
        <v>18</v>
      </c>
      <c r="FJ26" s="58">
        <v>7.1</v>
      </c>
      <c r="FK26" s="96"/>
      <c r="FL26" s="96"/>
      <c r="FM26" s="53">
        <v>20.94</v>
      </c>
      <c r="FN26" s="58">
        <f t="shared" si="32"/>
        <v>13.840000000000002</v>
      </c>
      <c r="FO26" s="97">
        <v>7.3</v>
      </c>
      <c r="FP26" s="58">
        <v>1</v>
      </c>
      <c r="FQ26" s="59">
        <f t="shared" si="33"/>
        <v>5.5400000000000018</v>
      </c>
      <c r="FR26" s="86">
        <v>5</v>
      </c>
      <c r="FS26" s="86">
        <f t="shared" si="34"/>
        <v>54.000000000000185</v>
      </c>
      <c r="FT26" s="98"/>
      <c r="FV26" s="86" t="s">
        <v>4</v>
      </c>
      <c r="FW26" s="94">
        <v>18</v>
      </c>
      <c r="FX26" s="58">
        <v>7.35</v>
      </c>
      <c r="FY26" s="96"/>
      <c r="FZ26" s="96"/>
      <c r="GA26" s="53">
        <v>20.95</v>
      </c>
      <c r="GB26" s="58">
        <f t="shared" si="35"/>
        <v>13.6</v>
      </c>
      <c r="GC26" s="97">
        <v>7.3</v>
      </c>
      <c r="GD26" s="58">
        <v>1</v>
      </c>
      <c r="GE26" s="59">
        <f t="shared" si="36"/>
        <v>5.3</v>
      </c>
      <c r="GF26" s="86">
        <v>5</v>
      </c>
      <c r="GG26" s="86">
        <f t="shared" si="37"/>
        <v>29.999999999999982</v>
      </c>
      <c r="GH26" s="98"/>
      <c r="GI26" s="86" t="s">
        <v>4</v>
      </c>
      <c r="GJ26" s="94">
        <v>18</v>
      </c>
      <c r="GK26" s="58">
        <v>7.1</v>
      </c>
      <c r="GL26" s="96"/>
      <c r="GM26" s="96"/>
      <c r="GN26" s="53">
        <v>19.71</v>
      </c>
      <c r="GO26" s="58">
        <f t="shared" si="38"/>
        <v>12.610000000000001</v>
      </c>
      <c r="GP26" s="97">
        <v>7.3</v>
      </c>
      <c r="GQ26" s="58">
        <v>1</v>
      </c>
      <c r="GR26" s="59">
        <f t="shared" si="39"/>
        <v>4.3100000000000014</v>
      </c>
      <c r="GS26" s="86">
        <v>4</v>
      </c>
      <c r="GT26" s="86">
        <f t="shared" si="40"/>
        <v>31.000000000000139</v>
      </c>
      <c r="GU26" s="98"/>
      <c r="GW26" s="86" t="s">
        <v>4</v>
      </c>
      <c r="GX26" s="94">
        <v>18</v>
      </c>
      <c r="GY26" s="58">
        <v>7.1</v>
      </c>
      <c r="GZ26" s="96"/>
      <c r="HA26" s="96"/>
      <c r="HB26" s="53">
        <v>19.100000000000001</v>
      </c>
      <c r="HC26" s="58">
        <f t="shared" si="41"/>
        <v>12.000000000000002</v>
      </c>
      <c r="HD26" s="97">
        <v>7.3</v>
      </c>
      <c r="HE26" s="58">
        <v>1.4</v>
      </c>
      <c r="HF26" s="59">
        <f t="shared" si="42"/>
        <v>3.300000000000002</v>
      </c>
      <c r="HG26" s="86">
        <v>3</v>
      </c>
      <c r="HH26" s="86">
        <f t="shared" si="43"/>
        <v>30.000000000000206</v>
      </c>
      <c r="HI26" s="103" t="s">
        <v>228</v>
      </c>
      <c r="HJ26" s="86" t="s">
        <v>4</v>
      </c>
      <c r="HK26" s="94">
        <v>18</v>
      </c>
      <c r="HL26" s="58">
        <v>7.1</v>
      </c>
      <c r="HM26" s="96"/>
      <c r="HN26" s="96"/>
      <c r="HO26" s="53">
        <v>20.94</v>
      </c>
      <c r="HP26" s="58">
        <f t="shared" si="44"/>
        <v>13.840000000000002</v>
      </c>
      <c r="HQ26" s="97">
        <v>7.3</v>
      </c>
      <c r="HR26" s="58">
        <v>1.4</v>
      </c>
      <c r="HS26" s="59">
        <f t="shared" si="45"/>
        <v>5.1400000000000023</v>
      </c>
      <c r="HT26" s="86">
        <v>5</v>
      </c>
      <c r="HU26" s="86">
        <f t="shared" si="46"/>
        <v>14.000000000000234</v>
      </c>
      <c r="HV26" s="98"/>
      <c r="HX26" s="86"/>
      <c r="HY26" s="94"/>
      <c r="HZ26" s="58"/>
      <c r="IA26" s="96"/>
      <c r="IB26" s="96"/>
      <c r="IC26" s="58"/>
      <c r="ID26" s="58"/>
      <c r="IE26" s="97"/>
      <c r="IF26" s="58"/>
      <c r="IG26" s="59"/>
      <c r="IH26" s="86"/>
      <c r="II26" s="86"/>
      <c r="IJ26" s="98"/>
      <c r="IK26" s="86" t="s">
        <v>4</v>
      </c>
      <c r="IL26" s="94">
        <v>18</v>
      </c>
      <c r="IM26" s="58">
        <v>7.05</v>
      </c>
      <c r="IN26" s="96"/>
      <c r="IO26" s="96"/>
      <c r="IP26" s="53">
        <v>20.94</v>
      </c>
      <c r="IQ26" s="58">
        <f t="shared" si="47"/>
        <v>13.89</v>
      </c>
      <c r="IR26" s="97">
        <v>7.3</v>
      </c>
      <c r="IS26" s="58">
        <v>1</v>
      </c>
      <c r="IT26" s="59">
        <f t="shared" si="48"/>
        <v>5.5900000000000007</v>
      </c>
      <c r="IU26" s="86">
        <v>5</v>
      </c>
      <c r="IV26" s="86">
        <f t="shared" si="49"/>
        <v>59.000000000000071</v>
      </c>
      <c r="IW26" s="98"/>
      <c r="IY26" s="86" t="s">
        <v>4</v>
      </c>
      <c r="IZ26" s="94">
        <v>18</v>
      </c>
      <c r="JA26" s="58">
        <v>7.1</v>
      </c>
      <c r="JB26" s="96"/>
      <c r="JC26" s="96"/>
      <c r="JD26" s="53">
        <v>20.99</v>
      </c>
      <c r="JE26" s="58">
        <f t="shared" si="50"/>
        <v>13.889999999999999</v>
      </c>
      <c r="JF26" s="97">
        <v>7.3</v>
      </c>
      <c r="JG26" s="58">
        <v>1</v>
      </c>
      <c r="JH26" s="59">
        <f t="shared" si="51"/>
        <v>5.589999999999999</v>
      </c>
      <c r="JI26" s="86">
        <v>5</v>
      </c>
      <c r="JJ26" s="86">
        <f t="shared" si="52"/>
        <v>58.999999999999901</v>
      </c>
      <c r="JK26" s="98"/>
      <c r="JL26" s="86" t="s">
        <v>4</v>
      </c>
      <c r="JM26" s="94">
        <v>18</v>
      </c>
      <c r="JN26" s="58">
        <v>7.1</v>
      </c>
      <c r="JO26" s="96"/>
      <c r="JP26" s="96"/>
      <c r="JQ26" s="53">
        <v>18.62</v>
      </c>
      <c r="JR26" s="58">
        <f t="shared" si="53"/>
        <v>11.520000000000001</v>
      </c>
      <c r="JS26" s="97">
        <v>7.3</v>
      </c>
      <c r="JT26" s="58">
        <v>1</v>
      </c>
      <c r="JU26" s="59">
        <f t="shared" si="54"/>
        <v>3.2200000000000015</v>
      </c>
      <c r="JV26" s="86">
        <v>3</v>
      </c>
      <c r="JW26" s="86">
        <f t="shared" si="55"/>
        <v>22.000000000000153</v>
      </c>
      <c r="JX26" s="98"/>
      <c r="JZ26" s="86" t="s">
        <v>4</v>
      </c>
      <c r="KA26" s="94">
        <v>18</v>
      </c>
      <c r="KB26" s="58">
        <v>7.2</v>
      </c>
      <c r="KC26" s="96"/>
      <c r="KD26" s="96"/>
      <c r="KE26" s="53">
        <v>20.93</v>
      </c>
      <c r="KF26" s="58">
        <f t="shared" si="56"/>
        <v>13.73</v>
      </c>
      <c r="KG26" s="97">
        <v>7.3</v>
      </c>
      <c r="KH26" s="58">
        <v>1.4</v>
      </c>
      <c r="KI26" s="59">
        <f t="shared" si="57"/>
        <v>5.0300000000000011</v>
      </c>
      <c r="KJ26" s="86">
        <v>5</v>
      </c>
      <c r="KK26" s="86">
        <f t="shared" si="58"/>
        <v>3.0000000000001137</v>
      </c>
      <c r="KL26" s="98"/>
    </row>
    <row r="27" spans="1:298" ht="17.149999999999999" customHeight="1" x14ac:dyDescent="0.35">
      <c r="A27" s="86" t="s">
        <v>5</v>
      </c>
      <c r="B27" s="86">
        <v>19</v>
      </c>
      <c r="C27" s="58">
        <v>7.15</v>
      </c>
      <c r="D27" s="96"/>
      <c r="E27" s="96"/>
      <c r="F27" s="53">
        <v>20.64</v>
      </c>
      <c r="G27" s="58">
        <f t="shared" si="0"/>
        <v>13.49</v>
      </c>
      <c r="H27" s="97">
        <v>7.3</v>
      </c>
      <c r="I27" s="58">
        <v>1</v>
      </c>
      <c r="J27" s="59">
        <f t="shared" si="1"/>
        <v>5.19</v>
      </c>
      <c r="K27" s="86">
        <v>5</v>
      </c>
      <c r="L27" s="86">
        <f t="shared" si="2"/>
        <v>19.000000000000039</v>
      </c>
      <c r="M27" s="98"/>
      <c r="O27" s="86" t="s">
        <v>5</v>
      </c>
      <c r="P27" s="86">
        <v>19</v>
      </c>
      <c r="Q27" s="58">
        <v>7.15</v>
      </c>
      <c r="R27" s="96"/>
      <c r="S27" s="96"/>
      <c r="T27" s="53">
        <v>20.65</v>
      </c>
      <c r="U27" s="58">
        <f t="shared" si="3"/>
        <v>13.499999999999998</v>
      </c>
      <c r="V27" s="97">
        <v>7.3</v>
      </c>
      <c r="W27" s="58">
        <v>1</v>
      </c>
      <c r="X27" s="59">
        <f t="shared" si="4"/>
        <v>5.1999999999999984</v>
      </c>
      <c r="Y27" s="86">
        <v>5</v>
      </c>
      <c r="Z27" s="86">
        <f t="shared" si="5"/>
        <v>19.99999999999984</v>
      </c>
      <c r="AA27" s="98"/>
      <c r="AB27" s="86" t="s">
        <v>5</v>
      </c>
      <c r="AC27" s="86">
        <v>19</v>
      </c>
      <c r="AD27" s="58">
        <v>7.15</v>
      </c>
      <c r="AE27" s="96"/>
      <c r="AF27" s="96"/>
      <c r="AG27" s="53">
        <v>18.62</v>
      </c>
      <c r="AH27" s="58">
        <f t="shared" si="6"/>
        <v>11.47</v>
      </c>
      <c r="AI27" s="97">
        <v>7.3</v>
      </c>
      <c r="AJ27" s="58">
        <v>1</v>
      </c>
      <c r="AK27" s="59">
        <f t="shared" si="7"/>
        <v>3.1700000000000008</v>
      </c>
      <c r="AL27" s="86">
        <v>3</v>
      </c>
      <c r="AM27" s="86">
        <f t="shared" si="8"/>
        <v>17.000000000000082</v>
      </c>
      <c r="AN27" s="98"/>
      <c r="AP27" s="86" t="s">
        <v>5</v>
      </c>
      <c r="AQ27" s="86">
        <v>19</v>
      </c>
      <c r="AR27" s="58">
        <v>7.2</v>
      </c>
      <c r="AS27" s="96"/>
      <c r="AT27" s="96"/>
      <c r="AU27" s="53">
        <v>20.64</v>
      </c>
      <c r="AV27" s="58">
        <f t="shared" si="9"/>
        <v>13.440000000000001</v>
      </c>
      <c r="AW27" s="97">
        <v>7.3</v>
      </c>
      <c r="AX27" s="58">
        <v>1</v>
      </c>
      <c r="AY27" s="59">
        <f t="shared" si="10"/>
        <v>5.1400000000000015</v>
      </c>
      <c r="AZ27" s="86">
        <v>5</v>
      </c>
      <c r="BA27" s="86">
        <f t="shared" si="11"/>
        <v>14.000000000000146</v>
      </c>
      <c r="BB27" s="98"/>
      <c r="BC27" s="86"/>
      <c r="BD27" s="86"/>
      <c r="BE27" s="58"/>
      <c r="BF27" s="58"/>
      <c r="BG27" s="58"/>
      <c r="BH27" s="58"/>
      <c r="BI27" s="58"/>
      <c r="BJ27" s="97"/>
      <c r="BK27" s="58"/>
      <c r="BL27" s="59"/>
      <c r="BM27" s="86"/>
      <c r="BN27" s="86"/>
      <c r="BO27" s="98"/>
      <c r="BQ27" s="86" t="s">
        <v>5</v>
      </c>
      <c r="BR27" s="86">
        <v>19</v>
      </c>
      <c r="BS27" s="58">
        <v>7.1</v>
      </c>
      <c r="BT27" s="96"/>
      <c r="BU27" s="96"/>
      <c r="BV27" s="53">
        <v>20.67</v>
      </c>
      <c r="BW27" s="58">
        <f t="shared" si="12"/>
        <v>13.570000000000002</v>
      </c>
      <c r="BX27" s="97">
        <v>7.3</v>
      </c>
      <c r="BY27" s="58">
        <v>1</v>
      </c>
      <c r="BZ27" s="59">
        <f t="shared" si="13"/>
        <v>5.2700000000000022</v>
      </c>
      <c r="CA27" s="86">
        <v>5</v>
      </c>
      <c r="CB27" s="86">
        <f t="shared" si="14"/>
        <v>27.000000000000224</v>
      </c>
      <c r="CC27" s="98"/>
      <c r="CE27" s="86" t="s">
        <v>5</v>
      </c>
      <c r="CF27" s="86">
        <v>19</v>
      </c>
      <c r="CG27" s="58">
        <v>7.25</v>
      </c>
      <c r="CH27" s="96"/>
      <c r="CI27" s="96"/>
      <c r="CJ27" s="53">
        <v>20.69</v>
      </c>
      <c r="CK27" s="58">
        <f t="shared" si="15"/>
        <v>13.440000000000001</v>
      </c>
      <c r="CL27" s="97">
        <v>7.3</v>
      </c>
      <c r="CM27" s="58">
        <v>1</v>
      </c>
      <c r="CN27" s="59">
        <f t="shared" si="16"/>
        <v>5.1400000000000015</v>
      </c>
      <c r="CO27" s="86">
        <v>5</v>
      </c>
      <c r="CP27" s="86">
        <f t="shared" si="17"/>
        <v>14.000000000000146</v>
      </c>
      <c r="CQ27" s="98"/>
      <c r="CR27" s="86" t="s">
        <v>5</v>
      </c>
      <c r="CS27" s="86">
        <v>19</v>
      </c>
      <c r="CT27" s="99">
        <v>7.5</v>
      </c>
      <c r="CU27" s="96"/>
      <c r="CV27" s="96"/>
      <c r="CW27" s="53">
        <v>20.67</v>
      </c>
      <c r="CX27" s="58">
        <f t="shared" si="18"/>
        <v>13.170000000000002</v>
      </c>
      <c r="CY27" s="97">
        <v>7.3</v>
      </c>
      <c r="CZ27" s="58">
        <v>1.4</v>
      </c>
      <c r="DA27" s="59">
        <f t="shared" si="19"/>
        <v>4.4700000000000024</v>
      </c>
      <c r="DB27" s="86">
        <v>4</v>
      </c>
      <c r="DC27" s="86">
        <f t="shared" si="20"/>
        <v>47.000000000000242</v>
      </c>
      <c r="DD27" s="98"/>
      <c r="DF27" s="86" t="s">
        <v>5</v>
      </c>
      <c r="DG27" s="86">
        <v>19</v>
      </c>
      <c r="DH27" s="58">
        <v>7.4</v>
      </c>
      <c r="DI27" s="96"/>
      <c r="DJ27" s="96"/>
      <c r="DK27" s="53">
        <v>20.65</v>
      </c>
      <c r="DL27" s="58">
        <f t="shared" si="21"/>
        <v>13.249999999999998</v>
      </c>
      <c r="DM27" s="97">
        <v>7.3</v>
      </c>
      <c r="DN27" s="58">
        <v>1.4</v>
      </c>
      <c r="DO27" s="59">
        <f t="shared" si="22"/>
        <v>4.5499999999999989</v>
      </c>
      <c r="DP27" s="86">
        <v>4</v>
      </c>
      <c r="DQ27" s="86">
        <f t="shared" si="23"/>
        <v>54.999999999999893</v>
      </c>
      <c r="DR27" s="98"/>
      <c r="DT27" s="86" t="s">
        <v>5</v>
      </c>
      <c r="DU27" s="86">
        <v>19</v>
      </c>
      <c r="DV27" s="58">
        <v>7.5</v>
      </c>
      <c r="DW27" s="96"/>
      <c r="DX27" s="96"/>
      <c r="DY27" s="53">
        <v>20.64</v>
      </c>
      <c r="DZ27" s="58">
        <f t="shared" si="24"/>
        <v>13.14</v>
      </c>
      <c r="EA27" s="97">
        <v>7.3</v>
      </c>
      <c r="EB27" s="58">
        <v>1.4</v>
      </c>
      <c r="EC27" s="59">
        <f t="shared" si="25"/>
        <v>4.4400000000000013</v>
      </c>
      <c r="ED27" s="86">
        <v>4</v>
      </c>
      <c r="EE27" s="86">
        <f t="shared" si="26"/>
        <v>44.000000000000128</v>
      </c>
      <c r="EF27" s="98"/>
      <c r="EG27" s="86" t="s">
        <v>5</v>
      </c>
      <c r="EH27" s="86">
        <v>19</v>
      </c>
      <c r="EI27" s="58">
        <v>7.2</v>
      </c>
      <c r="EJ27" s="96"/>
      <c r="EK27" s="96"/>
      <c r="EL27" s="53">
        <v>20.64</v>
      </c>
      <c r="EM27" s="58">
        <f t="shared" si="27"/>
        <v>13.440000000000001</v>
      </c>
      <c r="EN27" s="97">
        <v>7.3</v>
      </c>
      <c r="EO27" s="58">
        <v>1</v>
      </c>
      <c r="EP27" s="59">
        <f t="shared" si="28"/>
        <v>5.1400000000000015</v>
      </c>
      <c r="EQ27" s="86">
        <v>5</v>
      </c>
      <c r="ER27" s="86">
        <f t="shared" si="29"/>
        <v>14.000000000000146</v>
      </c>
      <c r="ES27" s="98"/>
      <c r="EU27" s="86" t="s">
        <v>5</v>
      </c>
      <c r="EV27" s="86">
        <v>19</v>
      </c>
      <c r="EW27" s="58">
        <v>7.1</v>
      </c>
      <c r="EX27" s="96"/>
      <c r="EY27" s="96"/>
      <c r="EZ27" s="53">
        <v>20.65</v>
      </c>
      <c r="FA27" s="58">
        <f t="shared" si="59"/>
        <v>13.549999999999999</v>
      </c>
      <c r="FB27" s="97">
        <v>7.3</v>
      </c>
      <c r="FC27" s="58">
        <v>1</v>
      </c>
      <c r="FD27" s="59">
        <f t="shared" si="30"/>
        <v>5.2499999999999991</v>
      </c>
      <c r="FE27" s="86">
        <v>5</v>
      </c>
      <c r="FF27" s="86">
        <f t="shared" si="31"/>
        <v>24.999999999999911</v>
      </c>
      <c r="FG27" s="98"/>
      <c r="FH27" s="86" t="s">
        <v>5</v>
      </c>
      <c r="FI27" s="86">
        <v>19</v>
      </c>
      <c r="FJ27" s="58">
        <v>7.1</v>
      </c>
      <c r="FK27" s="96"/>
      <c r="FL27" s="96"/>
      <c r="FM27" s="53">
        <v>20.66</v>
      </c>
      <c r="FN27" s="58">
        <f t="shared" si="32"/>
        <v>13.56</v>
      </c>
      <c r="FO27" s="97">
        <v>7.3</v>
      </c>
      <c r="FP27" s="58">
        <v>1</v>
      </c>
      <c r="FQ27" s="59">
        <f t="shared" si="33"/>
        <v>5.2600000000000007</v>
      </c>
      <c r="FR27" s="86">
        <v>5</v>
      </c>
      <c r="FS27" s="86">
        <f t="shared" si="34"/>
        <v>26.000000000000068</v>
      </c>
      <c r="FT27" s="98"/>
      <c r="FV27" s="86" t="s">
        <v>5</v>
      </c>
      <c r="FW27" s="86">
        <v>19</v>
      </c>
      <c r="FX27" s="58">
        <v>7.35</v>
      </c>
      <c r="FY27" s="96"/>
      <c r="FZ27" s="96"/>
      <c r="GA27" s="53">
        <v>20.65</v>
      </c>
      <c r="GB27" s="58">
        <f t="shared" si="35"/>
        <v>13.299999999999999</v>
      </c>
      <c r="GC27" s="97">
        <v>7.3</v>
      </c>
      <c r="GD27" s="58">
        <v>1.4</v>
      </c>
      <c r="GE27" s="59">
        <f t="shared" si="36"/>
        <v>4.5999999999999996</v>
      </c>
      <c r="GF27" s="86">
        <v>4</v>
      </c>
      <c r="GG27" s="86">
        <f t="shared" si="37"/>
        <v>59.999999999999964</v>
      </c>
      <c r="GH27" s="98"/>
      <c r="GI27" s="86" t="s">
        <v>5</v>
      </c>
      <c r="GJ27" s="86">
        <v>19</v>
      </c>
      <c r="GK27" s="58">
        <v>7.1</v>
      </c>
      <c r="GL27" s="96"/>
      <c r="GM27" s="96"/>
      <c r="GN27" s="53">
        <v>19.59</v>
      </c>
      <c r="GO27" s="58">
        <f t="shared" si="38"/>
        <v>12.49</v>
      </c>
      <c r="GP27" s="97">
        <v>7.3</v>
      </c>
      <c r="GQ27" s="58">
        <v>1</v>
      </c>
      <c r="GR27" s="59">
        <f t="shared" si="39"/>
        <v>4.1900000000000004</v>
      </c>
      <c r="GS27" s="86">
        <v>4</v>
      </c>
      <c r="GT27" s="86">
        <f t="shared" si="40"/>
        <v>19.000000000000039</v>
      </c>
      <c r="GU27" s="98"/>
      <c r="GW27" s="86" t="s">
        <v>5</v>
      </c>
      <c r="GX27" s="86">
        <v>19</v>
      </c>
      <c r="GY27" s="58">
        <v>7.1</v>
      </c>
      <c r="GZ27" s="96"/>
      <c r="HA27" s="96"/>
      <c r="HB27" s="53">
        <v>19.100000000000001</v>
      </c>
      <c r="HC27" s="58">
        <f t="shared" si="41"/>
        <v>12.000000000000002</v>
      </c>
      <c r="HD27" s="97">
        <v>7.3</v>
      </c>
      <c r="HE27" s="58">
        <v>1.4</v>
      </c>
      <c r="HF27" s="59">
        <f t="shared" si="42"/>
        <v>3.300000000000002</v>
      </c>
      <c r="HG27" s="86">
        <v>3</v>
      </c>
      <c r="HH27" s="86">
        <f t="shared" si="43"/>
        <v>30.000000000000206</v>
      </c>
      <c r="HI27" s="103" t="s">
        <v>228</v>
      </c>
      <c r="HJ27" s="86" t="s">
        <v>5</v>
      </c>
      <c r="HK27" s="86">
        <v>19</v>
      </c>
      <c r="HL27" s="58">
        <v>7.1</v>
      </c>
      <c r="HM27" s="96"/>
      <c r="HN27" s="96"/>
      <c r="HO27" s="53">
        <v>20.66</v>
      </c>
      <c r="HP27" s="58">
        <f t="shared" si="44"/>
        <v>13.56</v>
      </c>
      <c r="HQ27" s="97">
        <v>7.3</v>
      </c>
      <c r="HR27" s="58">
        <v>1</v>
      </c>
      <c r="HS27" s="59">
        <f t="shared" si="45"/>
        <v>5.2600000000000007</v>
      </c>
      <c r="HT27" s="86">
        <v>5</v>
      </c>
      <c r="HU27" s="86">
        <f t="shared" si="46"/>
        <v>26.000000000000068</v>
      </c>
      <c r="HV27" s="98"/>
      <c r="HX27" s="86"/>
      <c r="HY27" s="86"/>
      <c r="HZ27" s="58"/>
      <c r="IA27" s="58"/>
      <c r="IB27" s="58"/>
      <c r="IC27" s="58"/>
      <c r="ID27" s="58"/>
      <c r="IE27" s="97"/>
      <c r="IF27" s="58"/>
      <c r="IG27" s="59"/>
      <c r="IH27" s="86"/>
      <c r="II27" s="86"/>
      <c r="IJ27" s="98"/>
      <c r="IK27" s="86" t="s">
        <v>5</v>
      </c>
      <c r="IL27" s="86">
        <v>19</v>
      </c>
      <c r="IM27" s="58">
        <v>7.05</v>
      </c>
      <c r="IN27" s="96"/>
      <c r="IO27" s="96"/>
      <c r="IP27" s="53">
        <v>20.65</v>
      </c>
      <c r="IQ27" s="58">
        <f t="shared" si="47"/>
        <v>13.599999999999998</v>
      </c>
      <c r="IR27" s="97">
        <v>7.3</v>
      </c>
      <c r="IS27" s="58">
        <v>1</v>
      </c>
      <c r="IT27" s="59">
        <f t="shared" si="48"/>
        <v>5.299999999999998</v>
      </c>
      <c r="IU27" s="86">
        <v>5</v>
      </c>
      <c r="IV27" s="86">
        <f t="shared" si="49"/>
        <v>29.999999999999805</v>
      </c>
      <c r="IW27" s="98"/>
      <c r="IY27" s="86" t="s">
        <v>5</v>
      </c>
      <c r="IZ27" s="86">
        <v>19</v>
      </c>
      <c r="JA27" s="58">
        <v>7.1</v>
      </c>
      <c r="JB27" s="96"/>
      <c r="JC27" s="96"/>
      <c r="JD27" s="53">
        <v>20.67</v>
      </c>
      <c r="JE27" s="58">
        <f t="shared" si="50"/>
        <v>13.570000000000002</v>
      </c>
      <c r="JF27" s="97">
        <v>7.3</v>
      </c>
      <c r="JG27" s="58">
        <v>1</v>
      </c>
      <c r="JH27" s="59">
        <f t="shared" si="51"/>
        <v>5.2700000000000022</v>
      </c>
      <c r="JI27" s="86">
        <v>5</v>
      </c>
      <c r="JJ27" s="86">
        <f t="shared" si="52"/>
        <v>27.000000000000224</v>
      </c>
      <c r="JK27" s="98"/>
      <c r="JL27" s="86" t="s">
        <v>5</v>
      </c>
      <c r="JM27" s="86">
        <v>19</v>
      </c>
      <c r="JN27" s="58">
        <v>7.1</v>
      </c>
      <c r="JO27" s="96"/>
      <c r="JP27" s="96"/>
      <c r="JQ27" s="53">
        <v>18.62</v>
      </c>
      <c r="JR27" s="58">
        <f t="shared" si="53"/>
        <v>11.520000000000001</v>
      </c>
      <c r="JS27" s="97">
        <v>7.3</v>
      </c>
      <c r="JT27" s="58">
        <v>1</v>
      </c>
      <c r="JU27" s="59">
        <f t="shared" si="54"/>
        <v>3.2200000000000015</v>
      </c>
      <c r="JV27" s="86">
        <v>3</v>
      </c>
      <c r="JW27" s="86">
        <f t="shared" si="55"/>
        <v>22.000000000000153</v>
      </c>
      <c r="JX27" s="98"/>
      <c r="JZ27" s="86" t="s">
        <v>5</v>
      </c>
      <c r="KA27" s="86">
        <v>19</v>
      </c>
      <c r="KB27" s="58">
        <v>7.2</v>
      </c>
      <c r="KC27" s="96"/>
      <c r="KD27" s="96"/>
      <c r="KE27" s="53">
        <v>20.65</v>
      </c>
      <c r="KF27" s="58">
        <f t="shared" si="56"/>
        <v>13.45</v>
      </c>
      <c r="KG27" s="97">
        <v>7.3</v>
      </c>
      <c r="KH27" s="58">
        <v>1</v>
      </c>
      <c r="KI27" s="59">
        <f t="shared" si="57"/>
        <v>5.1499999999999995</v>
      </c>
      <c r="KJ27" s="86">
        <v>5</v>
      </c>
      <c r="KK27" s="86">
        <f t="shared" si="58"/>
        <v>14.999999999999947</v>
      </c>
      <c r="KL27" s="98"/>
    </row>
    <row r="28" spans="1:298" ht="17.149999999999999" customHeight="1" x14ac:dyDescent="0.35">
      <c r="A28" s="55" t="s">
        <v>6</v>
      </c>
      <c r="B28" s="55">
        <v>20</v>
      </c>
      <c r="C28" s="52"/>
      <c r="D28" s="52"/>
      <c r="E28" s="52"/>
      <c r="F28" s="52"/>
      <c r="G28" s="52">
        <f t="shared" si="0"/>
        <v>0</v>
      </c>
      <c r="H28" s="56"/>
      <c r="I28" s="52"/>
      <c r="J28" s="57">
        <f t="shared" si="1"/>
        <v>0</v>
      </c>
      <c r="K28" s="55">
        <v>0</v>
      </c>
      <c r="L28" s="55">
        <f t="shared" si="2"/>
        <v>0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>
        <v>0</v>
      </c>
      <c r="Z28" s="55">
        <f t="shared" si="5"/>
        <v>0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>
        <v>0</v>
      </c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9"/>
        <v>0</v>
      </c>
      <c r="AW28" s="56"/>
      <c r="AX28" s="52"/>
      <c r="AY28" s="57">
        <f t="shared" si="10"/>
        <v>0</v>
      </c>
      <c r="AZ28" s="55">
        <v>0</v>
      </c>
      <c r="BA28" s="55">
        <f t="shared" si="11"/>
        <v>0</v>
      </c>
      <c r="BB28" s="95"/>
      <c r="BC28" s="62"/>
      <c r="BD28" s="86"/>
      <c r="BE28" s="58"/>
      <c r="BF28" s="58"/>
      <c r="BG28" s="58"/>
      <c r="BH28" s="58"/>
      <c r="BI28" s="58"/>
      <c r="BJ28" s="97"/>
      <c r="BK28" s="58"/>
      <c r="BL28" s="59"/>
      <c r="BM28" s="86"/>
      <c r="BN28" s="86"/>
      <c r="BO28" s="98"/>
      <c r="BQ28" s="55" t="s">
        <v>6</v>
      </c>
      <c r="BR28" s="55">
        <v>20</v>
      </c>
      <c r="BS28" s="52"/>
      <c r="BT28" s="52"/>
      <c r="BU28" s="52"/>
      <c r="BV28" s="52"/>
      <c r="BW28" s="52">
        <f t="shared" si="12"/>
        <v>0</v>
      </c>
      <c r="BX28" s="56"/>
      <c r="BY28" s="52"/>
      <c r="BZ28" s="57">
        <f t="shared" si="13"/>
        <v>0</v>
      </c>
      <c r="CA28" s="55">
        <v>0</v>
      </c>
      <c r="CB28" s="55">
        <f t="shared" si="14"/>
        <v>0</v>
      </c>
      <c r="CC28" s="95"/>
      <c r="CE28" s="55" t="s">
        <v>6</v>
      </c>
      <c r="CF28" s="55">
        <v>20</v>
      </c>
      <c r="CG28" s="52"/>
      <c r="CH28" s="52"/>
      <c r="CI28" s="52"/>
      <c r="CJ28" s="52"/>
      <c r="CK28" s="52">
        <f t="shared" si="15"/>
        <v>0</v>
      </c>
      <c r="CL28" s="56"/>
      <c r="CM28" s="52"/>
      <c r="CN28" s="57">
        <f t="shared" si="16"/>
        <v>0</v>
      </c>
      <c r="CO28" s="55">
        <v>0</v>
      </c>
      <c r="CP28" s="55">
        <f t="shared" si="17"/>
        <v>0</v>
      </c>
      <c r="CQ28" s="95"/>
      <c r="CR28" s="55" t="s">
        <v>6</v>
      </c>
      <c r="CS28" s="55">
        <v>20</v>
      </c>
      <c r="CT28" s="52"/>
      <c r="CU28" s="52"/>
      <c r="CV28" s="52"/>
      <c r="CW28" s="52"/>
      <c r="CX28" s="52">
        <f t="shared" si="18"/>
        <v>0</v>
      </c>
      <c r="CY28" s="56"/>
      <c r="CZ28" s="52"/>
      <c r="DA28" s="57">
        <f t="shared" si="19"/>
        <v>0</v>
      </c>
      <c r="DB28" s="55">
        <v>0</v>
      </c>
      <c r="DC28" s="55">
        <f t="shared" si="20"/>
        <v>0</v>
      </c>
      <c r="DD28" s="95"/>
      <c r="DF28" s="55" t="s">
        <v>6</v>
      </c>
      <c r="DG28" s="55">
        <v>20</v>
      </c>
      <c r="DH28" s="52"/>
      <c r="DI28" s="52"/>
      <c r="DJ28" s="52"/>
      <c r="DK28" s="52"/>
      <c r="DL28" s="52">
        <f t="shared" si="21"/>
        <v>0</v>
      </c>
      <c r="DM28" s="56"/>
      <c r="DN28" s="52"/>
      <c r="DO28" s="57">
        <f t="shared" si="22"/>
        <v>0</v>
      </c>
      <c r="DP28" s="55">
        <v>0</v>
      </c>
      <c r="DQ28" s="55">
        <f t="shared" si="23"/>
        <v>0</v>
      </c>
      <c r="DR28" s="95"/>
      <c r="DT28" s="55" t="s">
        <v>6</v>
      </c>
      <c r="DU28" s="55">
        <v>20</v>
      </c>
      <c r="DV28" s="52"/>
      <c r="DW28" s="52"/>
      <c r="DX28" s="52"/>
      <c r="DY28" s="52"/>
      <c r="DZ28" s="52">
        <f t="shared" si="24"/>
        <v>0</v>
      </c>
      <c r="EA28" s="56"/>
      <c r="EB28" s="52"/>
      <c r="EC28" s="57">
        <f t="shared" si="25"/>
        <v>0</v>
      </c>
      <c r="ED28" s="55">
        <v>0</v>
      </c>
      <c r="EE28" s="55">
        <f t="shared" si="26"/>
        <v>0</v>
      </c>
      <c r="EF28" s="95"/>
      <c r="EG28" s="55" t="s">
        <v>6</v>
      </c>
      <c r="EH28" s="55">
        <v>20</v>
      </c>
      <c r="EI28" s="52"/>
      <c r="EJ28" s="52"/>
      <c r="EK28" s="52"/>
      <c r="EL28" s="52"/>
      <c r="EM28" s="52">
        <f t="shared" si="27"/>
        <v>0</v>
      </c>
      <c r="EN28" s="56"/>
      <c r="EO28" s="52"/>
      <c r="EP28" s="57">
        <f t="shared" si="28"/>
        <v>0</v>
      </c>
      <c r="EQ28" s="55">
        <v>0</v>
      </c>
      <c r="ER28" s="55">
        <f t="shared" si="29"/>
        <v>0</v>
      </c>
      <c r="ES28" s="95"/>
      <c r="EU28" s="55" t="s">
        <v>6</v>
      </c>
      <c r="EV28" s="55">
        <v>20</v>
      </c>
      <c r="EW28" s="52"/>
      <c r="EX28" s="52"/>
      <c r="EY28" s="52"/>
      <c r="EZ28" s="52"/>
      <c r="FA28" s="52">
        <f t="shared" si="59"/>
        <v>0</v>
      </c>
      <c r="FB28" s="56"/>
      <c r="FC28" s="52"/>
      <c r="FD28" s="57">
        <f t="shared" si="30"/>
        <v>0</v>
      </c>
      <c r="FE28" s="55">
        <v>0</v>
      </c>
      <c r="FF28" s="55">
        <f t="shared" si="31"/>
        <v>0</v>
      </c>
      <c r="FG28" s="95"/>
      <c r="FH28" s="55" t="s">
        <v>6</v>
      </c>
      <c r="FI28" s="55">
        <v>20</v>
      </c>
      <c r="FJ28" s="52"/>
      <c r="FK28" s="52"/>
      <c r="FL28" s="52">
        <v>8.4499999999999993</v>
      </c>
      <c r="FM28" s="52">
        <v>14.82</v>
      </c>
      <c r="FN28" s="52">
        <f t="shared" si="32"/>
        <v>6.370000000000001</v>
      </c>
      <c r="FO28" s="56"/>
      <c r="FP28" s="52"/>
      <c r="FQ28" s="57">
        <f t="shared" si="33"/>
        <v>6.370000000000001</v>
      </c>
      <c r="FR28" s="55">
        <v>6</v>
      </c>
      <c r="FS28" s="55">
        <f t="shared" si="34"/>
        <v>37.000000000000099</v>
      </c>
      <c r="FT28" s="95"/>
      <c r="FV28" s="55" t="s">
        <v>6</v>
      </c>
      <c r="FW28" s="55">
        <v>20</v>
      </c>
      <c r="FX28" s="52"/>
      <c r="FY28" s="52"/>
      <c r="FZ28" s="52"/>
      <c r="GA28" s="52"/>
      <c r="GB28" s="52">
        <f t="shared" si="35"/>
        <v>0</v>
      </c>
      <c r="GC28" s="56"/>
      <c r="GD28" s="52"/>
      <c r="GE28" s="57">
        <f t="shared" si="36"/>
        <v>0</v>
      </c>
      <c r="GF28" s="55">
        <v>0</v>
      </c>
      <c r="GG28" s="55">
        <f t="shared" si="37"/>
        <v>0</v>
      </c>
      <c r="GH28" s="95"/>
      <c r="GI28" s="55" t="s">
        <v>6</v>
      </c>
      <c r="GJ28" s="55">
        <v>20</v>
      </c>
      <c r="GK28" s="52"/>
      <c r="GL28" s="52"/>
      <c r="GM28" s="52"/>
      <c r="GN28" s="52"/>
      <c r="GO28" s="52">
        <f t="shared" si="38"/>
        <v>0</v>
      </c>
      <c r="GP28" s="56"/>
      <c r="GQ28" s="52"/>
      <c r="GR28" s="57">
        <f t="shared" si="39"/>
        <v>0</v>
      </c>
      <c r="GS28" s="55">
        <v>0</v>
      </c>
      <c r="GT28" s="55">
        <f t="shared" si="40"/>
        <v>0</v>
      </c>
      <c r="GU28" s="95"/>
      <c r="GW28" s="55" t="s">
        <v>6</v>
      </c>
      <c r="GX28" s="55">
        <v>20</v>
      </c>
      <c r="GY28" s="52"/>
      <c r="GZ28" s="52"/>
      <c r="HA28" s="52"/>
      <c r="HB28" s="52"/>
      <c r="HC28" s="52">
        <f t="shared" si="41"/>
        <v>0</v>
      </c>
      <c r="HD28" s="56"/>
      <c r="HE28" s="52"/>
      <c r="HF28" s="57">
        <f t="shared" si="42"/>
        <v>0</v>
      </c>
      <c r="HG28" s="55">
        <v>0</v>
      </c>
      <c r="HH28" s="55">
        <f t="shared" si="43"/>
        <v>0</v>
      </c>
      <c r="HI28" s="95"/>
      <c r="HJ28" s="55" t="s">
        <v>6</v>
      </c>
      <c r="HK28" s="55">
        <v>20</v>
      </c>
      <c r="HL28" s="52"/>
      <c r="HM28" s="52"/>
      <c r="HN28" s="52"/>
      <c r="HO28" s="52"/>
      <c r="HP28" s="52">
        <f t="shared" si="44"/>
        <v>0</v>
      </c>
      <c r="HQ28" s="56"/>
      <c r="HR28" s="52"/>
      <c r="HS28" s="57">
        <f t="shared" si="45"/>
        <v>0</v>
      </c>
      <c r="HT28" s="55">
        <v>0</v>
      </c>
      <c r="HU28" s="55">
        <f t="shared" si="46"/>
        <v>0</v>
      </c>
      <c r="HV28" s="95"/>
      <c r="HX28" s="62"/>
      <c r="HY28" s="86"/>
      <c r="HZ28" s="58"/>
      <c r="IA28" s="58"/>
      <c r="IB28" s="58"/>
      <c r="IC28" s="58"/>
      <c r="ID28" s="58"/>
      <c r="IE28" s="97"/>
      <c r="IF28" s="58"/>
      <c r="IG28" s="59"/>
      <c r="IH28" s="86"/>
      <c r="II28" s="86"/>
      <c r="IJ28" s="98"/>
      <c r="IK28" s="55" t="s">
        <v>6</v>
      </c>
      <c r="IL28" s="55">
        <v>20</v>
      </c>
      <c r="IM28" s="52"/>
      <c r="IN28" s="52"/>
      <c r="IO28" s="52"/>
      <c r="IP28" s="52"/>
      <c r="IQ28" s="52">
        <f t="shared" si="47"/>
        <v>0</v>
      </c>
      <c r="IR28" s="56"/>
      <c r="IS28" s="52"/>
      <c r="IT28" s="57">
        <f t="shared" si="48"/>
        <v>0</v>
      </c>
      <c r="IU28" s="55">
        <v>0</v>
      </c>
      <c r="IV28" s="55">
        <f t="shared" si="49"/>
        <v>0</v>
      </c>
      <c r="IW28" s="95"/>
      <c r="IY28" s="55" t="s">
        <v>6</v>
      </c>
      <c r="IZ28" s="55">
        <v>20</v>
      </c>
      <c r="JA28" s="52"/>
      <c r="JB28" s="52"/>
      <c r="JC28" s="52">
        <v>8.4499999999999993</v>
      </c>
      <c r="JD28" s="52">
        <v>14.75</v>
      </c>
      <c r="JE28" s="52">
        <f t="shared" si="50"/>
        <v>6.3000000000000007</v>
      </c>
      <c r="JF28" s="56"/>
      <c r="JG28" s="52"/>
      <c r="JH28" s="57">
        <f t="shared" si="51"/>
        <v>6.3000000000000007</v>
      </c>
      <c r="JI28" s="55">
        <v>6</v>
      </c>
      <c r="JJ28" s="55">
        <f t="shared" si="52"/>
        <v>30.000000000000071</v>
      </c>
      <c r="JK28" s="95"/>
      <c r="JL28" s="55" t="s">
        <v>6</v>
      </c>
      <c r="JM28" s="55">
        <v>20</v>
      </c>
      <c r="JN28" s="52"/>
      <c r="JO28" s="52"/>
      <c r="JP28" s="52"/>
      <c r="JQ28" s="52"/>
      <c r="JR28" s="52">
        <f t="shared" si="53"/>
        <v>0</v>
      </c>
      <c r="JS28" s="56"/>
      <c r="JT28" s="52"/>
      <c r="JU28" s="57">
        <f t="shared" si="54"/>
        <v>0</v>
      </c>
      <c r="JV28" s="55">
        <v>0</v>
      </c>
      <c r="JW28" s="55">
        <f t="shared" si="55"/>
        <v>0</v>
      </c>
      <c r="JX28" s="95"/>
      <c r="JZ28" s="55" t="s">
        <v>6</v>
      </c>
      <c r="KA28" s="55">
        <v>20</v>
      </c>
      <c r="KB28" s="52"/>
      <c r="KC28" s="52"/>
      <c r="KD28" s="52"/>
      <c r="KE28" s="52"/>
      <c r="KF28" s="52">
        <f t="shared" si="56"/>
        <v>0</v>
      </c>
      <c r="KG28" s="56"/>
      <c r="KH28" s="52"/>
      <c r="KI28" s="57">
        <f t="shared" si="57"/>
        <v>0</v>
      </c>
      <c r="KJ28" s="55">
        <v>0</v>
      </c>
      <c r="KK28" s="55">
        <f t="shared" si="58"/>
        <v>0</v>
      </c>
      <c r="KL28" s="95"/>
    </row>
    <row r="29" spans="1:298" ht="17.149999999999999" customHeight="1" x14ac:dyDescent="0.35">
      <c r="A29" s="86" t="s">
        <v>1</v>
      </c>
      <c r="B29" s="86">
        <v>21</v>
      </c>
      <c r="C29" s="58">
        <v>7.15</v>
      </c>
      <c r="D29" s="96"/>
      <c r="E29" s="96"/>
      <c r="F29" s="53">
        <v>20.64</v>
      </c>
      <c r="G29" s="58">
        <f t="shared" si="0"/>
        <v>13.49</v>
      </c>
      <c r="H29" s="97">
        <v>7.3</v>
      </c>
      <c r="I29" s="58">
        <v>1</v>
      </c>
      <c r="J29" s="59">
        <f t="shared" si="1"/>
        <v>5.19</v>
      </c>
      <c r="K29" s="86">
        <v>5</v>
      </c>
      <c r="L29" s="86">
        <f t="shared" si="2"/>
        <v>19.000000000000039</v>
      </c>
      <c r="M29" s="98"/>
      <c r="O29" s="86" t="s">
        <v>1</v>
      </c>
      <c r="P29" s="86">
        <v>21</v>
      </c>
      <c r="Q29" s="58">
        <v>7.15</v>
      </c>
      <c r="R29" s="96"/>
      <c r="S29" s="96"/>
      <c r="T29" s="53">
        <v>20.65</v>
      </c>
      <c r="U29" s="58">
        <f t="shared" si="3"/>
        <v>13.499999999999998</v>
      </c>
      <c r="V29" s="97">
        <v>7.3</v>
      </c>
      <c r="W29" s="58">
        <v>1</v>
      </c>
      <c r="X29" s="59">
        <f t="shared" si="4"/>
        <v>5.1999999999999984</v>
      </c>
      <c r="Y29" s="86">
        <v>5</v>
      </c>
      <c r="Z29" s="86">
        <f t="shared" si="5"/>
        <v>19.99999999999984</v>
      </c>
      <c r="AA29" s="98"/>
      <c r="AB29" s="86" t="s">
        <v>1</v>
      </c>
      <c r="AC29" s="86">
        <v>21</v>
      </c>
      <c r="AD29" s="58">
        <v>7.2</v>
      </c>
      <c r="AE29" s="96"/>
      <c r="AF29" s="96"/>
      <c r="AG29" s="53">
        <v>19.66</v>
      </c>
      <c r="AH29" s="58">
        <f t="shared" si="6"/>
        <v>12.46</v>
      </c>
      <c r="AI29" s="97">
        <v>7.3</v>
      </c>
      <c r="AJ29" s="58">
        <v>1</v>
      </c>
      <c r="AK29" s="59">
        <f t="shared" si="7"/>
        <v>4.160000000000001</v>
      </c>
      <c r="AL29" s="86">
        <v>4</v>
      </c>
      <c r="AM29" s="86">
        <f t="shared" si="8"/>
        <v>16.000000000000103</v>
      </c>
      <c r="AN29" s="98"/>
      <c r="AP29" s="86" t="s">
        <v>1</v>
      </c>
      <c r="AQ29" s="86">
        <v>21</v>
      </c>
      <c r="AR29" s="58">
        <v>7.15</v>
      </c>
      <c r="AS29" s="96"/>
      <c r="AT29" s="96"/>
      <c r="AU29" s="53">
        <v>20.62</v>
      </c>
      <c r="AV29" s="58">
        <f t="shared" si="9"/>
        <v>13.47</v>
      </c>
      <c r="AW29" s="97">
        <v>7.3</v>
      </c>
      <c r="AX29" s="58">
        <v>1</v>
      </c>
      <c r="AY29" s="59">
        <f t="shared" si="10"/>
        <v>5.1700000000000008</v>
      </c>
      <c r="AZ29" s="86">
        <v>5</v>
      </c>
      <c r="BA29" s="86">
        <f t="shared" si="11"/>
        <v>17.000000000000082</v>
      </c>
      <c r="BB29" s="98"/>
      <c r="BC29" s="86"/>
      <c r="BD29" s="86"/>
      <c r="BE29" s="58"/>
      <c r="BF29" s="58"/>
      <c r="BG29" s="58"/>
      <c r="BH29" s="58"/>
      <c r="BI29" s="58"/>
      <c r="BJ29" s="97"/>
      <c r="BK29" s="58"/>
      <c r="BL29" s="59"/>
      <c r="BM29" s="86"/>
      <c r="BN29" s="86"/>
      <c r="BO29" s="98"/>
      <c r="BQ29" s="86" t="s">
        <v>1</v>
      </c>
      <c r="BR29" s="86">
        <v>21</v>
      </c>
      <c r="BS29" s="58">
        <v>7.1</v>
      </c>
      <c r="BT29" s="96"/>
      <c r="BU29" s="96"/>
      <c r="BV29" s="53">
        <v>20.62</v>
      </c>
      <c r="BW29" s="58">
        <f t="shared" si="12"/>
        <v>13.520000000000001</v>
      </c>
      <c r="BX29" s="97">
        <v>7.3</v>
      </c>
      <c r="BY29" s="58">
        <v>1</v>
      </c>
      <c r="BZ29" s="59">
        <f t="shared" si="13"/>
        <v>5.2200000000000015</v>
      </c>
      <c r="CA29" s="86">
        <v>5</v>
      </c>
      <c r="CB29" s="86">
        <f t="shared" si="14"/>
        <v>22.000000000000153</v>
      </c>
      <c r="CC29" s="98"/>
      <c r="CE29" s="86" t="s">
        <v>1</v>
      </c>
      <c r="CF29" s="86">
        <v>21</v>
      </c>
      <c r="CG29" s="99">
        <v>9</v>
      </c>
      <c r="CH29" s="96"/>
      <c r="CI29" s="96"/>
      <c r="CJ29" s="53">
        <v>20.77</v>
      </c>
      <c r="CK29" s="58">
        <f t="shared" si="15"/>
        <v>11.77</v>
      </c>
      <c r="CL29" s="97">
        <v>7.3</v>
      </c>
      <c r="CM29" s="58">
        <v>1</v>
      </c>
      <c r="CN29" s="59">
        <f t="shared" si="16"/>
        <v>3.4699999999999998</v>
      </c>
      <c r="CO29" s="86">
        <v>3</v>
      </c>
      <c r="CP29" s="86">
        <f t="shared" si="17"/>
        <v>46.999999999999972</v>
      </c>
      <c r="CQ29" s="98"/>
      <c r="CR29" s="86" t="s">
        <v>1</v>
      </c>
      <c r="CS29" s="86">
        <v>21</v>
      </c>
      <c r="CT29" s="58">
        <v>7.2</v>
      </c>
      <c r="CU29" s="96"/>
      <c r="CV29" s="96"/>
      <c r="CW29" s="53">
        <v>20.62</v>
      </c>
      <c r="CX29" s="58">
        <f t="shared" si="18"/>
        <v>13.420000000000002</v>
      </c>
      <c r="CY29" s="97">
        <v>7.3</v>
      </c>
      <c r="CZ29" s="58">
        <v>1</v>
      </c>
      <c r="DA29" s="59">
        <f t="shared" si="19"/>
        <v>5.1200000000000019</v>
      </c>
      <c r="DB29" s="86">
        <v>5</v>
      </c>
      <c r="DC29" s="86">
        <f t="shared" si="20"/>
        <v>12.000000000000188</v>
      </c>
      <c r="DD29" s="98"/>
      <c r="DF29" s="86" t="s">
        <v>1</v>
      </c>
      <c r="DG29" s="86">
        <v>21</v>
      </c>
      <c r="DH29" s="58">
        <v>7.4</v>
      </c>
      <c r="DI29" s="96"/>
      <c r="DJ29" s="96"/>
      <c r="DK29" s="53">
        <v>20.61</v>
      </c>
      <c r="DL29" s="58">
        <f t="shared" si="21"/>
        <v>13.209999999999999</v>
      </c>
      <c r="DM29" s="97">
        <v>7.3</v>
      </c>
      <c r="DN29" s="58">
        <v>1.4</v>
      </c>
      <c r="DO29" s="59">
        <f t="shared" si="22"/>
        <v>4.51</v>
      </c>
      <c r="DP29" s="86">
        <v>4</v>
      </c>
      <c r="DQ29" s="86">
        <f t="shared" si="23"/>
        <v>50.999999999999979</v>
      </c>
      <c r="DR29" s="98"/>
      <c r="DT29" s="86" t="s">
        <v>1</v>
      </c>
      <c r="DU29" s="86">
        <v>21</v>
      </c>
      <c r="DV29" s="58">
        <v>7.5</v>
      </c>
      <c r="DW29" s="96"/>
      <c r="DX29" s="96"/>
      <c r="DY29" s="53">
        <v>20.62</v>
      </c>
      <c r="DZ29" s="58">
        <f t="shared" si="24"/>
        <v>13.120000000000001</v>
      </c>
      <c r="EA29" s="97">
        <v>7.3</v>
      </c>
      <c r="EB29" s="58">
        <v>1.4</v>
      </c>
      <c r="EC29" s="59">
        <f t="shared" si="25"/>
        <v>4.4200000000000017</v>
      </c>
      <c r="ED29" s="86">
        <v>4</v>
      </c>
      <c r="EE29" s="86">
        <f t="shared" si="26"/>
        <v>42.000000000000171</v>
      </c>
      <c r="EF29" s="98"/>
      <c r="EG29" s="86" t="s">
        <v>1</v>
      </c>
      <c r="EH29" s="86">
        <v>21</v>
      </c>
      <c r="EI29" s="58">
        <v>7.2</v>
      </c>
      <c r="EJ29" s="96"/>
      <c r="EK29" s="96"/>
      <c r="EL29" s="53">
        <v>20.62</v>
      </c>
      <c r="EM29" s="58">
        <f t="shared" si="27"/>
        <v>13.420000000000002</v>
      </c>
      <c r="EN29" s="97">
        <v>7.3</v>
      </c>
      <c r="EO29" s="58">
        <v>1</v>
      </c>
      <c r="EP29" s="59">
        <f t="shared" si="28"/>
        <v>5.1200000000000019</v>
      </c>
      <c r="EQ29" s="86">
        <v>5</v>
      </c>
      <c r="ER29" s="86">
        <f t="shared" si="29"/>
        <v>12.000000000000188</v>
      </c>
      <c r="ES29" s="98"/>
      <c r="EU29" s="86" t="s">
        <v>1</v>
      </c>
      <c r="EV29" s="86">
        <v>21</v>
      </c>
      <c r="EW29" s="58">
        <v>7.1</v>
      </c>
      <c r="EX29" s="96"/>
      <c r="EY29" s="96"/>
      <c r="EZ29" s="53">
        <v>20.94</v>
      </c>
      <c r="FA29" s="58">
        <f t="shared" si="59"/>
        <v>13.840000000000002</v>
      </c>
      <c r="FB29" s="97">
        <v>7.3</v>
      </c>
      <c r="FC29" s="58">
        <v>1</v>
      </c>
      <c r="FD29" s="59">
        <f t="shared" si="30"/>
        <v>5.5400000000000018</v>
      </c>
      <c r="FE29" s="86">
        <v>5</v>
      </c>
      <c r="FF29" s="86">
        <f t="shared" si="31"/>
        <v>54.000000000000185</v>
      </c>
      <c r="FG29" s="98"/>
      <c r="FH29" s="86" t="s">
        <v>1</v>
      </c>
      <c r="FI29" s="86">
        <v>21</v>
      </c>
      <c r="FJ29" s="58">
        <v>7.15</v>
      </c>
      <c r="FK29" s="96"/>
      <c r="FL29" s="96"/>
      <c r="FM29" s="53">
        <v>20.76</v>
      </c>
      <c r="FN29" s="58">
        <f t="shared" si="32"/>
        <v>13.610000000000001</v>
      </c>
      <c r="FO29" s="97">
        <v>7.3</v>
      </c>
      <c r="FP29" s="58">
        <v>1</v>
      </c>
      <c r="FQ29" s="59">
        <f t="shared" si="33"/>
        <v>5.3100000000000014</v>
      </c>
      <c r="FR29" s="86">
        <v>5</v>
      </c>
      <c r="FS29" s="86">
        <f t="shared" si="34"/>
        <v>31.000000000000139</v>
      </c>
      <c r="FT29" s="98"/>
      <c r="FV29" s="86" t="s">
        <v>1</v>
      </c>
      <c r="FW29" s="86">
        <v>21</v>
      </c>
      <c r="FX29" s="58">
        <v>7.35</v>
      </c>
      <c r="FY29" s="96"/>
      <c r="FZ29" s="96"/>
      <c r="GA29" s="53">
        <v>20.67</v>
      </c>
      <c r="GB29" s="58">
        <f t="shared" si="35"/>
        <v>13.320000000000002</v>
      </c>
      <c r="GC29" s="97">
        <v>7.3</v>
      </c>
      <c r="GD29" s="58">
        <v>1</v>
      </c>
      <c r="GE29" s="59">
        <f t="shared" si="36"/>
        <v>5.0200000000000022</v>
      </c>
      <c r="GF29" s="86">
        <v>5</v>
      </c>
      <c r="GG29" s="86">
        <f t="shared" si="37"/>
        <v>2.0000000000002238</v>
      </c>
      <c r="GH29" s="98"/>
      <c r="GI29" s="86" t="s">
        <v>1</v>
      </c>
      <c r="GJ29" s="86">
        <v>21</v>
      </c>
      <c r="GK29" s="58">
        <v>7.1</v>
      </c>
      <c r="GL29" s="96"/>
      <c r="GM29" s="96"/>
      <c r="GN29" s="53">
        <v>19.600000000000001</v>
      </c>
      <c r="GO29" s="58">
        <f t="shared" si="38"/>
        <v>12.500000000000002</v>
      </c>
      <c r="GP29" s="97">
        <v>7.3</v>
      </c>
      <c r="GQ29" s="58">
        <v>1</v>
      </c>
      <c r="GR29" s="59">
        <f t="shared" si="39"/>
        <v>4.200000000000002</v>
      </c>
      <c r="GS29" s="86">
        <v>4</v>
      </c>
      <c r="GT29" s="86">
        <f t="shared" si="40"/>
        <v>20.000000000000195</v>
      </c>
      <c r="GU29" s="98"/>
      <c r="GW29" s="86" t="s">
        <v>1</v>
      </c>
      <c r="GX29" s="86">
        <v>21</v>
      </c>
      <c r="GY29" s="58">
        <v>7.1</v>
      </c>
      <c r="GZ29" s="96"/>
      <c r="HA29" s="96"/>
      <c r="HB29" s="53">
        <v>19.100000000000001</v>
      </c>
      <c r="HC29" s="58">
        <f t="shared" si="41"/>
        <v>12.000000000000002</v>
      </c>
      <c r="HD29" s="97">
        <v>7.3</v>
      </c>
      <c r="HE29" s="58">
        <v>1.4</v>
      </c>
      <c r="HF29" s="59">
        <f t="shared" si="42"/>
        <v>3.300000000000002</v>
      </c>
      <c r="HG29" s="86">
        <v>3</v>
      </c>
      <c r="HH29" s="86">
        <f t="shared" si="43"/>
        <v>30.000000000000206</v>
      </c>
      <c r="HI29" s="103" t="s">
        <v>228</v>
      </c>
      <c r="HJ29" s="86" t="s">
        <v>1</v>
      </c>
      <c r="HK29" s="86">
        <v>21</v>
      </c>
      <c r="HL29" s="58">
        <v>7.1</v>
      </c>
      <c r="HM29" s="96"/>
      <c r="HN29" s="96"/>
      <c r="HO29" s="53">
        <v>20.63</v>
      </c>
      <c r="HP29" s="58">
        <f t="shared" si="44"/>
        <v>13.53</v>
      </c>
      <c r="HQ29" s="97">
        <v>7.3</v>
      </c>
      <c r="HR29" s="58">
        <v>1</v>
      </c>
      <c r="HS29" s="59">
        <f t="shared" si="45"/>
        <v>5.2299999999999995</v>
      </c>
      <c r="HT29" s="86">
        <v>5</v>
      </c>
      <c r="HU29" s="86">
        <f t="shared" si="46"/>
        <v>22.999999999999954</v>
      </c>
      <c r="HV29" s="98"/>
      <c r="HX29" s="86"/>
      <c r="HY29" s="86"/>
      <c r="HZ29" s="58"/>
      <c r="IA29" s="58"/>
      <c r="IB29" s="58"/>
      <c r="IC29" s="58"/>
      <c r="ID29" s="58"/>
      <c r="IE29" s="97"/>
      <c r="IF29" s="58"/>
      <c r="IG29" s="59"/>
      <c r="IH29" s="86"/>
      <c r="II29" s="86"/>
      <c r="IJ29" s="98"/>
      <c r="IK29" s="86" t="s">
        <v>1</v>
      </c>
      <c r="IL29" s="86">
        <v>21</v>
      </c>
      <c r="IM29" s="58">
        <v>7.05</v>
      </c>
      <c r="IN29" s="96"/>
      <c r="IO29" s="96"/>
      <c r="IP29" s="53">
        <v>20.63</v>
      </c>
      <c r="IQ29" s="58">
        <f t="shared" si="47"/>
        <v>13.579999999999998</v>
      </c>
      <c r="IR29" s="97">
        <v>7.3</v>
      </c>
      <c r="IS29" s="58">
        <v>1</v>
      </c>
      <c r="IT29" s="59">
        <f t="shared" si="48"/>
        <v>5.2799999999999985</v>
      </c>
      <c r="IU29" s="86">
        <v>5</v>
      </c>
      <c r="IV29" s="86">
        <f t="shared" si="49"/>
        <v>27.999999999999847</v>
      </c>
      <c r="IW29" s="98"/>
      <c r="IY29" s="86" t="s">
        <v>1</v>
      </c>
      <c r="IZ29" s="86">
        <v>21</v>
      </c>
      <c r="JA29" s="58">
        <v>7.1</v>
      </c>
      <c r="JB29" s="96"/>
      <c r="JC29" s="96"/>
      <c r="JD29" s="53">
        <v>20.62</v>
      </c>
      <c r="JE29" s="58">
        <f t="shared" si="50"/>
        <v>13.520000000000001</v>
      </c>
      <c r="JF29" s="97">
        <v>7.3</v>
      </c>
      <c r="JG29" s="58">
        <v>1</v>
      </c>
      <c r="JH29" s="59">
        <f t="shared" si="51"/>
        <v>5.2200000000000015</v>
      </c>
      <c r="JI29" s="86">
        <v>5</v>
      </c>
      <c r="JJ29" s="86">
        <f t="shared" si="52"/>
        <v>22.000000000000153</v>
      </c>
      <c r="JK29" s="98"/>
      <c r="JL29" s="86" t="s">
        <v>1</v>
      </c>
      <c r="JM29" s="86">
        <v>21</v>
      </c>
      <c r="JN29" s="58">
        <v>7.15</v>
      </c>
      <c r="JO29" s="96"/>
      <c r="JP29" s="96"/>
      <c r="JQ29" s="53">
        <v>19.66</v>
      </c>
      <c r="JR29" s="58">
        <f t="shared" si="53"/>
        <v>12.51</v>
      </c>
      <c r="JS29" s="97">
        <v>7.3</v>
      </c>
      <c r="JT29" s="58">
        <v>1</v>
      </c>
      <c r="JU29" s="59">
        <f t="shared" si="54"/>
        <v>4.21</v>
      </c>
      <c r="JV29" s="86">
        <v>4</v>
      </c>
      <c r="JW29" s="86">
        <f t="shared" si="55"/>
        <v>20.999999999999996</v>
      </c>
      <c r="JX29" s="98"/>
      <c r="JZ29" s="86" t="s">
        <v>1</v>
      </c>
      <c r="KA29" s="86">
        <v>21</v>
      </c>
      <c r="KB29" s="58">
        <v>7.2</v>
      </c>
      <c r="KC29" s="96"/>
      <c r="KD29" s="96"/>
      <c r="KE29" s="53">
        <v>20.61</v>
      </c>
      <c r="KF29" s="58">
        <f t="shared" si="56"/>
        <v>13.41</v>
      </c>
      <c r="KG29" s="97">
        <v>7.3</v>
      </c>
      <c r="KH29" s="58">
        <v>1</v>
      </c>
      <c r="KI29" s="59">
        <f t="shared" si="57"/>
        <v>5.1100000000000003</v>
      </c>
      <c r="KJ29" s="86">
        <v>5</v>
      </c>
      <c r="KK29" s="86">
        <f t="shared" si="58"/>
        <v>11.000000000000032</v>
      </c>
      <c r="KL29" s="98"/>
    </row>
    <row r="30" spans="1:298" ht="17.149999999999999" customHeight="1" x14ac:dyDescent="0.35">
      <c r="A30" s="86" t="s">
        <v>216</v>
      </c>
      <c r="B30" s="86">
        <v>22</v>
      </c>
      <c r="C30" s="58">
        <v>7.15</v>
      </c>
      <c r="D30" s="96"/>
      <c r="E30" s="96"/>
      <c r="F30" s="53">
        <v>20.5</v>
      </c>
      <c r="G30" s="58">
        <f t="shared" si="0"/>
        <v>13.35</v>
      </c>
      <c r="H30" s="97">
        <v>7.3</v>
      </c>
      <c r="I30" s="58">
        <v>1</v>
      </c>
      <c r="J30" s="59">
        <f t="shared" si="1"/>
        <v>5.05</v>
      </c>
      <c r="K30" s="86">
        <v>5</v>
      </c>
      <c r="L30" s="86">
        <f t="shared" si="2"/>
        <v>4.9999999999999822</v>
      </c>
      <c r="M30" s="98"/>
      <c r="O30" s="86" t="s">
        <v>216</v>
      </c>
      <c r="P30" s="86">
        <v>22</v>
      </c>
      <c r="Q30" s="58">
        <v>7.15</v>
      </c>
      <c r="R30" s="96"/>
      <c r="S30" s="96"/>
      <c r="T30" s="53">
        <v>20.57</v>
      </c>
      <c r="U30" s="58">
        <f t="shared" si="3"/>
        <v>13.42</v>
      </c>
      <c r="V30" s="97">
        <v>7.3</v>
      </c>
      <c r="W30" s="58">
        <v>1</v>
      </c>
      <c r="X30" s="59">
        <f t="shared" si="4"/>
        <v>5.12</v>
      </c>
      <c r="Y30" s="86">
        <v>5</v>
      </c>
      <c r="Z30" s="86">
        <f t="shared" si="5"/>
        <v>12.000000000000011</v>
      </c>
      <c r="AA30" s="98"/>
      <c r="AB30" s="86" t="s">
        <v>216</v>
      </c>
      <c r="AC30" s="86">
        <v>22</v>
      </c>
      <c r="AD30" s="58">
        <v>7.2</v>
      </c>
      <c r="AE30" s="96"/>
      <c r="AF30" s="96"/>
      <c r="AG30" s="53">
        <v>18.62</v>
      </c>
      <c r="AH30" s="58">
        <f t="shared" si="6"/>
        <v>11.420000000000002</v>
      </c>
      <c r="AI30" s="97">
        <v>7.3</v>
      </c>
      <c r="AJ30" s="58">
        <v>1</v>
      </c>
      <c r="AK30" s="59">
        <f t="shared" si="7"/>
        <v>3.1200000000000019</v>
      </c>
      <c r="AL30" s="86">
        <v>3</v>
      </c>
      <c r="AM30" s="86">
        <f t="shared" si="8"/>
        <v>12.000000000000188</v>
      </c>
      <c r="AN30" s="98"/>
      <c r="AP30" s="86" t="s">
        <v>216</v>
      </c>
      <c r="AQ30" s="86">
        <v>22</v>
      </c>
      <c r="AR30" s="58">
        <v>7.15</v>
      </c>
      <c r="AS30" s="96"/>
      <c r="AT30" s="96"/>
      <c r="AU30" s="53">
        <v>20.59</v>
      </c>
      <c r="AV30" s="58">
        <f t="shared" si="9"/>
        <v>13.44</v>
      </c>
      <c r="AW30" s="97">
        <v>7.3</v>
      </c>
      <c r="AX30" s="58">
        <v>1</v>
      </c>
      <c r="AY30" s="59">
        <f t="shared" si="10"/>
        <v>5.14</v>
      </c>
      <c r="AZ30" s="86">
        <v>5</v>
      </c>
      <c r="BA30" s="86">
        <f t="shared" si="11"/>
        <v>13.999999999999968</v>
      </c>
      <c r="BB30" s="98"/>
      <c r="BC30" s="86"/>
      <c r="BD30" s="86"/>
      <c r="BE30" s="58"/>
      <c r="BF30" s="58"/>
      <c r="BG30" s="58"/>
      <c r="BH30" s="58"/>
      <c r="BI30" s="58"/>
      <c r="BJ30" s="97"/>
      <c r="BK30" s="58"/>
      <c r="BL30" s="59"/>
      <c r="BM30" s="86"/>
      <c r="BN30" s="86"/>
      <c r="BO30" s="98"/>
      <c r="BQ30" s="86" t="s">
        <v>216</v>
      </c>
      <c r="BR30" s="86">
        <v>22</v>
      </c>
      <c r="BS30" s="58">
        <v>7.1</v>
      </c>
      <c r="BT30" s="96"/>
      <c r="BU30" s="96"/>
      <c r="BV30" s="53">
        <v>20.47</v>
      </c>
      <c r="BW30" s="58">
        <f t="shared" si="12"/>
        <v>13.37</v>
      </c>
      <c r="BX30" s="97">
        <v>7.3</v>
      </c>
      <c r="BY30" s="58">
        <v>1</v>
      </c>
      <c r="BZ30" s="59">
        <f t="shared" si="13"/>
        <v>5.0699999999999994</v>
      </c>
      <c r="CA30" s="86">
        <v>5</v>
      </c>
      <c r="CB30" s="86">
        <f t="shared" si="14"/>
        <v>6.9999999999999396</v>
      </c>
      <c r="CC30" s="98"/>
      <c r="CE30" s="86" t="s">
        <v>216</v>
      </c>
      <c r="CF30" s="86">
        <v>22</v>
      </c>
      <c r="CG30" s="58">
        <v>7.25</v>
      </c>
      <c r="CH30" s="96"/>
      <c r="CI30" s="96"/>
      <c r="CJ30" s="53">
        <v>20.66</v>
      </c>
      <c r="CK30" s="58">
        <f t="shared" si="15"/>
        <v>13.41</v>
      </c>
      <c r="CL30" s="97">
        <v>7.3</v>
      </c>
      <c r="CM30" s="58">
        <v>1</v>
      </c>
      <c r="CN30" s="59">
        <f t="shared" si="16"/>
        <v>5.1100000000000003</v>
      </c>
      <c r="CO30" s="86">
        <v>5</v>
      </c>
      <c r="CP30" s="86">
        <f t="shared" si="17"/>
        <v>11.000000000000032</v>
      </c>
      <c r="CQ30" s="98"/>
      <c r="CR30" s="86" t="s">
        <v>216</v>
      </c>
      <c r="CS30" s="86">
        <v>22</v>
      </c>
      <c r="CT30" s="58">
        <v>7.2</v>
      </c>
      <c r="CU30" s="96"/>
      <c r="CV30" s="96"/>
      <c r="CW30" s="53">
        <v>20.47</v>
      </c>
      <c r="CX30" s="58">
        <f t="shared" si="18"/>
        <v>13.27</v>
      </c>
      <c r="CY30" s="97">
        <v>7.3</v>
      </c>
      <c r="CZ30" s="58">
        <v>1.4</v>
      </c>
      <c r="DA30" s="59">
        <f t="shared" si="19"/>
        <v>4.57</v>
      </c>
      <c r="DB30" s="86">
        <v>4</v>
      </c>
      <c r="DC30" s="86">
        <f t="shared" si="20"/>
        <v>57.000000000000028</v>
      </c>
      <c r="DD30" s="98"/>
      <c r="DF30" s="86" t="s">
        <v>216</v>
      </c>
      <c r="DG30" s="86">
        <v>22</v>
      </c>
      <c r="DH30" s="99">
        <v>8.1999999999999993</v>
      </c>
      <c r="DI30" s="96"/>
      <c r="DJ30" s="96"/>
      <c r="DK30" s="53">
        <v>20.63</v>
      </c>
      <c r="DL30" s="58">
        <f t="shared" si="21"/>
        <v>12.43</v>
      </c>
      <c r="DM30" s="97">
        <v>7.3</v>
      </c>
      <c r="DN30" s="58">
        <v>1.4</v>
      </c>
      <c r="DO30" s="59">
        <f t="shared" si="22"/>
        <v>3.73</v>
      </c>
      <c r="DP30" s="86">
        <v>4</v>
      </c>
      <c r="DQ30" s="86">
        <f t="shared" si="23"/>
        <v>-27</v>
      </c>
      <c r="DR30" s="98"/>
      <c r="DT30" s="86" t="s">
        <v>216</v>
      </c>
      <c r="DU30" s="86">
        <v>22</v>
      </c>
      <c r="DV30" s="58">
        <v>7.5</v>
      </c>
      <c r="DW30" s="96"/>
      <c r="DX30" s="96"/>
      <c r="DY30" s="53">
        <v>20.49</v>
      </c>
      <c r="DZ30" s="58">
        <f t="shared" si="24"/>
        <v>12.989999999999998</v>
      </c>
      <c r="EA30" s="97">
        <v>7.3</v>
      </c>
      <c r="EB30" s="58">
        <v>1.4</v>
      </c>
      <c r="EC30" s="59">
        <f t="shared" si="25"/>
        <v>4.2899999999999991</v>
      </c>
      <c r="ED30" s="86">
        <v>4</v>
      </c>
      <c r="EE30" s="86">
        <f t="shared" si="26"/>
        <v>28.999999999999915</v>
      </c>
      <c r="EF30" s="98"/>
      <c r="EG30" s="86" t="s">
        <v>216</v>
      </c>
      <c r="EH30" s="86">
        <v>22</v>
      </c>
      <c r="EI30" s="58">
        <v>7.2</v>
      </c>
      <c r="EJ30" s="96"/>
      <c r="EK30" s="96"/>
      <c r="EL30" s="53">
        <v>20.61</v>
      </c>
      <c r="EM30" s="58">
        <f t="shared" si="27"/>
        <v>13.41</v>
      </c>
      <c r="EN30" s="97">
        <v>7.3</v>
      </c>
      <c r="EO30" s="58">
        <v>1</v>
      </c>
      <c r="EP30" s="59">
        <f t="shared" si="28"/>
        <v>5.1100000000000003</v>
      </c>
      <c r="EQ30" s="86">
        <v>5</v>
      </c>
      <c r="ER30" s="86">
        <f t="shared" si="29"/>
        <v>11.000000000000032</v>
      </c>
      <c r="ES30" s="98"/>
      <c r="EU30" s="86" t="s">
        <v>216</v>
      </c>
      <c r="EV30" s="86">
        <v>22</v>
      </c>
      <c r="EW30" s="58">
        <v>7.1</v>
      </c>
      <c r="EX30" s="96"/>
      <c r="EY30" s="96"/>
      <c r="EZ30" s="53">
        <v>20.6</v>
      </c>
      <c r="FA30" s="58">
        <f t="shared" si="59"/>
        <v>13.500000000000002</v>
      </c>
      <c r="FB30" s="97">
        <v>7.3</v>
      </c>
      <c r="FC30" s="58">
        <v>1</v>
      </c>
      <c r="FD30" s="59">
        <f t="shared" si="30"/>
        <v>5.200000000000002</v>
      </c>
      <c r="FE30" s="86">
        <v>5</v>
      </c>
      <c r="FF30" s="86">
        <f t="shared" si="31"/>
        <v>20.000000000000195</v>
      </c>
      <c r="FG30" s="98"/>
      <c r="FH30" s="86" t="s">
        <v>216</v>
      </c>
      <c r="FI30" s="86">
        <v>22</v>
      </c>
      <c r="FJ30" s="58">
        <v>7.15</v>
      </c>
      <c r="FK30" s="96"/>
      <c r="FL30" s="96"/>
      <c r="FM30" s="53">
        <v>20.48</v>
      </c>
      <c r="FN30" s="58">
        <f t="shared" si="32"/>
        <v>13.33</v>
      </c>
      <c r="FO30" s="97">
        <v>7.3</v>
      </c>
      <c r="FP30" s="58">
        <v>1</v>
      </c>
      <c r="FQ30" s="59">
        <f t="shared" si="33"/>
        <v>5.03</v>
      </c>
      <c r="FR30" s="86">
        <v>5</v>
      </c>
      <c r="FS30" s="86">
        <f t="shared" si="34"/>
        <v>3.0000000000000249</v>
      </c>
      <c r="FT30" s="98"/>
      <c r="FV30" s="86" t="s">
        <v>216</v>
      </c>
      <c r="FW30" s="86">
        <v>22</v>
      </c>
      <c r="FX30" s="58">
        <v>7.35</v>
      </c>
      <c r="FY30" s="96"/>
      <c r="FZ30" s="96"/>
      <c r="GA30" s="53">
        <v>11.53</v>
      </c>
      <c r="GB30" s="58">
        <f t="shared" ref="GB30" si="60">SUM(FY30-FX30)+(GA30-FZ30)</f>
        <v>4.18</v>
      </c>
      <c r="GC30" s="97">
        <v>7.3</v>
      </c>
      <c r="GD30" s="58">
        <v>1</v>
      </c>
      <c r="GE30" s="59">
        <f t="shared" ref="GE30" si="61">SUM((GB30-GC30)-GD30)</f>
        <v>-4.12</v>
      </c>
      <c r="GF30" s="86">
        <v>-4</v>
      </c>
      <c r="GG30" s="86">
        <f t="shared" ref="GG30" si="62">SUM(GE30-GF30)*100</f>
        <v>-12.000000000000011</v>
      </c>
      <c r="GH30" s="98" t="s">
        <v>217</v>
      </c>
      <c r="GI30" s="86" t="s">
        <v>216</v>
      </c>
      <c r="GJ30" s="86">
        <v>22</v>
      </c>
      <c r="GK30" s="58">
        <v>7.1</v>
      </c>
      <c r="GL30" s="96"/>
      <c r="GM30" s="96"/>
      <c r="GN30" s="53">
        <v>19.57</v>
      </c>
      <c r="GO30" s="58">
        <f t="shared" si="38"/>
        <v>12.47</v>
      </c>
      <c r="GP30" s="97">
        <v>7.3</v>
      </c>
      <c r="GQ30" s="58">
        <v>1</v>
      </c>
      <c r="GR30" s="59">
        <f t="shared" si="39"/>
        <v>4.1700000000000008</v>
      </c>
      <c r="GS30" s="86">
        <v>4</v>
      </c>
      <c r="GT30" s="86">
        <f t="shared" si="40"/>
        <v>17.000000000000082</v>
      </c>
      <c r="GU30" s="98"/>
      <c r="GW30" s="86" t="s">
        <v>216</v>
      </c>
      <c r="GX30" s="86">
        <v>22</v>
      </c>
      <c r="GY30" s="58">
        <v>7.1</v>
      </c>
      <c r="GZ30" s="96"/>
      <c r="HA30" s="96"/>
      <c r="HB30" s="53">
        <v>19.100000000000001</v>
      </c>
      <c r="HC30" s="58">
        <f t="shared" si="41"/>
        <v>12.000000000000002</v>
      </c>
      <c r="HD30" s="97">
        <v>7.3</v>
      </c>
      <c r="HE30" s="58">
        <v>1.4</v>
      </c>
      <c r="HF30" s="59">
        <f t="shared" si="42"/>
        <v>3.300000000000002</v>
      </c>
      <c r="HG30" s="86">
        <v>3</v>
      </c>
      <c r="HH30" s="86">
        <f t="shared" si="43"/>
        <v>30.000000000000206</v>
      </c>
      <c r="HI30" s="103" t="s">
        <v>228</v>
      </c>
      <c r="HJ30" s="86" t="s">
        <v>216</v>
      </c>
      <c r="HK30" s="86">
        <v>22</v>
      </c>
      <c r="HL30" s="58">
        <v>7.1</v>
      </c>
      <c r="HM30" s="96"/>
      <c r="HN30" s="96"/>
      <c r="HO30" s="53">
        <v>20.5</v>
      </c>
      <c r="HP30" s="58">
        <f t="shared" si="44"/>
        <v>13.4</v>
      </c>
      <c r="HQ30" s="97">
        <v>7.3</v>
      </c>
      <c r="HR30" s="58">
        <v>1</v>
      </c>
      <c r="HS30" s="59">
        <f t="shared" si="45"/>
        <v>5.1000000000000005</v>
      </c>
      <c r="HT30" s="86">
        <v>5</v>
      </c>
      <c r="HU30" s="86">
        <f t="shared" si="46"/>
        <v>10.000000000000053</v>
      </c>
      <c r="HV30" s="98"/>
      <c r="HX30" s="86"/>
      <c r="HY30" s="86"/>
      <c r="HZ30" s="58"/>
      <c r="IA30" s="58"/>
      <c r="IB30" s="58"/>
      <c r="IC30" s="58"/>
      <c r="ID30" s="58"/>
      <c r="IE30" s="97"/>
      <c r="IF30" s="58"/>
      <c r="IG30" s="59"/>
      <c r="IH30" s="86"/>
      <c r="II30" s="86"/>
      <c r="IJ30" s="98"/>
      <c r="IK30" s="86" t="s">
        <v>216</v>
      </c>
      <c r="IL30" s="86">
        <v>22</v>
      </c>
      <c r="IM30" s="58">
        <v>7.05</v>
      </c>
      <c r="IN30" s="96"/>
      <c r="IO30" s="96"/>
      <c r="IP30" s="53">
        <v>20.5</v>
      </c>
      <c r="IQ30" s="58">
        <f t="shared" si="47"/>
        <v>13.45</v>
      </c>
      <c r="IR30" s="97">
        <v>7.3</v>
      </c>
      <c r="IS30" s="58">
        <v>1</v>
      </c>
      <c r="IT30" s="59">
        <f t="shared" si="48"/>
        <v>5.1499999999999995</v>
      </c>
      <c r="IU30" s="86">
        <v>5</v>
      </c>
      <c r="IV30" s="86">
        <f t="shared" si="49"/>
        <v>14.999999999999947</v>
      </c>
      <c r="IW30" s="98"/>
      <c r="IY30" s="86" t="s">
        <v>216</v>
      </c>
      <c r="IZ30" s="86">
        <v>22</v>
      </c>
      <c r="JA30" s="58">
        <v>7.1</v>
      </c>
      <c r="JB30" s="96"/>
      <c r="JC30" s="96"/>
      <c r="JD30" s="53">
        <v>20.47</v>
      </c>
      <c r="JE30" s="58">
        <f t="shared" si="50"/>
        <v>13.37</v>
      </c>
      <c r="JF30" s="97">
        <v>7.3</v>
      </c>
      <c r="JG30" s="58">
        <v>1</v>
      </c>
      <c r="JH30" s="59">
        <f t="shared" si="51"/>
        <v>5.0699999999999994</v>
      </c>
      <c r="JI30" s="86">
        <v>5</v>
      </c>
      <c r="JJ30" s="86">
        <f t="shared" si="52"/>
        <v>6.9999999999999396</v>
      </c>
      <c r="JK30" s="98"/>
      <c r="JL30" s="86" t="s">
        <v>216</v>
      </c>
      <c r="JM30" s="86">
        <v>22</v>
      </c>
      <c r="JN30" s="58">
        <v>7.15</v>
      </c>
      <c r="JO30" s="96"/>
      <c r="JP30" s="96"/>
      <c r="JQ30" s="53">
        <v>18.62</v>
      </c>
      <c r="JR30" s="58">
        <f t="shared" si="53"/>
        <v>11.47</v>
      </c>
      <c r="JS30" s="97">
        <v>7.3</v>
      </c>
      <c r="JT30" s="58">
        <v>1</v>
      </c>
      <c r="JU30" s="59">
        <f t="shared" si="54"/>
        <v>3.1700000000000008</v>
      </c>
      <c r="JV30" s="86">
        <v>3</v>
      </c>
      <c r="JW30" s="86">
        <f t="shared" si="55"/>
        <v>17.000000000000082</v>
      </c>
      <c r="JX30" s="98"/>
      <c r="JZ30" s="86" t="s">
        <v>216</v>
      </c>
      <c r="KA30" s="86">
        <v>22</v>
      </c>
      <c r="KB30" s="58">
        <v>7.2</v>
      </c>
      <c r="KC30" s="96"/>
      <c r="KD30" s="96"/>
      <c r="KE30" s="53">
        <v>20.5</v>
      </c>
      <c r="KF30" s="58">
        <f t="shared" si="56"/>
        <v>13.3</v>
      </c>
      <c r="KG30" s="97">
        <v>7.3</v>
      </c>
      <c r="KH30" s="58">
        <v>1.4</v>
      </c>
      <c r="KI30" s="59">
        <f t="shared" si="57"/>
        <v>4.6000000000000014</v>
      </c>
      <c r="KJ30" s="86">
        <v>4</v>
      </c>
      <c r="KK30" s="86">
        <f t="shared" si="58"/>
        <v>60.000000000000142</v>
      </c>
      <c r="KL30" s="98"/>
    </row>
    <row r="31" spans="1:298" ht="17.149999999999999" customHeight="1" x14ac:dyDescent="0.35">
      <c r="A31" s="86" t="s">
        <v>2</v>
      </c>
      <c r="B31" s="86">
        <v>23</v>
      </c>
      <c r="C31" s="58">
        <v>7.15</v>
      </c>
      <c r="D31" s="96"/>
      <c r="E31" s="96"/>
      <c r="F31" s="53">
        <v>20.88</v>
      </c>
      <c r="G31" s="58">
        <f t="shared" si="0"/>
        <v>13.729999999999999</v>
      </c>
      <c r="H31" s="97">
        <v>7.3</v>
      </c>
      <c r="I31" s="58">
        <v>1</v>
      </c>
      <c r="J31" s="59">
        <f t="shared" si="1"/>
        <v>5.4299999999999988</v>
      </c>
      <c r="K31" s="86">
        <v>5</v>
      </c>
      <c r="L31" s="86">
        <f t="shared" si="2"/>
        <v>42.999999999999886</v>
      </c>
      <c r="M31" s="98"/>
      <c r="O31" s="86" t="s">
        <v>2</v>
      </c>
      <c r="P31" s="86">
        <v>23</v>
      </c>
      <c r="Q31" s="58">
        <v>7.15</v>
      </c>
      <c r="R31" s="96"/>
      <c r="S31" s="96"/>
      <c r="T31" s="53">
        <v>20.91</v>
      </c>
      <c r="U31" s="58">
        <f t="shared" si="3"/>
        <v>13.76</v>
      </c>
      <c r="V31" s="97">
        <v>7.3</v>
      </c>
      <c r="W31" s="58">
        <v>1</v>
      </c>
      <c r="X31" s="59">
        <f t="shared" si="4"/>
        <v>5.46</v>
      </c>
      <c r="Y31" s="86">
        <v>5</v>
      </c>
      <c r="Z31" s="86">
        <f t="shared" si="5"/>
        <v>46</v>
      </c>
      <c r="AA31" s="98"/>
      <c r="AB31" s="86" t="s">
        <v>2</v>
      </c>
      <c r="AC31" s="86">
        <v>23</v>
      </c>
      <c r="AD31" s="58">
        <v>7.2</v>
      </c>
      <c r="AE31" s="96"/>
      <c r="AF31" s="96"/>
      <c r="AG31" s="53">
        <v>19.649999999999999</v>
      </c>
      <c r="AH31" s="58">
        <f t="shared" si="6"/>
        <v>12.45</v>
      </c>
      <c r="AI31" s="97">
        <v>7.3</v>
      </c>
      <c r="AJ31" s="58">
        <v>1</v>
      </c>
      <c r="AK31" s="59">
        <f t="shared" si="7"/>
        <v>4.1499999999999995</v>
      </c>
      <c r="AL31" s="86">
        <v>4</v>
      </c>
      <c r="AM31" s="86">
        <f t="shared" si="8"/>
        <v>14.999999999999947</v>
      </c>
      <c r="AN31" s="98"/>
      <c r="AP31" s="86" t="s">
        <v>2</v>
      </c>
      <c r="AQ31" s="86">
        <v>23</v>
      </c>
      <c r="AR31" s="58">
        <v>7.15</v>
      </c>
      <c r="AS31" s="96"/>
      <c r="AT31" s="96"/>
      <c r="AU31" s="53">
        <v>20.92</v>
      </c>
      <c r="AV31" s="58">
        <f t="shared" si="9"/>
        <v>13.770000000000001</v>
      </c>
      <c r="AW31" s="97">
        <v>7.3</v>
      </c>
      <c r="AX31" s="58">
        <v>1</v>
      </c>
      <c r="AY31" s="59">
        <f t="shared" si="10"/>
        <v>5.4700000000000015</v>
      </c>
      <c r="AZ31" s="86">
        <v>5</v>
      </c>
      <c r="BA31" s="86">
        <f t="shared" si="11"/>
        <v>47.000000000000156</v>
      </c>
      <c r="BB31" s="98"/>
      <c r="BC31" s="55"/>
      <c r="BD31" s="55"/>
      <c r="BE31" s="52"/>
      <c r="BF31" s="52"/>
      <c r="BG31" s="52"/>
      <c r="BH31" s="52"/>
      <c r="BI31" s="52"/>
      <c r="BJ31" s="56"/>
      <c r="BK31" s="52"/>
      <c r="BL31" s="57"/>
      <c r="BM31" s="55"/>
      <c r="BN31" s="82"/>
      <c r="BO31" s="95"/>
      <c r="BQ31" s="86" t="s">
        <v>2</v>
      </c>
      <c r="BR31" s="86">
        <v>23</v>
      </c>
      <c r="BS31" s="58">
        <v>7.1</v>
      </c>
      <c r="BT31" s="96"/>
      <c r="BU31" s="96"/>
      <c r="BV31" s="53">
        <v>20.86</v>
      </c>
      <c r="BW31" s="58">
        <f t="shared" si="12"/>
        <v>13.76</v>
      </c>
      <c r="BX31" s="97">
        <v>7.3</v>
      </c>
      <c r="BY31" s="58">
        <v>1</v>
      </c>
      <c r="BZ31" s="59">
        <f t="shared" si="13"/>
        <v>5.46</v>
      </c>
      <c r="CA31" s="86">
        <v>5</v>
      </c>
      <c r="CB31" s="86">
        <f t="shared" si="14"/>
        <v>46</v>
      </c>
      <c r="CC31" s="98"/>
      <c r="CE31" s="86" t="s">
        <v>2</v>
      </c>
      <c r="CF31" s="86">
        <v>23</v>
      </c>
      <c r="CG31" s="99">
        <v>9</v>
      </c>
      <c r="CH31" s="96"/>
      <c r="CI31" s="96"/>
      <c r="CJ31" s="53">
        <v>21.43</v>
      </c>
      <c r="CK31" s="58">
        <f t="shared" si="15"/>
        <v>12.43</v>
      </c>
      <c r="CL31" s="97">
        <v>7.3</v>
      </c>
      <c r="CM31" s="58">
        <v>1</v>
      </c>
      <c r="CN31" s="59">
        <f t="shared" si="16"/>
        <v>4.13</v>
      </c>
      <c r="CO31" s="86">
        <v>4</v>
      </c>
      <c r="CP31" s="86">
        <f t="shared" si="17"/>
        <v>12.999999999999989</v>
      </c>
      <c r="CQ31" s="98"/>
      <c r="CR31" s="86" t="s">
        <v>2</v>
      </c>
      <c r="CS31" s="86">
        <v>23</v>
      </c>
      <c r="CT31" s="58">
        <v>7.2</v>
      </c>
      <c r="CU31" s="96"/>
      <c r="CV31" s="96"/>
      <c r="CW31" s="53">
        <v>20.86</v>
      </c>
      <c r="CX31" s="58">
        <f t="shared" si="18"/>
        <v>13.66</v>
      </c>
      <c r="CY31" s="97">
        <v>7.3</v>
      </c>
      <c r="CZ31" s="58">
        <v>1</v>
      </c>
      <c r="DA31" s="59">
        <f t="shared" si="19"/>
        <v>5.36</v>
      </c>
      <c r="DB31" s="86">
        <v>5</v>
      </c>
      <c r="DC31" s="86">
        <f t="shared" si="20"/>
        <v>36.000000000000028</v>
      </c>
      <c r="DD31" s="98"/>
      <c r="DF31" s="86" t="s">
        <v>2</v>
      </c>
      <c r="DG31" s="86">
        <v>23</v>
      </c>
      <c r="DH31" s="99">
        <v>8.1999999999999993</v>
      </c>
      <c r="DI31" s="96"/>
      <c r="DJ31" s="96"/>
      <c r="DK31" s="53">
        <v>20.89</v>
      </c>
      <c r="DL31" s="58">
        <f t="shared" si="21"/>
        <v>12.690000000000001</v>
      </c>
      <c r="DM31" s="97">
        <v>7.3</v>
      </c>
      <c r="DN31" s="58">
        <v>1</v>
      </c>
      <c r="DO31" s="59">
        <f t="shared" si="22"/>
        <v>4.3900000000000015</v>
      </c>
      <c r="DP31" s="86">
        <v>5</v>
      </c>
      <c r="DQ31" s="86">
        <f t="shared" si="23"/>
        <v>-60.999999999999858</v>
      </c>
      <c r="DR31" s="98"/>
      <c r="DT31" s="86" t="s">
        <v>2</v>
      </c>
      <c r="DU31" s="86">
        <v>23</v>
      </c>
      <c r="DV31" s="58"/>
      <c r="DW31" s="96"/>
      <c r="DX31" s="96"/>
      <c r="DY31" s="53"/>
      <c r="DZ31" s="58"/>
      <c r="EA31" s="97"/>
      <c r="EB31" s="58"/>
      <c r="EC31" s="59"/>
      <c r="ED31" s="86"/>
      <c r="EE31" s="86"/>
      <c r="EF31" s="98" t="s">
        <v>227</v>
      </c>
      <c r="EG31" s="86" t="s">
        <v>2</v>
      </c>
      <c r="EH31" s="86">
        <v>23</v>
      </c>
      <c r="EI31" s="58">
        <v>7.2</v>
      </c>
      <c r="EJ31" s="96"/>
      <c r="EK31" s="96"/>
      <c r="EL31" s="53">
        <v>20.89</v>
      </c>
      <c r="EM31" s="58">
        <f t="shared" si="27"/>
        <v>13.690000000000001</v>
      </c>
      <c r="EN31" s="97">
        <v>7.3</v>
      </c>
      <c r="EO31" s="58">
        <v>1</v>
      </c>
      <c r="EP31" s="59">
        <f t="shared" si="28"/>
        <v>5.3900000000000015</v>
      </c>
      <c r="EQ31" s="86">
        <v>5</v>
      </c>
      <c r="ER31" s="86">
        <f t="shared" si="29"/>
        <v>39.000000000000142</v>
      </c>
      <c r="ES31" s="98"/>
      <c r="EU31" s="86" t="s">
        <v>2</v>
      </c>
      <c r="EV31" s="86">
        <v>23</v>
      </c>
      <c r="EW31" s="58">
        <v>7.1</v>
      </c>
      <c r="EX31" s="96"/>
      <c r="EY31" s="96"/>
      <c r="EZ31" s="53">
        <v>20.96</v>
      </c>
      <c r="FA31" s="58">
        <f t="shared" si="59"/>
        <v>13.860000000000001</v>
      </c>
      <c r="FB31" s="97">
        <v>7.3</v>
      </c>
      <c r="FC31" s="58">
        <v>1</v>
      </c>
      <c r="FD31" s="59">
        <f t="shared" si="30"/>
        <v>5.5600000000000014</v>
      </c>
      <c r="FE31" s="86">
        <v>5</v>
      </c>
      <c r="FF31" s="86">
        <f t="shared" si="31"/>
        <v>56.000000000000142</v>
      </c>
      <c r="FG31" s="98"/>
      <c r="FH31" s="86" t="s">
        <v>2</v>
      </c>
      <c r="FI31" s="86">
        <v>23</v>
      </c>
      <c r="FJ31" s="58">
        <v>7.15</v>
      </c>
      <c r="FK31" s="96"/>
      <c r="FL31" s="96"/>
      <c r="FM31" s="53">
        <v>20.87</v>
      </c>
      <c r="FN31" s="58">
        <f t="shared" si="32"/>
        <v>13.72</v>
      </c>
      <c r="FO31" s="97">
        <v>7.3</v>
      </c>
      <c r="FP31" s="58">
        <v>1</v>
      </c>
      <c r="FQ31" s="59">
        <f t="shared" si="33"/>
        <v>5.4200000000000008</v>
      </c>
      <c r="FR31" s="86">
        <v>5</v>
      </c>
      <c r="FS31" s="86">
        <f t="shared" si="34"/>
        <v>42.000000000000085</v>
      </c>
      <c r="FT31" s="98"/>
      <c r="FV31" s="86" t="s">
        <v>2</v>
      </c>
      <c r="FW31" s="86">
        <v>23</v>
      </c>
      <c r="FX31" s="58">
        <v>7.35</v>
      </c>
      <c r="FY31" s="96"/>
      <c r="FZ31" s="96"/>
      <c r="GA31" s="53">
        <v>20.89</v>
      </c>
      <c r="GB31" s="58">
        <f t="shared" si="35"/>
        <v>13.540000000000001</v>
      </c>
      <c r="GC31" s="97">
        <v>7.3</v>
      </c>
      <c r="GD31" s="58">
        <v>1</v>
      </c>
      <c r="GE31" s="59">
        <f t="shared" si="36"/>
        <v>5.2400000000000011</v>
      </c>
      <c r="GF31" s="86">
        <v>5</v>
      </c>
      <c r="GG31" s="86">
        <f t="shared" si="37"/>
        <v>24.00000000000011</v>
      </c>
      <c r="GH31" s="98"/>
      <c r="GI31" s="86" t="s">
        <v>2</v>
      </c>
      <c r="GJ31" s="86">
        <v>23</v>
      </c>
      <c r="GK31" s="58">
        <v>7.1</v>
      </c>
      <c r="GL31" s="96"/>
      <c r="GM31" s="96"/>
      <c r="GN31" s="53">
        <v>19.72</v>
      </c>
      <c r="GO31" s="58">
        <f t="shared" si="38"/>
        <v>12.62</v>
      </c>
      <c r="GP31" s="97">
        <v>7.3</v>
      </c>
      <c r="GQ31" s="58">
        <v>1</v>
      </c>
      <c r="GR31" s="59">
        <f t="shared" si="39"/>
        <v>4.3199999999999994</v>
      </c>
      <c r="GS31" s="86">
        <v>4</v>
      </c>
      <c r="GT31" s="86">
        <f t="shared" si="40"/>
        <v>31.99999999999994</v>
      </c>
      <c r="GU31" s="98"/>
      <c r="GW31" s="86" t="s">
        <v>2</v>
      </c>
      <c r="GX31" s="86">
        <v>23</v>
      </c>
      <c r="GY31" s="58">
        <v>7.1</v>
      </c>
      <c r="GZ31" s="96"/>
      <c r="HA31" s="96"/>
      <c r="HB31" s="53">
        <v>19.100000000000001</v>
      </c>
      <c r="HC31" s="58">
        <f t="shared" si="41"/>
        <v>12.000000000000002</v>
      </c>
      <c r="HD31" s="97">
        <v>7.3</v>
      </c>
      <c r="HE31" s="58">
        <v>1.4</v>
      </c>
      <c r="HF31" s="59">
        <f t="shared" si="42"/>
        <v>3.300000000000002</v>
      </c>
      <c r="HG31" s="86">
        <v>3</v>
      </c>
      <c r="HH31" s="86">
        <f t="shared" si="43"/>
        <v>30.000000000000206</v>
      </c>
      <c r="HI31" s="103" t="s">
        <v>228</v>
      </c>
      <c r="HJ31" s="86" t="s">
        <v>2</v>
      </c>
      <c r="HK31" s="86">
        <v>23</v>
      </c>
      <c r="HL31" s="58">
        <v>7.1</v>
      </c>
      <c r="HM31" s="96"/>
      <c r="HN31" s="96"/>
      <c r="HO31" s="53">
        <v>20.89</v>
      </c>
      <c r="HP31" s="58">
        <f t="shared" si="44"/>
        <v>13.790000000000001</v>
      </c>
      <c r="HQ31" s="97">
        <v>7.3</v>
      </c>
      <c r="HR31" s="58">
        <v>1</v>
      </c>
      <c r="HS31" s="59">
        <f t="shared" si="45"/>
        <v>5.4900000000000011</v>
      </c>
      <c r="HT31" s="86">
        <v>5</v>
      </c>
      <c r="HU31" s="86">
        <f t="shared" si="46"/>
        <v>49.000000000000114</v>
      </c>
      <c r="HV31" s="98"/>
      <c r="HX31" s="55"/>
      <c r="HY31" s="55"/>
      <c r="HZ31" s="52"/>
      <c r="IA31" s="52"/>
      <c r="IB31" s="52"/>
      <c r="IC31" s="52"/>
      <c r="ID31" s="52"/>
      <c r="IE31" s="56"/>
      <c r="IF31" s="52"/>
      <c r="IG31" s="57"/>
      <c r="IH31" s="55"/>
      <c r="II31" s="82"/>
      <c r="IJ31" s="95"/>
      <c r="IK31" s="86" t="s">
        <v>2</v>
      </c>
      <c r="IL31" s="86">
        <v>23</v>
      </c>
      <c r="IM31" s="58">
        <v>7.05</v>
      </c>
      <c r="IN31" s="96"/>
      <c r="IO31" s="96"/>
      <c r="IP31" s="53">
        <v>20.88</v>
      </c>
      <c r="IQ31" s="58">
        <f t="shared" si="47"/>
        <v>13.829999999999998</v>
      </c>
      <c r="IR31" s="97">
        <v>7.3</v>
      </c>
      <c r="IS31" s="58">
        <v>1</v>
      </c>
      <c r="IT31" s="59">
        <f t="shared" si="48"/>
        <v>5.5299999999999985</v>
      </c>
      <c r="IU31" s="86">
        <v>5</v>
      </c>
      <c r="IV31" s="86">
        <f t="shared" si="49"/>
        <v>52.999999999999844</v>
      </c>
      <c r="IW31" s="98"/>
      <c r="IY31" s="86" t="s">
        <v>2</v>
      </c>
      <c r="IZ31" s="86">
        <v>23</v>
      </c>
      <c r="JA31" s="58">
        <v>7.1</v>
      </c>
      <c r="JB31" s="96"/>
      <c r="JC31" s="96"/>
      <c r="JD31" s="53">
        <v>20.86</v>
      </c>
      <c r="JE31" s="58">
        <f t="shared" si="50"/>
        <v>13.76</v>
      </c>
      <c r="JF31" s="97">
        <v>7.3</v>
      </c>
      <c r="JG31" s="58">
        <v>1</v>
      </c>
      <c r="JH31" s="59">
        <f t="shared" si="51"/>
        <v>5.46</v>
      </c>
      <c r="JI31" s="86">
        <v>5</v>
      </c>
      <c r="JJ31" s="86">
        <f t="shared" si="52"/>
        <v>46</v>
      </c>
      <c r="JK31" s="98"/>
      <c r="JL31" s="86" t="s">
        <v>2</v>
      </c>
      <c r="JM31" s="86">
        <v>23</v>
      </c>
      <c r="JN31" s="58">
        <v>7.15</v>
      </c>
      <c r="JO31" s="96"/>
      <c r="JP31" s="96"/>
      <c r="JQ31" s="53">
        <v>19.649999999999999</v>
      </c>
      <c r="JR31" s="58">
        <f t="shared" si="53"/>
        <v>12.499999999999998</v>
      </c>
      <c r="JS31" s="97">
        <v>7.3</v>
      </c>
      <c r="JT31" s="58">
        <v>1</v>
      </c>
      <c r="JU31" s="59">
        <f t="shared" si="54"/>
        <v>4.1999999999999984</v>
      </c>
      <c r="JV31" s="86">
        <v>4</v>
      </c>
      <c r="JW31" s="86">
        <f t="shared" si="55"/>
        <v>19.99999999999984</v>
      </c>
      <c r="JX31" s="98"/>
      <c r="JZ31" s="86" t="s">
        <v>2</v>
      </c>
      <c r="KA31" s="86">
        <v>23</v>
      </c>
      <c r="KB31" s="58">
        <v>7.2</v>
      </c>
      <c r="KC31" s="96"/>
      <c r="KD31" s="96"/>
      <c r="KE31" s="53">
        <v>20.87</v>
      </c>
      <c r="KF31" s="58">
        <f t="shared" si="56"/>
        <v>13.670000000000002</v>
      </c>
      <c r="KG31" s="97">
        <v>7.3</v>
      </c>
      <c r="KH31" s="58">
        <v>1</v>
      </c>
      <c r="KI31" s="59">
        <f t="shared" si="57"/>
        <v>5.3700000000000019</v>
      </c>
      <c r="KJ31" s="86">
        <v>5</v>
      </c>
      <c r="KK31" s="86">
        <f t="shared" si="58"/>
        <v>37.000000000000185</v>
      </c>
      <c r="KL31" s="98"/>
    </row>
    <row r="32" spans="1:298" s="54" customFormat="1" ht="17.149999999999999" customHeight="1" x14ac:dyDescent="0.35">
      <c r="A32" s="86" t="s">
        <v>225</v>
      </c>
      <c r="B32" s="86">
        <v>24</v>
      </c>
      <c r="C32" s="58">
        <v>7.15</v>
      </c>
      <c r="D32" s="96"/>
      <c r="E32" s="96"/>
      <c r="F32" s="53">
        <v>19.600000000000001</v>
      </c>
      <c r="G32" s="58">
        <f t="shared" si="0"/>
        <v>12.450000000000001</v>
      </c>
      <c r="H32" s="97">
        <v>7.3</v>
      </c>
      <c r="I32" s="58">
        <v>1</v>
      </c>
      <c r="J32" s="59">
        <f t="shared" si="1"/>
        <v>4.1500000000000012</v>
      </c>
      <c r="K32" s="86">
        <v>4</v>
      </c>
      <c r="L32" s="86">
        <f t="shared" si="2"/>
        <v>15.000000000000124</v>
      </c>
      <c r="M32" s="98"/>
      <c r="N32"/>
      <c r="O32" s="86" t="s">
        <v>225</v>
      </c>
      <c r="P32" s="86">
        <v>24</v>
      </c>
      <c r="Q32" s="58">
        <v>7.15</v>
      </c>
      <c r="R32" s="96"/>
      <c r="S32" s="96"/>
      <c r="T32" s="53">
        <v>19.97</v>
      </c>
      <c r="U32" s="58">
        <f t="shared" si="3"/>
        <v>12.819999999999999</v>
      </c>
      <c r="V32" s="97">
        <v>7.3</v>
      </c>
      <c r="W32" s="58">
        <v>1</v>
      </c>
      <c r="X32" s="59">
        <f t="shared" si="4"/>
        <v>4.5199999999999987</v>
      </c>
      <c r="Y32" s="86">
        <v>4</v>
      </c>
      <c r="Z32" s="86">
        <f t="shared" si="5"/>
        <v>51.999999999999872</v>
      </c>
      <c r="AA32" s="98"/>
      <c r="AB32" s="86" t="s">
        <v>225</v>
      </c>
      <c r="AC32" s="86">
        <v>24</v>
      </c>
      <c r="AD32" s="58">
        <v>7.2</v>
      </c>
      <c r="AE32" s="96"/>
      <c r="AF32" s="96"/>
      <c r="AG32" s="53">
        <v>19.600000000000001</v>
      </c>
      <c r="AH32" s="58">
        <f t="shared" si="6"/>
        <v>12.400000000000002</v>
      </c>
      <c r="AI32" s="97">
        <v>7.3</v>
      </c>
      <c r="AJ32" s="58">
        <v>1</v>
      </c>
      <c r="AK32" s="59">
        <f t="shared" si="7"/>
        <v>4.1000000000000023</v>
      </c>
      <c r="AL32" s="86">
        <v>4</v>
      </c>
      <c r="AM32" s="86">
        <f t="shared" si="8"/>
        <v>10.000000000000231</v>
      </c>
      <c r="AN32" s="98"/>
      <c r="AO32"/>
      <c r="AP32" s="86" t="s">
        <v>225</v>
      </c>
      <c r="AQ32" s="86">
        <v>24</v>
      </c>
      <c r="AR32" s="58">
        <v>7.15</v>
      </c>
      <c r="AS32" s="96"/>
      <c r="AT32" s="96"/>
      <c r="AU32" s="53">
        <v>19.61</v>
      </c>
      <c r="AV32" s="58">
        <f t="shared" si="9"/>
        <v>12.459999999999999</v>
      </c>
      <c r="AW32" s="97">
        <v>7.3</v>
      </c>
      <c r="AX32" s="58">
        <v>1</v>
      </c>
      <c r="AY32" s="59">
        <f t="shared" si="10"/>
        <v>4.1599999999999993</v>
      </c>
      <c r="AZ32" s="86">
        <v>4</v>
      </c>
      <c r="BA32" s="86">
        <f t="shared" si="11"/>
        <v>15.999999999999925</v>
      </c>
      <c r="BB32" s="98"/>
      <c r="BC32" s="86"/>
      <c r="BD32" s="86"/>
      <c r="BE32" s="58"/>
      <c r="BF32" s="96"/>
      <c r="BG32" s="96"/>
      <c r="BH32" s="58"/>
      <c r="BI32" s="58"/>
      <c r="BJ32" s="97"/>
      <c r="BK32" s="58"/>
      <c r="BL32" s="59"/>
      <c r="BM32" s="86"/>
      <c r="BN32" s="86"/>
      <c r="BO32" s="98"/>
      <c r="BP32"/>
      <c r="BQ32" s="86" t="s">
        <v>225</v>
      </c>
      <c r="BR32" s="86">
        <v>24</v>
      </c>
      <c r="BS32" s="58">
        <v>7.1</v>
      </c>
      <c r="BT32" s="96"/>
      <c r="BU32" s="96"/>
      <c r="BV32" s="53">
        <v>21.51</v>
      </c>
      <c r="BW32" s="58">
        <f t="shared" si="12"/>
        <v>14.410000000000002</v>
      </c>
      <c r="BX32" s="97">
        <v>7.3</v>
      </c>
      <c r="BY32" s="58">
        <v>1</v>
      </c>
      <c r="BZ32" s="59">
        <f t="shared" si="13"/>
        <v>6.1100000000000021</v>
      </c>
      <c r="CA32" s="86">
        <v>6</v>
      </c>
      <c r="CB32" s="86">
        <f t="shared" si="14"/>
        <v>11.00000000000021</v>
      </c>
      <c r="CC32" s="98"/>
      <c r="CD32"/>
      <c r="CE32" s="86" t="s">
        <v>225</v>
      </c>
      <c r="CF32" s="86">
        <v>24</v>
      </c>
      <c r="CG32" s="99">
        <v>9</v>
      </c>
      <c r="CH32" s="96"/>
      <c r="CI32" s="96"/>
      <c r="CJ32" s="53">
        <v>19.75</v>
      </c>
      <c r="CK32" s="58">
        <f t="shared" si="15"/>
        <v>10.75</v>
      </c>
      <c r="CL32" s="97">
        <v>7.3</v>
      </c>
      <c r="CM32" s="58">
        <v>1</v>
      </c>
      <c r="CN32" s="59">
        <f t="shared" si="16"/>
        <v>2.4500000000000002</v>
      </c>
      <c r="CO32" s="86">
        <v>2</v>
      </c>
      <c r="CP32" s="86">
        <f t="shared" si="17"/>
        <v>45.000000000000014</v>
      </c>
      <c r="CQ32" s="98"/>
      <c r="CR32" s="86" t="s">
        <v>225</v>
      </c>
      <c r="CS32" s="86">
        <v>24</v>
      </c>
      <c r="CT32" s="58">
        <v>7.2</v>
      </c>
      <c r="CU32" s="96"/>
      <c r="CV32" s="96"/>
      <c r="CW32" s="53">
        <v>21.51</v>
      </c>
      <c r="CX32" s="58">
        <f t="shared" si="18"/>
        <v>14.310000000000002</v>
      </c>
      <c r="CY32" s="97">
        <v>7.3</v>
      </c>
      <c r="CZ32" s="58">
        <v>1</v>
      </c>
      <c r="DA32" s="59">
        <f t="shared" si="19"/>
        <v>6.0100000000000025</v>
      </c>
      <c r="DB32" s="86">
        <v>6</v>
      </c>
      <c r="DC32" s="86">
        <f t="shared" si="20"/>
        <v>1.0000000000002451</v>
      </c>
      <c r="DD32" s="98"/>
      <c r="DE32"/>
      <c r="DF32" s="86" t="s">
        <v>225</v>
      </c>
      <c r="DG32" s="86">
        <v>24</v>
      </c>
      <c r="DH32" s="58">
        <v>7.4</v>
      </c>
      <c r="DI32" s="96"/>
      <c r="DJ32" s="96"/>
      <c r="DK32" s="53">
        <v>19.61</v>
      </c>
      <c r="DL32" s="58">
        <f t="shared" si="21"/>
        <v>12.209999999999999</v>
      </c>
      <c r="DM32" s="97">
        <v>7.3</v>
      </c>
      <c r="DN32" s="58">
        <v>1.4</v>
      </c>
      <c r="DO32" s="59">
        <f t="shared" si="22"/>
        <v>3.5099999999999993</v>
      </c>
      <c r="DP32" s="86">
        <v>3</v>
      </c>
      <c r="DQ32" s="86">
        <f t="shared" si="23"/>
        <v>50.999999999999936</v>
      </c>
      <c r="DR32" s="98"/>
      <c r="DS32"/>
      <c r="DT32" s="86" t="s">
        <v>225</v>
      </c>
      <c r="DU32" s="86">
        <v>24</v>
      </c>
      <c r="DV32" s="58">
        <v>8</v>
      </c>
      <c r="DW32" s="96"/>
      <c r="DX32" s="96"/>
      <c r="DY32" s="53">
        <v>19.61</v>
      </c>
      <c r="DZ32" s="58">
        <f t="shared" si="24"/>
        <v>11.61</v>
      </c>
      <c r="EA32" s="97">
        <v>7.3</v>
      </c>
      <c r="EB32" s="58">
        <v>1</v>
      </c>
      <c r="EC32" s="59">
        <f t="shared" si="25"/>
        <v>3.3099999999999996</v>
      </c>
      <c r="ED32" s="86">
        <v>3</v>
      </c>
      <c r="EE32" s="86">
        <f t="shared" si="26"/>
        <v>30.999999999999961</v>
      </c>
      <c r="EF32" s="98"/>
      <c r="EG32" s="86" t="s">
        <v>225</v>
      </c>
      <c r="EH32" s="86">
        <v>24</v>
      </c>
      <c r="EI32" s="58">
        <v>7.2</v>
      </c>
      <c r="EJ32" s="96"/>
      <c r="EK32" s="96"/>
      <c r="EL32" s="53">
        <v>19.600000000000001</v>
      </c>
      <c r="EM32" s="58">
        <f t="shared" si="27"/>
        <v>12.400000000000002</v>
      </c>
      <c r="EN32" s="97">
        <v>7.3</v>
      </c>
      <c r="EO32" s="58">
        <v>1</v>
      </c>
      <c r="EP32" s="59">
        <f t="shared" si="28"/>
        <v>4.1000000000000023</v>
      </c>
      <c r="EQ32" s="86">
        <v>4</v>
      </c>
      <c r="ER32" s="86">
        <f t="shared" si="29"/>
        <v>10.000000000000231</v>
      </c>
      <c r="ES32" s="98"/>
      <c r="ET32"/>
      <c r="EU32" s="86" t="s">
        <v>225</v>
      </c>
      <c r="EV32" s="86">
        <v>24</v>
      </c>
      <c r="EW32" s="58">
        <v>7.1</v>
      </c>
      <c r="EX32" s="96"/>
      <c r="EY32" s="96"/>
      <c r="EZ32" s="53">
        <v>19.64</v>
      </c>
      <c r="FA32" s="58">
        <f t="shared" si="59"/>
        <v>12.540000000000001</v>
      </c>
      <c r="FB32" s="97">
        <v>7.3</v>
      </c>
      <c r="FC32" s="58">
        <v>1</v>
      </c>
      <c r="FD32" s="59">
        <f t="shared" si="30"/>
        <v>4.2400000000000011</v>
      </c>
      <c r="FE32" s="86">
        <v>4</v>
      </c>
      <c r="FF32" s="86">
        <f t="shared" si="31"/>
        <v>24.00000000000011</v>
      </c>
      <c r="FG32" s="98"/>
      <c r="FH32" s="86" t="s">
        <v>225</v>
      </c>
      <c r="FI32" s="86">
        <v>24</v>
      </c>
      <c r="FJ32" s="58">
        <v>7.15</v>
      </c>
      <c r="FK32" s="96"/>
      <c r="FL32" s="96"/>
      <c r="FM32" s="53">
        <v>19.579999999999998</v>
      </c>
      <c r="FN32" s="58">
        <f t="shared" si="32"/>
        <v>12.429999999999998</v>
      </c>
      <c r="FO32" s="97">
        <v>7.3</v>
      </c>
      <c r="FP32" s="58">
        <v>1</v>
      </c>
      <c r="FQ32" s="59">
        <f t="shared" si="33"/>
        <v>4.1299999999999981</v>
      </c>
      <c r="FR32" s="86">
        <v>4</v>
      </c>
      <c r="FS32" s="86">
        <f t="shared" si="34"/>
        <v>12.999999999999812</v>
      </c>
      <c r="FT32" s="98"/>
      <c r="FU32"/>
      <c r="FV32" s="86" t="s">
        <v>225</v>
      </c>
      <c r="FW32" s="86">
        <v>24</v>
      </c>
      <c r="FX32" s="58">
        <v>7.4</v>
      </c>
      <c r="FY32" s="96"/>
      <c r="FZ32" s="96"/>
      <c r="GA32" s="139">
        <v>19.600000000000001</v>
      </c>
      <c r="GB32" s="58">
        <f t="shared" si="35"/>
        <v>12.200000000000001</v>
      </c>
      <c r="GC32" s="97">
        <v>7.3</v>
      </c>
      <c r="GD32" s="58">
        <v>1.4</v>
      </c>
      <c r="GE32" s="59">
        <f t="shared" si="36"/>
        <v>3.5000000000000013</v>
      </c>
      <c r="GF32" s="86">
        <v>3</v>
      </c>
      <c r="GG32" s="86">
        <f t="shared" si="37"/>
        <v>50.000000000000135</v>
      </c>
      <c r="GH32" s="98"/>
      <c r="GI32" s="86" t="s">
        <v>225</v>
      </c>
      <c r="GJ32" s="86">
        <v>24</v>
      </c>
      <c r="GK32" s="58">
        <v>7.1</v>
      </c>
      <c r="GL32" s="96"/>
      <c r="GM32" s="96"/>
      <c r="GN32" s="53">
        <v>19.920000000000002</v>
      </c>
      <c r="GO32" s="58">
        <f t="shared" si="38"/>
        <v>12.820000000000002</v>
      </c>
      <c r="GP32" s="97">
        <v>7.3</v>
      </c>
      <c r="GQ32" s="58">
        <v>1</v>
      </c>
      <c r="GR32" s="59">
        <f t="shared" si="39"/>
        <v>4.5200000000000022</v>
      </c>
      <c r="GS32" s="86">
        <v>4</v>
      </c>
      <c r="GT32" s="86">
        <f t="shared" si="40"/>
        <v>52.000000000000227</v>
      </c>
      <c r="GU32" s="98"/>
      <c r="GV32"/>
      <c r="GW32" s="86" t="s">
        <v>225</v>
      </c>
      <c r="GX32" s="86">
        <v>24</v>
      </c>
      <c r="GY32" s="58">
        <v>7.1</v>
      </c>
      <c r="GZ32" s="96"/>
      <c r="HA32" s="96"/>
      <c r="HB32" s="53">
        <v>19.100000000000001</v>
      </c>
      <c r="HC32" s="58">
        <f t="shared" si="41"/>
        <v>12.000000000000002</v>
      </c>
      <c r="HD32" s="97">
        <v>7.3</v>
      </c>
      <c r="HE32" s="58">
        <v>1.4</v>
      </c>
      <c r="HF32" s="59">
        <f t="shared" si="42"/>
        <v>3.300000000000002</v>
      </c>
      <c r="HG32" s="86">
        <v>3</v>
      </c>
      <c r="HH32" s="86">
        <f t="shared" si="43"/>
        <v>30.000000000000206</v>
      </c>
      <c r="HI32" s="103" t="s">
        <v>228</v>
      </c>
      <c r="HJ32" s="86" t="s">
        <v>225</v>
      </c>
      <c r="HK32" s="86">
        <v>24</v>
      </c>
      <c r="HL32" s="58">
        <v>7.1</v>
      </c>
      <c r="HM32" s="96"/>
      <c r="HN32" s="96"/>
      <c r="HO32" s="53">
        <v>19.600000000000001</v>
      </c>
      <c r="HP32" s="58">
        <f t="shared" si="44"/>
        <v>12.500000000000002</v>
      </c>
      <c r="HQ32" s="97">
        <v>7.3</v>
      </c>
      <c r="HR32" s="58">
        <v>1</v>
      </c>
      <c r="HS32" s="59">
        <f t="shared" si="45"/>
        <v>4.200000000000002</v>
      </c>
      <c r="HT32" s="86">
        <v>4</v>
      </c>
      <c r="HU32" s="86">
        <f t="shared" si="46"/>
        <v>20.000000000000195</v>
      </c>
      <c r="HV32" s="98"/>
      <c r="HW32"/>
      <c r="HX32" s="86"/>
      <c r="HY32" s="86"/>
      <c r="HZ32" s="58"/>
      <c r="IA32" s="96"/>
      <c r="IB32" s="96"/>
      <c r="IC32" s="58"/>
      <c r="ID32" s="58"/>
      <c r="IE32" s="97"/>
      <c r="IF32" s="58"/>
      <c r="IG32" s="59"/>
      <c r="IH32" s="86"/>
      <c r="II32" s="86"/>
      <c r="IJ32" s="98"/>
      <c r="IK32" s="86" t="s">
        <v>225</v>
      </c>
      <c r="IL32" s="86">
        <v>24</v>
      </c>
      <c r="IM32" s="58">
        <v>7.05</v>
      </c>
      <c r="IN32" s="96"/>
      <c r="IO32" s="96"/>
      <c r="IP32" s="53">
        <v>18.420000000000002</v>
      </c>
      <c r="IQ32" s="58">
        <f t="shared" si="47"/>
        <v>11.370000000000001</v>
      </c>
      <c r="IR32" s="97">
        <v>7.3</v>
      </c>
      <c r="IS32" s="58">
        <v>1</v>
      </c>
      <c r="IT32" s="59">
        <f t="shared" si="48"/>
        <v>3.0700000000000012</v>
      </c>
      <c r="IU32" s="86">
        <v>3</v>
      </c>
      <c r="IV32" s="86">
        <f t="shared" si="49"/>
        <v>7.0000000000001172</v>
      </c>
      <c r="IW32" s="98"/>
      <c r="IX32"/>
      <c r="IY32" s="86" t="s">
        <v>225</v>
      </c>
      <c r="IZ32" s="86">
        <v>24</v>
      </c>
      <c r="JA32" s="58">
        <v>7.1</v>
      </c>
      <c r="JB32" s="96"/>
      <c r="JC32" s="96"/>
      <c r="JD32" s="53">
        <v>21.51</v>
      </c>
      <c r="JE32" s="58">
        <f t="shared" si="50"/>
        <v>14.410000000000002</v>
      </c>
      <c r="JF32" s="97">
        <v>7.3</v>
      </c>
      <c r="JG32" s="58">
        <v>1</v>
      </c>
      <c r="JH32" s="59">
        <f t="shared" si="51"/>
        <v>6.1100000000000021</v>
      </c>
      <c r="JI32" s="86">
        <v>6</v>
      </c>
      <c r="JJ32" s="86">
        <f t="shared" si="52"/>
        <v>11.00000000000021</v>
      </c>
      <c r="JK32" s="98"/>
      <c r="JL32" s="86" t="s">
        <v>225</v>
      </c>
      <c r="JM32" s="86">
        <v>24</v>
      </c>
      <c r="JN32" s="58">
        <v>7.15</v>
      </c>
      <c r="JO32" s="96"/>
      <c r="JP32" s="96"/>
      <c r="JQ32" s="53">
        <v>19.600000000000001</v>
      </c>
      <c r="JR32" s="58">
        <f t="shared" si="53"/>
        <v>12.450000000000001</v>
      </c>
      <c r="JS32" s="97">
        <v>7.3</v>
      </c>
      <c r="JT32" s="58">
        <v>1</v>
      </c>
      <c r="JU32" s="59">
        <f t="shared" si="54"/>
        <v>4.1500000000000012</v>
      </c>
      <c r="JV32" s="86">
        <v>4</v>
      </c>
      <c r="JW32" s="86">
        <f t="shared" si="55"/>
        <v>15.000000000000124</v>
      </c>
      <c r="JX32" s="98"/>
      <c r="JY32"/>
      <c r="JZ32" s="86" t="s">
        <v>225</v>
      </c>
      <c r="KA32" s="86">
        <v>24</v>
      </c>
      <c r="KB32" s="58">
        <v>7.2</v>
      </c>
      <c r="KC32" s="96"/>
      <c r="KD32" s="96"/>
      <c r="KE32" s="53">
        <v>20.95</v>
      </c>
      <c r="KF32" s="58">
        <f t="shared" si="56"/>
        <v>13.75</v>
      </c>
      <c r="KG32" s="97">
        <v>7.3</v>
      </c>
      <c r="KH32" s="58">
        <v>1</v>
      </c>
      <c r="KI32" s="59">
        <f t="shared" si="57"/>
        <v>5.45</v>
      </c>
      <c r="KJ32" s="86">
        <v>5</v>
      </c>
      <c r="KK32" s="86">
        <f t="shared" si="58"/>
        <v>45.000000000000014</v>
      </c>
      <c r="KL32" s="98"/>
    </row>
    <row r="33" spans="1:298" ht="17.149999999999999" customHeight="1" x14ac:dyDescent="0.35">
      <c r="A33" s="86"/>
      <c r="B33" s="86">
        <v>25</v>
      </c>
      <c r="C33" s="58">
        <v>7.15</v>
      </c>
      <c r="D33" s="96"/>
      <c r="E33" s="96"/>
      <c r="F33" s="53">
        <v>20.49</v>
      </c>
      <c r="G33" s="58">
        <f t="shared" si="0"/>
        <v>13.339999999999998</v>
      </c>
      <c r="H33" s="97">
        <v>7.3</v>
      </c>
      <c r="I33" s="58">
        <v>1</v>
      </c>
      <c r="J33" s="59">
        <f t="shared" si="1"/>
        <v>5.0399999999999983</v>
      </c>
      <c r="K33" s="86">
        <v>5</v>
      </c>
      <c r="L33" s="86">
        <f t="shared" si="2"/>
        <v>3.9999999999998259</v>
      </c>
      <c r="M33" s="98"/>
      <c r="O33" s="86" t="s">
        <v>4</v>
      </c>
      <c r="P33" s="86">
        <v>25</v>
      </c>
      <c r="Q33" s="58">
        <v>7.15</v>
      </c>
      <c r="R33" s="96"/>
      <c r="S33" s="96"/>
      <c r="T33" s="53">
        <v>20.58</v>
      </c>
      <c r="U33" s="58">
        <f t="shared" si="3"/>
        <v>13.429999999999998</v>
      </c>
      <c r="V33" s="97">
        <v>7.3</v>
      </c>
      <c r="W33" s="58">
        <v>1</v>
      </c>
      <c r="X33" s="59">
        <f t="shared" si="4"/>
        <v>5.1299999999999981</v>
      </c>
      <c r="Y33" s="86">
        <v>5</v>
      </c>
      <c r="Z33" s="86">
        <f t="shared" si="5"/>
        <v>12.999999999999812</v>
      </c>
      <c r="AA33" s="98"/>
      <c r="AB33" s="86" t="s">
        <v>4</v>
      </c>
      <c r="AC33" s="86">
        <v>25</v>
      </c>
      <c r="AD33" s="58">
        <v>7.2</v>
      </c>
      <c r="AE33" s="96"/>
      <c r="AF33" s="96"/>
      <c r="AG33" s="53">
        <v>19.63</v>
      </c>
      <c r="AH33" s="58">
        <f t="shared" si="6"/>
        <v>12.43</v>
      </c>
      <c r="AI33" s="97">
        <v>7.3</v>
      </c>
      <c r="AJ33" s="58">
        <v>1</v>
      </c>
      <c r="AK33" s="59">
        <f t="shared" si="7"/>
        <v>4.13</v>
      </c>
      <c r="AL33" s="86">
        <v>4</v>
      </c>
      <c r="AM33" s="86">
        <f t="shared" si="8"/>
        <v>12.999999999999989</v>
      </c>
      <c r="AN33" s="98"/>
      <c r="AP33" s="86" t="s">
        <v>4</v>
      </c>
      <c r="AQ33" s="86">
        <v>25</v>
      </c>
      <c r="AR33" s="58">
        <v>7.15</v>
      </c>
      <c r="AS33" s="96"/>
      <c r="AT33" s="96"/>
      <c r="AU33" s="53">
        <v>20.49</v>
      </c>
      <c r="AV33" s="58">
        <f t="shared" si="9"/>
        <v>13.339999999999998</v>
      </c>
      <c r="AW33" s="97">
        <v>7.3</v>
      </c>
      <c r="AX33" s="58">
        <v>1</v>
      </c>
      <c r="AY33" s="59">
        <f t="shared" si="10"/>
        <v>5.0399999999999983</v>
      </c>
      <c r="AZ33" s="86">
        <v>5</v>
      </c>
      <c r="BA33" s="86">
        <f t="shared" si="11"/>
        <v>3.9999999999998259</v>
      </c>
      <c r="BB33" s="98"/>
      <c r="BC33" s="86"/>
      <c r="BD33" s="86"/>
      <c r="BE33" s="58"/>
      <c r="BF33" s="96"/>
      <c r="BG33" s="96"/>
      <c r="BH33" s="58"/>
      <c r="BI33" s="58"/>
      <c r="BJ33" s="97"/>
      <c r="BK33" s="58"/>
      <c r="BL33" s="59"/>
      <c r="BM33" s="86"/>
      <c r="BN33" s="86"/>
      <c r="BO33" s="98"/>
      <c r="BQ33" s="86" t="s">
        <v>4</v>
      </c>
      <c r="BR33" s="86">
        <v>25</v>
      </c>
      <c r="BS33" s="58">
        <v>7.1</v>
      </c>
      <c r="BT33" s="96"/>
      <c r="BU33" s="96"/>
      <c r="BV33" s="53">
        <v>20.63</v>
      </c>
      <c r="BW33" s="58">
        <f t="shared" si="12"/>
        <v>13.53</v>
      </c>
      <c r="BX33" s="97">
        <v>7.3</v>
      </c>
      <c r="BY33" s="58">
        <v>1</v>
      </c>
      <c r="BZ33" s="59">
        <f t="shared" si="13"/>
        <v>5.2299999999999995</v>
      </c>
      <c r="CA33" s="86">
        <v>5</v>
      </c>
      <c r="CB33" s="86">
        <f t="shared" si="14"/>
        <v>22.999999999999954</v>
      </c>
      <c r="CC33" s="98"/>
      <c r="CE33" s="86" t="s">
        <v>4</v>
      </c>
      <c r="CF33" s="86">
        <v>25</v>
      </c>
      <c r="CG33" s="58">
        <v>7.25</v>
      </c>
      <c r="CH33" s="96"/>
      <c r="CI33" s="96"/>
      <c r="CJ33" s="53">
        <v>20.98</v>
      </c>
      <c r="CK33" s="58">
        <f t="shared" si="15"/>
        <v>13.73</v>
      </c>
      <c r="CL33" s="97">
        <v>7.3</v>
      </c>
      <c r="CM33" s="58">
        <v>1</v>
      </c>
      <c r="CN33" s="59">
        <f t="shared" si="16"/>
        <v>5.4300000000000006</v>
      </c>
      <c r="CO33" s="86">
        <v>5</v>
      </c>
      <c r="CP33" s="86">
        <f t="shared" si="17"/>
        <v>43.000000000000057</v>
      </c>
      <c r="CQ33" s="98"/>
      <c r="CR33" s="86" t="s">
        <v>4</v>
      </c>
      <c r="CS33" s="86">
        <v>25</v>
      </c>
      <c r="CT33" s="58">
        <v>7.2</v>
      </c>
      <c r="CU33" s="96"/>
      <c r="CV33" s="96"/>
      <c r="CW33" s="53">
        <v>20.63</v>
      </c>
      <c r="CX33" s="58">
        <f t="shared" si="18"/>
        <v>13.43</v>
      </c>
      <c r="CY33" s="97">
        <v>7.3</v>
      </c>
      <c r="CZ33" s="58">
        <v>1</v>
      </c>
      <c r="DA33" s="59">
        <f t="shared" si="19"/>
        <v>5.13</v>
      </c>
      <c r="DB33" s="86">
        <v>5</v>
      </c>
      <c r="DC33" s="86">
        <f t="shared" si="20"/>
        <v>12.999999999999989</v>
      </c>
      <c r="DD33" s="98"/>
      <c r="DF33" s="86" t="s">
        <v>4</v>
      </c>
      <c r="DG33" s="86">
        <v>25</v>
      </c>
      <c r="DH33" s="58">
        <v>7.4</v>
      </c>
      <c r="DI33" s="96"/>
      <c r="DJ33" s="96"/>
      <c r="DK33" s="53">
        <v>20.5</v>
      </c>
      <c r="DL33" s="58">
        <f t="shared" si="21"/>
        <v>13.1</v>
      </c>
      <c r="DM33" s="97">
        <v>7.3</v>
      </c>
      <c r="DN33" s="58">
        <v>1.4</v>
      </c>
      <c r="DO33" s="59">
        <f t="shared" si="22"/>
        <v>4.4000000000000004</v>
      </c>
      <c r="DP33" s="86">
        <v>4</v>
      </c>
      <c r="DQ33" s="86">
        <f t="shared" si="23"/>
        <v>40.000000000000036</v>
      </c>
      <c r="DR33" s="98"/>
      <c r="DT33" s="86" t="s">
        <v>4</v>
      </c>
      <c r="DU33" s="86">
        <v>25</v>
      </c>
      <c r="DV33" s="58">
        <v>8</v>
      </c>
      <c r="DW33" s="96"/>
      <c r="DX33" s="96"/>
      <c r="DY33" s="53">
        <v>20.5</v>
      </c>
      <c r="DZ33" s="58">
        <f t="shared" si="24"/>
        <v>12.5</v>
      </c>
      <c r="EA33" s="97">
        <v>7.3</v>
      </c>
      <c r="EB33" s="58">
        <v>1</v>
      </c>
      <c r="EC33" s="59">
        <f t="shared" si="25"/>
        <v>4.2</v>
      </c>
      <c r="ED33" s="86">
        <v>4</v>
      </c>
      <c r="EE33" s="86">
        <f t="shared" si="26"/>
        <v>20.000000000000018</v>
      </c>
      <c r="EF33" s="98"/>
      <c r="EG33" s="86" t="s">
        <v>4</v>
      </c>
      <c r="EH33" s="86">
        <v>25</v>
      </c>
      <c r="EI33" s="58">
        <v>7.2</v>
      </c>
      <c r="EJ33" s="96"/>
      <c r="EK33" s="96"/>
      <c r="EL33" s="53">
        <v>20.49</v>
      </c>
      <c r="EM33" s="58">
        <f t="shared" si="27"/>
        <v>13.29</v>
      </c>
      <c r="EN33" s="97">
        <v>7.3</v>
      </c>
      <c r="EO33" s="58">
        <v>1.4</v>
      </c>
      <c r="EP33" s="59">
        <f t="shared" si="28"/>
        <v>4.59</v>
      </c>
      <c r="EQ33" s="86">
        <v>4</v>
      </c>
      <c r="ER33" s="86">
        <f t="shared" si="29"/>
        <v>58.999999999999986</v>
      </c>
      <c r="ES33" s="98"/>
      <c r="EU33" s="86" t="s">
        <v>4</v>
      </c>
      <c r="EV33" s="86">
        <v>25</v>
      </c>
      <c r="EW33" s="58">
        <v>7.1</v>
      </c>
      <c r="EX33" s="96"/>
      <c r="EY33" s="96"/>
      <c r="EZ33" s="53">
        <v>20.64</v>
      </c>
      <c r="FA33" s="58">
        <f t="shared" si="59"/>
        <v>13.540000000000001</v>
      </c>
      <c r="FB33" s="97">
        <v>7.3</v>
      </c>
      <c r="FC33" s="58">
        <v>1</v>
      </c>
      <c r="FD33" s="59">
        <f t="shared" si="30"/>
        <v>5.2400000000000011</v>
      </c>
      <c r="FE33" s="86">
        <v>5</v>
      </c>
      <c r="FF33" s="86">
        <f t="shared" si="31"/>
        <v>24.00000000000011</v>
      </c>
      <c r="FG33" s="98"/>
      <c r="FH33" s="86" t="s">
        <v>4</v>
      </c>
      <c r="FI33" s="86">
        <v>25</v>
      </c>
      <c r="FJ33" s="58">
        <v>7.15</v>
      </c>
      <c r="FK33" s="96"/>
      <c r="FL33" s="96"/>
      <c r="FM33" s="53">
        <v>20.49</v>
      </c>
      <c r="FN33" s="58">
        <f t="shared" si="32"/>
        <v>13.339999999999998</v>
      </c>
      <c r="FO33" s="97">
        <v>7.3</v>
      </c>
      <c r="FP33" s="58">
        <v>1</v>
      </c>
      <c r="FQ33" s="59">
        <f t="shared" si="33"/>
        <v>5.0399999999999983</v>
      </c>
      <c r="FR33" s="86">
        <v>5</v>
      </c>
      <c r="FS33" s="86">
        <f t="shared" si="34"/>
        <v>3.9999999999998259</v>
      </c>
      <c r="FT33" s="98"/>
      <c r="FV33" s="86" t="s">
        <v>4</v>
      </c>
      <c r="FW33" s="86">
        <v>25</v>
      </c>
      <c r="FX33" s="58">
        <v>7.4</v>
      </c>
      <c r="FY33" s="96"/>
      <c r="FZ33" s="96"/>
      <c r="GA33" s="53">
        <v>20.51</v>
      </c>
      <c r="GB33" s="58">
        <f t="shared" si="35"/>
        <v>13.110000000000001</v>
      </c>
      <c r="GC33" s="97">
        <v>7.3</v>
      </c>
      <c r="GD33" s="58">
        <v>1.4</v>
      </c>
      <c r="GE33" s="59">
        <f t="shared" si="36"/>
        <v>4.4100000000000019</v>
      </c>
      <c r="GF33" s="86">
        <v>4</v>
      </c>
      <c r="GG33" s="86">
        <f t="shared" si="37"/>
        <v>41.000000000000192</v>
      </c>
      <c r="GH33" s="98"/>
      <c r="GI33" s="86" t="s">
        <v>4</v>
      </c>
      <c r="GJ33" s="86">
        <v>25</v>
      </c>
      <c r="GK33" s="58">
        <v>7.1</v>
      </c>
      <c r="GL33" s="96"/>
      <c r="GM33" s="96"/>
      <c r="GN33" s="53">
        <v>19.850000000000001</v>
      </c>
      <c r="GO33" s="58">
        <f t="shared" si="38"/>
        <v>12.750000000000002</v>
      </c>
      <c r="GP33" s="97">
        <v>7.3</v>
      </c>
      <c r="GQ33" s="58">
        <v>1</v>
      </c>
      <c r="GR33" s="59">
        <f t="shared" si="39"/>
        <v>4.450000000000002</v>
      </c>
      <c r="GS33" s="86">
        <v>4</v>
      </c>
      <c r="GT33" s="86">
        <f t="shared" si="40"/>
        <v>45.000000000000199</v>
      </c>
      <c r="GU33" s="98"/>
      <c r="GW33" s="86" t="s">
        <v>4</v>
      </c>
      <c r="GX33" s="86">
        <v>25</v>
      </c>
      <c r="GY33" s="58">
        <v>7.1</v>
      </c>
      <c r="GZ33" s="96"/>
      <c r="HA33" s="96"/>
      <c r="HB33" s="53">
        <v>19.100000000000001</v>
      </c>
      <c r="HC33" s="58">
        <f t="shared" si="41"/>
        <v>12.000000000000002</v>
      </c>
      <c r="HD33" s="97">
        <v>7.3</v>
      </c>
      <c r="HE33" s="58">
        <v>1.4</v>
      </c>
      <c r="HF33" s="59">
        <f t="shared" si="42"/>
        <v>3.300000000000002</v>
      </c>
      <c r="HG33" s="86">
        <v>3</v>
      </c>
      <c r="HH33" s="86">
        <f t="shared" si="43"/>
        <v>30.000000000000206</v>
      </c>
      <c r="HI33" s="103" t="s">
        <v>228</v>
      </c>
      <c r="HJ33" s="86" t="s">
        <v>4</v>
      </c>
      <c r="HK33" s="86">
        <v>25</v>
      </c>
      <c r="HL33" s="58">
        <v>7.1</v>
      </c>
      <c r="HM33" s="96"/>
      <c r="HN33" s="96"/>
      <c r="HO33" s="53">
        <v>20.5</v>
      </c>
      <c r="HP33" s="58">
        <f t="shared" si="44"/>
        <v>13.4</v>
      </c>
      <c r="HQ33" s="97">
        <v>7.3</v>
      </c>
      <c r="HR33" s="58">
        <v>1</v>
      </c>
      <c r="HS33" s="59">
        <f t="shared" si="45"/>
        <v>5.1000000000000005</v>
      </c>
      <c r="HT33" s="86">
        <v>5</v>
      </c>
      <c r="HU33" s="86">
        <f t="shared" si="46"/>
        <v>10.000000000000053</v>
      </c>
      <c r="HV33" s="98"/>
      <c r="HX33" s="86"/>
      <c r="HY33" s="86"/>
      <c r="HZ33" s="58"/>
      <c r="IA33" s="96"/>
      <c r="IB33" s="96"/>
      <c r="IC33" s="58"/>
      <c r="ID33" s="58"/>
      <c r="IE33" s="97"/>
      <c r="IF33" s="58"/>
      <c r="IG33" s="59"/>
      <c r="IH33" s="86"/>
      <c r="II33" s="86"/>
      <c r="IJ33" s="98"/>
      <c r="IK33" s="86" t="s">
        <v>4</v>
      </c>
      <c r="IL33" s="86">
        <v>25</v>
      </c>
      <c r="IM33" s="58">
        <v>7.05</v>
      </c>
      <c r="IN33" s="96"/>
      <c r="IO33" s="96"/>
      <c r="IP33" s="53">
        <v>20.5</v>
      </c>
      <c r="IQ33" s="58">
        <f t="shared" si="47"/>
        <v>13.45</v>
      </c>
      <c r="IR33" s="97">
        <v>7.3</v>
      </c>
      <c r="IS33" s="58">
        <v>1</v>
      </c>
      <c r="IT33" s="59">
        <f t="shared" si="48"/>
        <v>5.1499999999999995</v>
      </c>
      <c r="IU33" s="86">
        <v>5</v>
      </c>
      <c r="IV33" s="86">
        <f t="shared" si="49"/>
        <v>14.999999999999947</v>
      </c>
      <c r="IW33" s="98"/>
      <c r="IY33" s="86" t="s">
        <v>4</v>
      </c>
      <c r="IZ33" s="86">
        <v>25</v>
      </c>
      <c r="JA33" s="58">
        <v>7.1</v>
      </c>
      <c r="JB33" s="96"/>
      <c r="JC33" s="96"/>
      <c r="JD33" s="53">
        <v>20.63</v>
      </c>
      <c r="JE33" s="58">
        <f t="shared" si="50"/>
        <v>13.53</v>
      </c>
      <c r="JF33" s="97">
        <v>7.3</v>
      </c>
      <c r="JG33" s="58">
        <v>1</v>
      </c>
      <c r="JH33" s="59">
        <f t="shared" si="51"/>
        <v>5.2299999999999995</v>
      </c>
      <c r="JI33" s="86">
        <v>5</v>
      </c>
      <c r="JJ33" s="86">
        <f t="shared" si="52"/>
        <v>22.999999999999954</v>
      </c>
      <c r="JK33" s="98"/>
      <c r="JL33" s="86" t="s">
        <v>4</v>
      </c>
      <c r="JM33" s="86">
        <v>25</v>
      </c>
      <c r="JN33" s="58">
        <v>7.15</v>
      </c>
      <c r="JO33" s="96"/>
      <c r="JP33" s="96"/>
      <c r="JQ33" s="53">
        <v>19.63</v>
      </c>
      <c r="JR33" s="58">
        <f t="shared" si="53"/>
        <v>12.479999999999999</v>
      </c>
      <c r="JS33" s="97">
        <v>7.3</v>
      </c>
      <c r="JT33" s="58">
        <v>1</v>
      </c>
      <c r="JU33" s="59">
        <f t="shared" si="54"/>
        <v>4.1799999999999988</v>
      </c>
      <c r="JV33" s="86">
        <v>4</v>
      </c>
      <c r="JW33" s="86">
        <f t="shared" si="55"/>
        <v>17.999999999999883</v>
      </c>
      <c r="JX33" s="98"/>
      <c r="JZ33" s="86" t="s">
        <v>4</v>
      </c>
      <c r="KA33" s="86">
        <v>25</v>
      </c>
      <c r="KB33" s="58">
        <v>7.2</v>
      </c>
      <c r="KC33" s="96"/>
      <c r="KD33" s="96"/>
      <c r="KE33" s="53">
        <v>20.49</v>
      </c>
      <c r="KF33" s="58">
        <f t="shared" si="56"/>
        <v>13.29</v>
      </c>
      <c r="KG33" s="97">
        <v>7.3</v>
      </c>
      <c r="KH33" s="58">
        <v>1.4</v>
      </c>
      <c r="KI33" s="59">
        <f t="shared" si="57"/>
        <v>4.59</v>
      </c>
      <c r="KJ33" s="86">
        <v>4</v>
      </c>
      <c r="KK33" s="86">
        <f t="shared" si="58"/>
        <v>58.999999999999986</v>
      </c>
      <c r="KL33" s="98"/>
    </row>
    <row r="34" spans="1:298" ht="17.149999999999999" customHeight="1" x14ac:dyDescent="0.35">
      <c r="A34" s="86" t="s">
        <v>5</v>
      </c>
      <c r="B34" s="86">
        <v>26</v>
      </c>
      <c r="C34" s="58">
        <v>7.15</v>
      </c>
      <c r="D34" s="96"/>
      <c r="E34" s="96"/>
      <c r="F34" s="53">
        <v>20.87</v>
      </c>
      <c r="G34" s="58">
        <f t="shared" si="0"/>
        <v>13.72</v>
      </c>
      <c r="H34" s="97">
        <v>7.3</v>
      </c>
      <c r="I34" s="58">
        <v>1</v>
      </c>
      <c r="J34" s="59">
        <f t="shared" si="1"/>
        <v>5.4200000000000008</v>
      </c>
      <c r="K34" s="86">
        <v>5</v>
      </c>
      <c r="L34" s="86">
        <f t="shared" si="2"/>
        <v>42.000000000000085</v>
      </c>
      <c r="M34" s="98"/>
      <c r="O34" s="86" t="s">
        <v>5</v>
      </c>
      <c r="P34" s="86">
        <v>26</v>
      </c>
      <c r="Q34" s="58">
        <v>7.15</v>
      </c>
      <c r="R34" s="96"/>
      <c r="S34" s="96"/>
      <c r="T34" s="53">
        <v>20.9</v>
      </c>
      <c r="U34" s="58">
        <f t="shared" si="3"/>
        <v>13.749999999999998</v>
      </c>
      <c r="V34" s="97">
        <v>7.3</v>
      </c>
      <c r="W34" s="58">
        <v>1</v>
      </c>
      <c r="X34" s="59">
        <f t="shared" si="4"/>
        <v>5.4499999999999984</v>
      </c>
      <c r="Y34" s="86">
        <v>5</v>
      </c>
      <c r="Z34" s="86">
        <f t="shared" si="5"/>
        <v>44.999999999999844</v>
      </c>
      <c r="AA34" s="98"/>
      <c r="AB34" s="86" t="s">
        <v>5</v>
      </c>
      <c r="AC34" s="86">
        <v>26</v>
      </c>
      <c r="AD34" s="58">
        <v>7.2</v>
      </c>
      <c r="AE34" s="96"/>
      <c r="AF34" s="96"/>
      <c r="AG34" s="53">
        <v>17.61</v>
      </c>
      <c r="AH34" s="58">
        <f t="shared" si="6"/>
        <v>10.41</v>
      </c>
      <c r="AI34" s="97">
        <v>7.3</v>
      </c>
      <c r="AJ34" s="58">
        <v>1</v>
      </c>
      <c r="AK34" s="59">
        <f t="shared" si="7"/>
        <v>2.1100000000000003</v>
      </c>
      <c r="AL34" s="86">
        <v>2</v>
      </c>
      <c r="AM34" s="86">
        <f t="shared" si="8"/>
        <v>11.000000000000032</v>
      </c>
      <c r="AN34" s="98"/>
      <c r="AP34" s="86" t="s">
        <v>5</v>
      </c>
      <c r="AQ34" s="86">
        <v>26</v>
      </c>
      <c r="AR34" s="58">
        <v>7.15</v>
      </c>
      <c r="AS34" s="96"/>
      <c r="AT34" s="96"/>
      <c r="AU34" s="53">
        <v>20.89</v>
      </c>
      <c r="AV34" s="58">
        <f t="shared" si="9"/>
        <v>13.74</v>
      </c>
      <c r="AW34" s="97">
        <v>7.3</v>
      </c>
      <c r="AX34" s="58">
        <v>1</v>
      </c>
      <c r="AY34" s="59">
        <f t="shared" si="10"/>
        <v>5.44</v>
      </c>
      <c r="AZ34" s="86">
        <v>5</v>
      </c>
      <c r="BA34" s="86">
        <f t="shared" si="11"/>
        <v>44.000000000000043</v>
      </c>
      <c r="BB34" s="98"/>
      <c r="BC34" s="86"/>
      <c r="BD34" s="86"/>
      <c r="BE34" s="58"/>
      <c r="BF34" s="58"/>
      <c r="BG34" s="58"/>
      <c r="BH34" s="58"/>
      <c r="BI34" s="58"/>
      <c r="BJ34" s="97"/>
      <c r="BK34" s="58"/>
      <c r="BL34" s="59"/>
      <c r="BM34" s="86"/>
      <c r="BN34" s="86"/>
      <c r="BO34" s="98"/>
      <c r="BQ34" s="86" t="s">
        <v>5</v>
      </c>
      <c r="BR34" s="86">
        <v>26</v>
      </c>
      <c r="BS34" s="58">
        <v>7.1</v>
      </c>
      <c r="BT34" s="96"/>
      <c r="BU34" s="96"/>
      <c r="BV34" s="53">
        <v>20.87</v>
      </c>
      <c r="BW34" s="58">
        <f t="shared" si="12"/>
        <v>13.770000000000001</v>
      </c>
      <c r="BX34" s="97">
        <v>7.3</v>
      </c>
      <c r="BY34" s="58">
        <v>1</v>
      </c>
      <c r="BZ34" s="59">
        <f t="shared" si="13"/>
        <v>5.4700000000000015</v>
      </c>
      <c r="CA34" s="86">
        <v>5</v>
      </c>
      <c r="CB34" s="86">
        <f t="shared" si="14"/>
        <v>47.000000000000156</v>
      </c>
      <c r="CC34" s="98"/>
      <c r="CE34" s="86" t="s">
        <v>5</v>
      </c>
      <c r="CF34" s="86">
        <v>26</v>
      </c>
      <c r="CG34" s="58">
        <v>7.25</v>
      </c>
      <c r="CH34" s="96"/>
      <c r="CI34" s="96"/>
      <c r="CJ34" s="53">
        <v>20.9</v>
      </c>
      <c r="CK34" s="58">
        <f t="shared" si="15"/>
        <v>13.649999999999999</v>
      </c>
      <c r="CL34" s="97">
        <v>7.3</v>
      </c>
      <c r="CM34" s="58">
        <v>1</v>
      </c>
      <c r="CN34" s="59">
        <f t="shared" si="16"/>
        <v>5.3499999999999988</v>
      </c>
      <c r="CO34" s="86">
        <v>5</v>
      </c>
      <c r="CP34" s="86">
        <f t="shared" si="17"/>
        <v>34.999999999999872</v>
      </c>
      <c r="CQ34" s="98"/>
      <c r="CR34" s="86" t="s">
        <v>5</v>
      </c>
      <c r="CS34" s="86">
        <v>26</v>
      </c>
      <c r="CT34" s="99">
        <v>7.5</v>
      </c>
      <c r="CU34" s="96"/>
      <c r="CV34" s="96"/>
      <c r="CW34" s="53">
        <v>20.87</v>
      </c>
      <c r="CX34" s="58">
        <f t="shared" si="18"/>
        <v>13.370000000000001</v>
      </c>
      <c r="CY34" s="97">
        <v>7.3</v>
      </c>
      <c r="CZ34" s="58">
        <v>1</v>
      </c>
      <c r="DA34" s="59">
        <f t="shared" si="19"/>
        <v>5.0700000000000012</v>
      </c>
      <c r="DB34" s="86">
        <v>5</v>
      </c>
      <c r="DC34" s="86">
        <f t="shared" si="20"/>
        <v>7.0000000000001172</v>
      </c>
      <c r="DD34" s="98"/>
      <c r="DF34" s="86" t="s">
        <v>5</v>
      </c>
      <c r="DG34" s="86">
        <v>26</v>
      </c>
      <c r="DH34" s="58">
        <v>7.4</v>
      </c>
      <c r="DI34" s="96"/>
      <c r="DJ34" s="96"/>
      <c r="DK34" s="53">
        <v>20.89</v>
      </c>
      <c r="DL34" s="58">
        <f t="shared" si="21"/>
        <v>13.49</v>
      </c>
      <c r="DM34" s="97">
        <v>7.3</v>
      </c>
      <c r="DN34" s="58">
        <v>1</v>
      </c>
      <c r="DO34" s="59">
        <f t="shared" si="22"/>
        <v>5.19</v>
      </c>
      <c r="DP34" s="86">
        <v>5</v>
      </c>
      <c r="DQ34" s="86">
        <f t="shared" si="23"/>
        <v>19.000000000000039</v>
      </c>
      <c r="DR34" s="98"/>
      <c r="DT34" s="86" t="s">
        <v>5</v>
      </c>
      <c r="DU34" s="86">
        <v>26</v>
      </c>
      <c r="DV34" s="58">
        <v>8</v>
      </c>
      <c r="DW34" s="96"/>
      <c r="DX34" s="96"/>
      <c r="DY34" s="53">
        <v>20.9</v>
      </c>
      <c r="DZ34" s="58">
        <f t="shared" si="24"/>
        <v>12.899999999999999</v>
      </c>
      <c r="EA34" s="97">
        <v>7.3</v>
      </c>
      <c r="EB34" s="58">
        <v>1</v>
      </c>
      <c r="EC34" s="59">
        <f t="shared" si="25"/>
        <v>4.5999999999999988</v>
      </c>
      <c r="ED34" s="86">
        <v>4</v>
      </c>
      <c r="EE34" s="86">
        <f t="shared" si="26"/>
        <v>59.999999999999872</v>
      </c>
      <c r="EF34" s="98"/>
      <c r="EG34" s="86" t="s">
        <v>5</v>
      </c>
      <c r="EH34" s="86">
        <v>26</v>
      </c>
      <c r="EI34" s="58">
        <v>7.2</v>
      </c>
      <c r="EJ34" s="96"/>
      <c r="EK34" s="96"/>
      <c r="EL34" s="53">
        <v>20.87</v>
      </c>
      <c r="EM34" s="58">
        <f t="shared" si="27"/>
        <v>13.670000000000002</v>
      </c>
      <c r="EN34" s="97">
        <v>7.3</v>
      </c>
      <c r="EO34" s="58">
        <v>1</v>
      </c>
      <c r="EP34" s="59">
        <f t="shared" si="28"/>
        <v>5.3700000000000019</v>
      </c>
      <c r="EQ34" s="86">
        <v>5</v>
      </c>
      <c r="ER34" s="86">
        <f t="shared" si="29"/>
        <v>37.000000000000185</v>
      </c>
      <c r="ES34" s="98"/>
      <c r="EU34" s="86" t="s">
        <v>5</v>
      </c>
      <c r="EV34" s="86">
        <v>26</v>
      </c>
      <c r="EW34" s="58">
        <v>7.1</v>
      </c>
      <c r="EX34" s="96"/>
      <c r="EY34" s="96"/>
      <c r="EZ34" s="53">
        <v>20.9</v>
      </c>
      <c r="FA34" s="58">
        <f t="shared" si="59"/>
        <v>13.799999999999999</v>
      </c>
      <c r="FB34" s="97">
        <v>7.3</v>
      </c>
      <c r="FC34" s="58">
        <v>1</v>
      </c>
      <c r="FD34" s="59">
        <f t="shared" si="30"/>
        <v>5.4999999999999991</v>
      </c>
      <c r="FE34" s="86">
        <v>5</v>
      </c>
      <c r="FF34" s="86">
        <f t="shared" si="31"/>
        <v>49.999999999999915</v>
      </c>
      <c r="FG34" s="98"/>
      <c r="FH34" s="86" t="s">
        <v>5</v>
      </c>
      <c r="FI34" s="86">
        <v>26</v>
      </c>
      <c r="FJ34" s="58">
        <v>7.15</v>
      </c>
      <c r="FK34" s="96"/>
      <c r="FL34" s="96"/>
      <c r="FM34" s="53">
        <v>20.95</v>
      </c>
      <c r="FN34" s="58">
        <f t="shared" si="32"/>
        <v>13.799999999999999</v>
      </c>
      <c r="FO34" s="97">
        <v>7.3</v>
      </c>
      <c r="FP34" s="58">
        <v>1</v>
      </c>
      <c r="FQ34" s="59">
        <f t="shared" si="33"/>
        <v>5.4999999999999991</v>
      </c>
      <c r="FR34" s="86">
        <v>5</v>
      </c>
      <c r="FS34" s="86">
        <f t="shared" si="34"/>
        <v>49.999999999999915</v>
      </c>
      <c r="FT34" s="98"/>
      <c r="FV34" s="86" t="s">
        <v>5</v>
      </c>
      <c r="FW34" s="86">
        <v>26</v>
      </c>
      <c r="FX34" s="58">
        <v>7.4</v>
      </c>
      <c r="FY34" s="96"/>
      <c r="FZ34" s="96"/>
      <c r="GA34" s="53">
        <v>20.89</v>
      </c>
      <c r="GB34" s="58">
        <f t="shared" si="35"/>
        <v>13.49</v>
      </c>
      <c r="GC34" s="97">
        <v>7.3</v>
      </c>
      <c r="GD34" s="58">
        <v>1</v>
      </c>
      <c r="GE34" s="59">
        <f t="shared" si="36"/>
        <v>5.19</v>
      </c>
      <c r="GF34" s="86">
        <v>5</v>
      </c>
      <c r="GG34" s="86">
        <f t="shared" si="37"/>
        <v>19.000000000000039</v>
      </c>
      <c r="GH34" s="98"/>
      <c r="GI34" s="86" t="s">
        <v>5</v>
      </c>
      <c r="GJ34" s="86">
        <v>26</v>
      </c>
      <c r="GK34" s="58">
        <v>7.1</v>
      </c>
      <c r="GL34" s="96"/>
      <c r="GM34" s="96"/>
      <c r="GN34" s="53">
        <v>20.440000000000001</v>
      </c>
      <c r="GO34" s="58">
        <f t="shared" si="38"/>
        <v>13.340000000000002</v>
      </c>
      <c r="GP34" s="97">
        <v>7.3</v>
      </c>
      <c r="GQ34" s="58">
        <v>1</v>
      </c>
      <c r="GR34" s="59">
        <f t="shared" si="39"/>
        <v>5.0400000000000018</v>
      </c>
      <c r="GS34" s="86">
        <v>5</v>
      </c>
      <c r="GT34" s="86">
        <f t="shared" si="40"/>
        <v>4.0000000000001812</v>
      </c>
      <c r="GU34" s="98"/>
      <c r="GW34" s="86" t="s">
        <v>5</v>
      </c>
      <c r="GX34" s="86">
        <v>26</v>
      </c>
      <c r="GY34" s="58">
        <v>7.1</v>
      </c>
      <c r="GZ34" s="96"/>
      <c r="HA34" s="96"/>
      <c r="HB34" s="53">
        <v>19.100000000000001</v>
      </c>
      <c r="HC34" s="58">
        <f t="shared" si="41"/>
        <v>12.000000000000002</v>
      </c>
      <c r="HD34" s="97">
        <v>7.3</v>
      </c>
      <c r="HE34" s="58">
        <v>1.4</v>
      </c>
      <c r="HF34" s="59">
        <f t="shared" si="42"/>
        <v>3.300000000000002</v>
      </c>
      <c r="HG34" s="86">
        <v>3</v>
      </c>
      <c r="HH34" s="86">
        <f t="shared" si="43"/>
        <v>30.000000000000206</v>
      </c>
      <c r="HI34" s="103" t="s">
        <v>228</v>
      </c>
      <c r="HJ34" s="86" t="s">
        <v>5</v>
      </c>
      <c r="HK34" s="86">
        <v>26</v>
      </c>
      <c r="HL34" s="58">
        <v>7.1</v>
      </c>
      <c r="HM34" s="96"/>
      <c r="HN34" s="96"/>
      <c r="HO34" s="53">
        <v>20.89</v>
      </c>
      <c r="HP34" s="58">
        <f t="shared" si="44"/>
        <v>13.790000000000001</v>
      </c>
      <c r="HQ34" s="97">
        <v>7.3</v>
      </c>
      <c r="HR34" s="58">
        <v>1</v>
      </c>
      <c r="HS34" s="59">
        <f t="shared" si="45"/>
        <v>5.4900000000000011</v>
      </c>
      <c r="HT34" s="86">
        <v>5</v>
      </c>
      <c r="HU34" s="86">
        <f t="shared" si="46"/>
        <v>49.000000000000114</v>
      </c>
      <c r="HV34" s="98"/>
      <c r="HX34" s="86"/>
      <c r="HY34" s="86"/>
      <c r="HZ34" s="58"/>
      <c r="IA34" s="58"/>
      <c r="IB34" s="58"/>
      <c r="IC34" s="58"/>
      <c r="ID34" s="58"/>
      <c r="IE34" s="97"/>
      <c r="IF34" s="58"/>
      <c r="IG34" s="59"/>
      <c r="IH34" s="86"/>
      <c r="II34" s="86"/>
      <c r="IJ34" s="98"/>
      <c r="IK34" s="86" t="s">
        <v>5</v>
      </c>
      <c r="IL34" s="86">
        <v>26</v>
      </c>
      <c r="IM34" s="58">
        <v>7.05</v>
      </c>
      <c r="IN34" s="96"/>
      <c r="IO34" s="96"/>
      <c r="IP34" s="53">
        <v>20.89</v>
      </c>
      <c r="IQ34" s="58">
        <f t="shared" si="47"/>
        <v>13.84</v>
      </c>
      <c r="IR34" s="97">
        <v>7.3</v>
      </c>
      <c r="IS34" s="58">
        <v>1</v>
      </c>
      <c r="IT34" s="59">
        <f t="shared" si="48"/>
        <v>5.54</v>
      </c>
      <c r="IU34" s="86">
        <v>5</v>
      </c>
      <c r="IV34" s="86">
        <f t="shared" si="49"/>
        <v>54</v>
      </c>
      <c r="IW34" s="98"/>
      <c r="IY34" s="86" t="s">
        <v>5</v>
      </c>
      <c r="IZ34" s="86">
        <v>26</v>
      </c>
      <c r="JA34" s="58">
        <v>7.1</v>
      </c>
      <c r="JB34" s="96"/>
      <c r="JC34" s="96"/>
      <c r="JD34" s="53">
        <v>20.87</v>
      </c>
      <c r="JE34" s="58">
        <f t="shared" si="50"/>
        <v>13.770000000000001</v>
      </c>
      <c r="JF34" s="97">
        <v>7.3</v>
      </c>
      <c r="JG34" s="58">
        <v>1</v>
      </c>
      <c r="JH34" s="59">
        <f t="shared" si="51"/>
        <v>5.4700000000000015</v>
      </c>
      <c r="JI34" s="86">
        <v>5</v>
      </c>
      <c r="JJ34" s="86">
        <f t="shared" si="52"/>
        <v>47.000000000000156</v>
      </c>
      <c r="JK34" s="98"/>
      <c r="JL34" s="86" t="s">
        <v>5</v>
      </c>
      <c r="JM34" s="86">
        <v>26</v>
      </c>
      <c r="JN34" s="58">
        <v>7.15</v>
      </c>
      <c r="JO34" s="96"/>
      <c r="JP34" s="96"/>
      <c r="JQ34" s="53">
        <v>17.61</v>
      </c>
      <c r="JR34" s="58">
        <f t="shared" si="53"/>
        <v>10.459999999999999</v>
      </c>
      <c r="JS34" s="97">
        <v>7.3</v>
      </c>
      <c r="JT34" s="58">
        <v>1</v>
      </c>
      <c r="JU34" s="59">
        <f t="shared" si="54"/>
        <v>2.1599999999999993</v>
      </c>
      <c r="JV34" s="86">
        <v>2</v>
      </c>
      <c r="JW34" s="86">
        <f t="shared" si="55"/>
        <v>15.999999999999925</v>
      </c>
      <c r="JX34" s="98"/>
      <c r="JZ34" s="86" t="s">
        <v>5</v>
      </c>
      <c r="KA34" s="86">
        <v>26</v>
      </c>
      <c r="KB34" s="58">
        <v>7.2</v>
      </c>
      <c r="KC34" s="96"/>
      <c r="KD34" s="96"/>
      <c r="KE34" s="53">
        <v>20.88</v>
      </c>
      <c r="KF34" s="58">
        <f t="shared" si="56"/>
        <v>13.68</v>
      </c>
      <c r="KG34" s="97">
        <v>7.3</v>
      </c>
      <c r="KH34" s="58">
        <v>1</v>
      </c>
      <c r="KI34" s="59">
        <f t="shared" si="57"/>
        <v>5.38</v>
      </c>
      <c r="KJ34" s="86">
        <v>5</v>
      </c>
      <c r="KK34" s="86">
        <f t="shared" si="58"/>
        <v>37.999999999999986</v>
      </c>
      <c r="KL34" s="98"/>
    </row>
    <row r="35" spans="1:298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>
        <v>0</v>
      </c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>
        <v>0</v>
      </c>
      <c r="Z35" s="55">
        <f t="shared" si="5"/>
        <v>0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>
        <v>0</v>
      </c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>
        <v>0</v>
      </c>
      <c r="BA35" s="55">
        <f t="shared" si="11"/>
        <v>0</v>
      </c>
      <c r="BB35" s="95"/>
      <c r="BC35" s="86"/>
      <c r="BD35" s="86"/>
      <c r="BE35" s="58"/>
      <c r="BF35" s="58"/>
      <c r="BG35" s="58"/>
      <c r="BH35" s="58"/>
      <c r="BI35" s="58"/>
      <c r="BJ35" s="97"/>
      <c r="BK35" s="58"/>
      <c r="BL35" s="59"/>
      <c r="BM35" s="86"/>
      <c r="BN35" s="86"/>
      <c r="BO35" s="98"/>
      <c r="BQ35" s="55" t="s">
        <v>6</v>
      </c>
      <c r="BR35" s="55">
        <v>27</v>
      </c>
      <c r="BS35" s="52"/>
      <c r="BT35" s="52"/>
      <c r="BU35" s="52"/>
      <c r="BV35" s="52"/>
      <c r="BW35" s="52">
        <f t="shared" si="12"/>
        <v>0</v>
      </c>
      <c r="BX35" s="56"/>
      <c r="BY35" s="52"/>
      <c r="BZ35" s="57">
        <f t="shared" si="13"/>
        <v>0</v>
      </c>
      <c r="CA35" s="55"/>
      <c r="CB35" s="55">
        <f t="shared" si="14"/>
        <v>0</v>
      </c>
      <c r="CC35" s="95"/>
      <c r="CE35" s="55" t="s">
        <v>6</v>
      </c>
      <c r="CF35" s="55">
        <v>27</v>
      </c>
      <c r="CG35" s="52"/>
      <c r="CH35" s="52"/>
      <c r="CI35" s="52"/>
      <c r="CJ35" s="52"/>
      <c r="CK35" s="52">
        <f t="shared" si="15"/>
        <v>0</v>
      </c>
      <c r="CL35" s="56"/>
      <c r="CM35" s="52"/>
      <c r="CN35" s="57">
        <f t="shared" si="16"/>
        <v>0</v>
      </c>
      <c r="CO35" s="55">
        <v>0</v>
      </c>
      <c r="CP35" s="55">
        <f t="shared" si="17"/>
        <v>0</v>
      </c>
      <c r="CQ35" s="95"/>
      <c r="CR35" s="55" t="s">
        <v>6</v>
      </c>
      <c r="CS35" s="55">
        <v>27</v>
      </c>
      <c r="CT35" s="52"/>
      <c r="CU35" s="52"/>
      <c r="CV35" s="52"/>
      <c r="CW35" s="52"/>
      <c r="CX35" s="52">
        <f t="shared" si="18"/>
        <v>0</v>
      </c>
      <c r="CY35" s="56"/>
      <c r="CZ35" s="52"/>
      <c r="DA35" s="57">
        <f t="shared" si="19"/>
        <v>0</v>
      </c>
      <c r="DB35" s="55"/>
      <c r="DC35" s="55">
        <f t="shared" si="20"/>
        <v>0</v>
      </c>
      <c r="DD35" s="95"/>
      <c r="DF35" s="55" t="s">
        <v>6</v>
      </c>
      <c r="DG35" s="55">
        <v>27</v>
      </c>
      <c r="DH35" s="52"/>
      <c r="DI35" s="52"/>
      <c r="DJ35" s="52"/>
      <c r="DK35" s="52"/>
      <c r="DL35" s="52">
        <f t="shared" si="21"/>
        <v>0</v>
      </c>
      <c r="DM35" s="56"/>
      <c r="DN35" s="52"/>
      <c r="DO35" s="57">
        <f t="shared" si="22"/>
        <v>0</v>
      </c>
      <c r="DP35" s="55">
        <v>0</v>
      </c>
      <c r="DQ35" s="55">
        <f t="shared" si="23"/>
        <v>0</v>
      </c>
      <c r="DR35" s="95"/>
      <c r="DT35" s="55" t="s">
        <v>6</v>
      </c>
      <c r="DU35" s="55">
        <v>27</v>
      </c>
      <c r="DV35" s="52"/>
      <c r="DW35" s="52"/>
      <c r="DX35" s="52"/>
      <c r="DY35" s="52"/>
      <c r="DZ35" s="52">
        <f t="shared" si="24"/>
        <v>0</v>
      </c>
      <c r="EA35" s="56"/>
      <c r="EB35" s="52"/>
      <c r="EC35" s="57">
        <f t="shared" si="25"/>
        <v>0</v>
      </c>
      <c r="ED35" s="55">
        <v>0</v>
      </c>
      <c r="EE35" s="55">
        <f t="shared" si="26"/>
        <v>0</v>
      </c>
      <c r="EF35" s="95"/>
      <c r="EG35" s="55" t="s">
        <v>6</v>
      </c>
      <c r="EH35" s="55">
        <v>27</v>
      </c>
      <c r="EI35" s="52"/>
      <c r="EJ35" s="52"/>
      <c r="EK35" s="52"/>
      <c r="EL35" s="52"/>
      <c r="EM35" s="52">
        <f t="shared" si="27"/>
        <v>0</v>
      </c>
      <c r="EN35" s="56"/>
      <c r="EO35" s="52"/>
      <c r="EP35" s="57">
        <f t="shared" si="28"/>
        <v>0</v>
      </c>
      <c r="EQ35" s="55">
        <v>0</v>
      </c>
      <c r="ER35" s="55">
        <f t="shared" si="29"/>
        <v>0</v>
      </c>
      <c r="ES35" s="95"/>
      <c r="EU35" s="55" t="s">
        <v>6</v>
      </c>
      <c r="EV35" s="55">
        <v>27</v>
      </c>
      <c r="EW35" s="52"/>
      <c r="EX35" s="52"/>
      <c r="EY35" s="52"/>
      <c r="EZ35" s="52"/>
      <c r="FA35" s="52">
        <f t="shared" si="59"/>
        <v>0</v>
      </c>
      <c r="FB35" s="56"/>
      <c r="FC35" s="52"/>
      <c r="FD35" s="57">
        <f t="shared" si="30"/>
        <v>0</v>
      </c>
      <c r="FE35" s="55">
        <v>0</v>
      </c>
      <c r="FF35" s="55">
        <f t="shared" si="31"/>
        <v>0</v>
      </c>
      <c r="FG35" s="95"/>
      <c r="FH35" s="55" t="s">
        <v>6</v>
      </c>
      <c r="FI35" s="55">
        <v>27</v>
      </c>
      <c r="FJ35" s="52"/>
      <c r="FK35" s="52"/>
      <c r="FL35" s="52">
        <v>11.4</v>
      </c>
      <c r="FM35" s="52">
        <v>11.57</v>
      </c>
      <c r="FN35" s="52">
        <f t="shared" si="32"/>
        <v>0.16999999999999993</v>
      </c>
      <c r="FO35" s="56"/>
      <c r="FP35" s="52"/>
      <c r="FQ35" s="57">
        <f t="shared" si="33"/>
        <v>0.16999999999999993</v>
      </c>
      <c r="FR35" s="55">
        <v>0</v>
      </c>
      <c r="FS35" s="55">
        <f t="shared" si="34"/>
        <v>16.999999999999993</v>
      </c>
      <c r="FT35" s="95"/>
      <c r="FV35" s="55" t="s">
        <v>6</v>
      </c>
      <c r="FW35" s="55">
        <v>27</v>
      </c>
      <c r="FX35" s="52"/>
      <c r="FY35" s="52"/>
      <c r="FZ35" s="52"/>
      <c r="GA35" s="52"/>
      <c r="GB35" s="52">
        <f t="shared" si="35"/>
        <v>0</v>
      </c>
      <c r="GC35" s="56"/>
      <c r="GD35" s="52"/>
      <c r="GE35" s="57">
        <f t="shared" si="36"/>
        <v>0</v>
      </c>
      <c r="GF35" s="55">
        <v>0</v>
      </c>
      <c r="GG35" s="55">
        <f t="shared" si="37"/>
        <v>0</v>
      </c>
      <c r="GH35" s="95"/>
      <c r="GI35" s="55" t="s">
        <v>6</v>
      </c>
      <c r="GJ35" s="55">
        <v>27</v>
      </c>
      <c r="GK35" s="52"/>
      <c r="GL35" s="52"/>
      <c r="GM35" s="52"/>
      <c r="GN35" s="52"/>
      <c r="GO35" s="52">
        <f t="shared" si="38"/>
        <v>0</v>
      </c>
      <c r="GP35" s="56"/>
      <c r="GQ35" s="52"/>
      <c r="GR35" s="57">
        <f t="shared" si="39"/>
        <v>0</v>
      </c>
      <c r="GS35" s="55">
        <v>0</v>
      </c>
      <c r="GT35" s="55">
        <f t="shared" si="40"/>
        <v>0</v>
      </c>
      <c r="GU35" s="95"/>
      <c r="GW35" s="55" t="s">
        <v>6</v>
      </c>
      <c r="GX35" s="55">
        <v>27</v>
      </c>
      <c r="GY35" s="52"/>
      <c r="GZ35" s="52"/>
      <c r="HA35" s="52"/>
      <c r="HB35" s="52"/>
      <c r="HC35" s="52">
        <f t="shared" si="41"/>
        <v>0</v>
      </c>
      <c r="HD35" s="56"/>
      <c r="HE35" s="52"/>
      <c r="HF35" s="57">
        <f t="shared" si="42"/>
        <v>0</v>
      </c>
      <c r="HG35" s="55">
        <v>0</v>
      </c>
      <c r="HH35" s="55">
        <f t="shared" si="43"/>
        <v>0</v>
      </c>
      <c r="HI35" s="95"/>
      <c r="HJ35" s="55" t="s">
        <v>6</v>
      </c>
      <c r="HK35" s="55">
        <v>27</v>
      </c>
      <c r="HL35" s="52"/>
      <c r="HM35" s="52"/>
      <c r="HN35" s="52"/>
      <c r="HO35" s="52"/>
      <c r="HP35" s="52">
        <f t="shared" si="44"/>
        <v>0</v>
      </c>
      <c r="HQ35" s="56"/>
      <c r="HR35" s="52"/>
      <c r="HS35" s="57">
        <f t="shared" si="45"/>
        <v>0</v>
      </c>
      <c r="HT35" s="55">
        <v>0</v>
      </c>
      <c r="HU35" s="55">
        <f t="shared" si="46"/>
        <v>0</v>
      </c>
      <c r="HV35" s="95"/>
      <c r="HX35" s="86"/>
      <c r="HY35" s="86"/>
      <c r="HZ35" s="58"/>
      <c r="IA35" s="58"/>
      <c r="IB35" s="58"/>
      <c r="IC35" s="58"/>
      <c r="ID35" s="58"/>
      <c r="IE35" s="97"/>
      <c r="IF35" s="58"/>
      <c r="IG35" s="59"/>
      <c r="IH35" s="86"/>
      <c r="II35" s="86"/>
      <c r="IJ35" s="98"/>
      <c r="IK35" s="55" t="s">
        <v>6</v>
      </c>
      <c r="IL35" s="55">
        <v>27</v>
      </c>
      <c r="IM35" s="52"/>
      <c r="IN35" s="52"/>
      <c r="IO35" s="52"/>
      <c r="IP35" s="52"/>
      <c r="IQ35" s="52">
        <f t="shared" si="47"/>
        <v>0</v>
      </c>
      <c r="IR35" s="56"/>
      <c r="IS35" s="52"/>
      <c r="IT35" s="57">
        <f t="shared" si="48"/>
        <v>0</v>
      </c>
      <c r="IU35" s="55">
        <v>0</v>
      </c>
      <c r="IV35" s="55">
        <f t="shared" si="49"/>
        <v>0</v>
      </c>
      <c r="IW35" s="95"/>
      <c r="IY35" s="55" t="s">
        <v>6</v>
      </c>
      <c r="IZ35" s="55">
        <v>27</v>
      </c>
      <c r="JA35" s="52"/>
      <c r="JB35" s="52"/>
      <c r="JC35" s="52"/>
      <c r="JD35" s="52"/>
      <c r="JE35" s="52">
        <f t="shared" si="50"/>
        <v>0</v>
      </c>
      <c r="JF35" s="56"/>
      <c r="JG35" s="52"/>
      <c r="JH35" s="57">
        <f t="shared" si="51"/>
        <v>0</v>
      </c>
      <c r="JI35" s="55">
        <v>0</v>
      </c>
      <c r="JJ35" s="55">
        <f t="shared" si="52"/>
        <v>0</v>
      </c>
      <c r="JK35" s="95"/>
      <c r="JL35" s="55" t="s">
        <v>6</v>
      </c>
      <c r="JM35" s="55">
        <v>27</v>
      </c>
      <c r="JN35" s="52"/>
      <c r="JO35" s="52"/>
      <c r="JP35" s="52"/>
      <c r="JQ35" s="52"/>
      <c r="JR35" s="52">
        <f t="shared" si="53"/>
        <v>0</v>
      </c>
      <c r="JS35" s="56"/>
      <c r="JT35" s="52"/>
      <c r="JU35" s="57">
        <f t="shared" si="54"/>
        <v>0</v>
      </c>
      <c r="JV35" s="55">
        <v>0</v>
      </c>
      <c r="JW35" s="55">
        <f t="shared" si="55"/>
        <v>0</v>
      </c>
      <c r="JX35" s="95"/>
      <c r="JZ35" s="55" t="s">
        <v>6</v>
      </c>
      <c r="KA35" s="55">
        <v>27</v>
      </c>
      <c r="KB35" s="52"/>
      <c r="KC35" s="52"/>
      <c r="KD35" s="52"/>
      <c r="KE35" s="52"/>
      <c r="KF35" s="52">
        <f t="shared" si="56"/>
        <v>0</v>
      </c>
      <c r="KG35" s="56"/>
      <c r="KH35" s="52"/>
      <c r="KI35" s="57">
        <f t="shared" si="57"/>
        <v>0</v>
      </c>
      <c r="KJ35" s="55">
        <v>0</v>
      </c>
      <c r="KK35" s="55">
        <f t="shared" si="58"/>
        <v>0</v>
      </c>
      <c r="KL35" s="95"/>
    </row>
    <row r="36" spans="1:298" ht="17.149999999999999" customHeight="1" x14ac:dyDescent="0.35">
      <c r="A36" s="86" t="s">
        <v>1</v>
      </c>
      <c r="B36" s="86">
        <v>28</v>
      </c>
      <c r="C36" s="58">
        <v>7.15</v>
      </c>
      <c r="D36" s="96"/>
      <c r="E36" s="96"/>
      <c r="F36" s="53">
        <v>18.62</v>
      </c>
      <c r="G36" s="58">
        <f t="shared" si="0"/>
        <v>11.47</v>
      </c>
      <c r="H36" s="97">
        <v>7.3</v>
      </c>
      <c r="I36" s="58">
        <v>1</v>
      </c>
      <c r="J36" s="59">
        <f t="shared" si="1"/>
        <v>3.1700000000000008</v>
      </c>
      <c r="K36" s="86">
        <v>3</v>
      </c>
      <c r="L36" s="86">
        <f t="shared" si="2"/>
        <v>17.000000000000082</v>
      </c>
      <c r="M36" s="98"/>
      <c r="O36" s="86" t="s">
        <v>1</v>
      </c>
      <c r="P36" s="86">
        <v>28</v>
      </c>
      <c r="Q36" s="58">
        <v>7.15</v>
      </c>
      <c r="R36" s="96"/>
      <c r="S36" s="96"/>
      <c r="T36" s="53">
        <v>18.62</v>
      </c>
      <c r="U36" s="58">
        <f t="shared" si="3"/>
        <v>11.47</v>
      </c>
      <c r="V36" s="97">
        <v>7.3</v>
      </c>
      <c r="W36" s="58">
        <v>1</v>
      </c>
      <c r="X36" s="59">
        <f t="shared" si="4"/>
        <v>3.1700000000000008</v>
      </c>
      <c r="Y36" s="86">
        <v>3</v>
      </c>
      <c r="Z36" s="86">
        <f t="shared" si="5"/>
        <v>17.000000000000082</v>
      </c>
      <c r="AA36" s="98"/>
      <c r="AB36" s="86" t="s">
        <v>1</v>
      </c>
      <c r="AC36" s="86">
        <v>28</v>
      </c>
      <c r="AD36" s="58">
        <v>7.2</v>
      </c>
      <c r="AE36" s="96"/>
      <c r="AF36" s="96"/>
      <c r="AG36" s="53">
        <v>18.62</v>
      </c>
      <c r="AH36" s="58">
        <f t="shared" si="6"/>
        <v>11.420000000000002</v>
      </c>
      <c r="AI36" s="97">
        <v>7.3</v>
      </c>
      <c r="AJ36" s="58">
        <v>1</v>
      </c>
      <c r="AK36" s="59">
        <f t="shared" si="7"/>
        <v>3.1200000000000019</v>
      </c>
      <c r="AL36" s="86">
        <v>3</v>
      </c>
      <c r="AM36" s="86">
        <f t="shared" si="8"/>
        <v>12.000000000000188</v>
      </c>
      <c r="AN36" s="98"/>
      <c r="AP36" s="86" t="s">
        <v>1</v>
      </c>
      <c r="AQ36" s="86">
        <v>28</v>
      </c>
      <c r="AR36" s="58">
        <v>7.15</v>
      </c>
      <c r="AS36" s="96"/>
      <c r="AT36" s="96"/>
      <c r="AU36" s="53">
        <v>19.71</v>
      </c>
      <c r="AV36" s="58">
        <f t="shared" si="9"/>
        <v>12.56</v>
      </c>
      <c r="AW36" s="97">
        <v>7.3</v>
      </c>
      <c r="AX36" s="58">
        <v>1</v>
      </c>
      <c r="AY36" s="59">
        <f t="shared" si="10"/>
        <v>4.2600000000000007</v>
      </c>
      <c r="AZ36" s="86">
        <v>4</v>
      </c>
      <c r="BA36" s="86">
        <f t="shared" si="11"/>
        <v>26.000000000000068</v>
      </c>
      <c r="BB36" s="98"/>
      <c r="BC36" s="86"/>
      <c r="BD36" s="86"/>
      <c r="BE36" s="58"/>
      <c r="BF36" s="58"/>
      <c r="BG36" s="58"/>
      <c r="BH36" s="58"/>
      <c r="BI36" s="58"/>
      <c r="BJ36" s="97"/>
      <c r="BK36" s="58"/>
      <c r="BL36" s="59"/>
      <c r="BM36" s="86"/>
      <c r="BN36" s="86"/>
      <c r="BO36" s="98"/>
      <c r="BQ36" s="86" t="s">
        <v>1</v>
      </c>
      <c r="BR36" s="86">
        <v>28</v>
      </c>
      <c r="BS36" s="58">
        <v>7.1</v>
      </c>
      <c r="BT36" s="96"/>
      <c r="BU36" s="96"/>
      <c r="BV36" s="53">
        <v>18.63</v>
      </c>
      <c r="BW36" s="58">
        <f t="shared" si="12"/>
        <v>11.53</v>
      </c>
      <c r="BX36" s="97">
        <v>7.3</v>
      </c>
      <c r="BY36" s="58">
        <v>1</v>
      </c>
      <c r="BZ36" s="59">
        <f t="shared" si="13"/>
        <v>3.2299999999999995</v>
      </c>
      <c r="CA36" s="86">
        <v>3</v>
      </c>
      <c r="CB36" s="86">
        <f t="shared" si="14"/>
        <v>22.999999999999954</v>
      </c>
      <c r="CC36" s="98"/>
      <c r="CE36" s="86" t="s">
        <v>1</v>
      </c>
      <c r="CF36" s="86">
        <v>28</v>
      </c>
      <c r="CG36" s="99">
        <v>9</v>
      </c>
      <c r="CH36" s="96"/>
      <c r="CI36" s="96"/>
      <c r="CJ36" s="53">
        <v>19.96</v>
      </c>
      <c r="CK36" s="58">
        <f t="shared" si="15"/>
        <v>10.96</v>
      </c>
      <c r="CL36" s="97">
        <v>7.3</v>
      </c>
      <c r="CM36" s="58">
        <v>1.4</v>
      </c>
      <c r="CN36" s="59">
        <f t="shared" si="16"/>
        <v>2.2600000000000011</v>
      </c>
      <c r="CO36" s="86">
        <v>2</v>
      </c>
      <c r="CP36" s="86">
        <f t="shared" si="17"/>
        <v>26.000000000000114</v>
      </c>
      <c r="CQ36" s="98"/>
      <c r="CR36" s="86" t="s">
        <v>1</v>
      </c>
      <c r="CS36" s="86">
        <v>28</v>
      </c>
      <c r="CT36" s="99">
        <v>8.0500000000000007</v>
      </c>
      <c r="CU36" s="96"/>
      <c r="CV36" s="96"/>
      <c r="CW36" s="53">
        <v>18.63</v>
      </c>
      <c r="CX36" s="58">
        <f t="shared" si="18"/>
        <v>10.579999999999998</v>
      </c>
      <c r="CY36" s="97">
        <v>7.3</v>
      </c>
      <c r="CZ36" s="58">
        <v>1</v>
      </c>
      <c r="DA36" s="59">
        <f t="shared" si="19"/>
        <v>2.2799999999999985</v>
      </c>
      <c r="DB36" s="86">
        <v>2</v>
      </c>
      <c r="DC36" s="86">
        <f t="shared" si="20"/>
        <v>27.999999999999847</v>
      </c>
      <c r="DD36" s="98"/>
      <c r="DF36" s="86" t="s">
        <v>1</v>
      </c>
      <c r="DG36" s="86">
        <v>28</v>
      </c>
      <c r="DH36" s="58">
        <v>7.4</v>
      </c>
      <c r="DI36" s="96"/>
      <c r="DJ36" s="96"/>
      <c r="DK36" s="53">
        <v>18.62</v>
      </c>
      <c r="DL36" s="58">
        <f t="shared" si="21"/>
        <v>11.22</v>
      </c>
      <c r="DM36" s="97">
        <v>7.3</v>
      </c>
      <c r="DN36" s="58">
        <v>1.4</v>
      </c>
      <c r="DO36" s="59">
        <f t="shared" si="22"/>
        <v>2.5200000000000009</v>
      </c>
      <c r="DP36" s="86">
        <v>2</v>
      </c>
      <c r="DQ36" s="86">
        <f t="shared" si="23"/>
        <v>52.000000000000092</v>
      </c>
      <c r="DR36" s="98"/>
      <c r="DT36" s="86" t="s">
        <v>1</v>
      </c>
      <c r="DU36" s="86">
        <v>28</v>
      </c>
      <c r="DV36" s="58">
        <v>8</v>
      </c>
      <c r="DW36" s="96"/>
      <c r="DX36" s="96"/>
      <c r="DY36" s="53">
        <v>18.62</v>
      </c>
      <c r="DZ36" s="58">
        <f t="shared" si="24"/>
        <v>10.620000000000001</v>
      </c>
      <c r="EA36" s="97">
        <v>7.3</v>
      </c>
      <c r="EB36" s="58">
        <v>1</v>
      </c>
      <c r="EC36" s="59">
        <f t="shared" si="25"/>
        <v>2.3200000000000012</v>
      </c>
      <c r="ED36" s="86">
        <v>2</v>
      </c>
      <c r="EE36" s="86">
        <f t="shared" si="26"/>
        <v>32.000000000000114</v>
      </c>
      <c r="EF36" s="98"/>
      <c r="EG36" s="86" t="s">
        <v>1</v>
      </c>
      <c r="EH36" s="86">
        <v>28</v>
      </c>
      <c r="EI36" s="58">
        <v>7.2</v>
      </c>
      <c r="EJ36" s="96"/>
      <c r="EK36" s="96"/>
      <c r="EL36" s="53">
        <v>18.62</v>
      </c>
      <c r="EM36" s="58">
        <f t="shared" si="27"/>
        <v>11.420000000000002</v>
      </c>
      <c r="EN36" s="97">
        <v>7.3</v>
      </c>
      <c r="EO36" s="58">
        <v>1</v>
      </c>
      <c r="EP36" s="59">
        <f t="shared" si="28"/>
        <v>3.1200000000000019</v>
      </c>
      <c r="EQ36" s="86">
        <v>3</v>
      </c>
      <c r="ER36" s="86">
        <f t="shared" si="29"/>
        <v>12.000000000000188</v>
      </c>
      <c r="ES36" s="98"/>
      <c r="EU36" s="86" t="s">
        <v>1</v>
      </c>
      <c r="EV36" s="86">
        <v>28</v>
      </c>
      <c r="EW36" s="58">
        <v>7.1</v>
      </c>
      <c r="EX36" s="96"/>
      <c r="EY36" s="96"/>
      <c r="EZ36" s="53">
        <v>18.670000000000002</v>
      </c>
      <c r="FA36" s="58">
        <f t="shared" si="59"/>
        <v>11.570000000000002</v>
      </c>
      <c r="FB36" s="97">
        <v>7.3</v>
      </c>
      <c r="FC36" s="58">
        <v>1</v>
      </c>
      <c r="FD36" s="59">
        <f t="shared" si="30"/>
        <v>3.2700000000000022</v>
      </c>
      <c r="FE36" s="86">
        <v>3</v>
      </c>
      <c r="FF36" s="86">
        <f t="shared" si="31"/>
        <v>27.000000000000224</v>
      </c>
      <c r="FG36" s="98"/>
      <c r="FH36" s="86" t="s">
        <v>1</v>
      </c>
      <c r="FI36" s="86">
        <v>28</v>
      </c>
      <c r="FJ36" s="58">
        <v>7.15</v>
      </c>
      <c r="FK36" s="96"/>
      <c r="FL36" s="96"/>
      <c r="FM36" s="53">
        <v>18.670000000000002</v>
      </c>
      <c r="FN36" s="58">
        <f t="shared" si="32"/>
        <v>11.520000000000001</v>
      </c>
      <c r="FO36" s="97">
        <v>7.3</v>
      </c>
      <c r="FP36" s="58">
        <v>1</v>
      </c>
      <c r="FQ36" s="59">
        <f t="shared" si="33"/>
        <v>3.2200000000000015</v>
      </c>
      <c r="FR36" s="86">
        <v>3</v>
      </c>
      <c r="FS36" s="86">
        <f t="shared" si="34"/>
        <v>22.000000000000153</v>
      </c>
      <c r="FT36" s="98"/>
      <c r="FV36" s="86" t="s">
        <v>1</v>
      </c>
      <c r="FW36" s="86">
        <v>28</v>
      </c>
      <c r="FX36" s="58">
        <v>7.45</v>
      </c>
      <c r="FY36" s="96"/>
      <c r="FZ36" s="96"/>
      <c r="GA36" s="53">
        <v>18.68</v>
      </c>
      <c r="GB36" s="58">
        <f t="shared" si="35"/>
        <v>11.23</v>
      </c>
      <c r="GC36" s="97">
        <v>7.3</v>
      </c>
      <c r="GD36" s="58">
        <v>1.4</v>
      </c>
      <c r="GE36" s="59">
        <f t="shared" si="36"/>
        <v>2.5300000000000007</v>
      </c>
      <c r="GF36" s="86">
        <v>2</v>
      </c>
      <c r="GG36" s="86">
        <f t="shared" si="37"/>
        <v>53.000000000000071</v>
      </c>
      <c r="GH36" s="98"/>
      <c r="GI36" s="86" t="s">
        <v>1</v>
      </c>
      <c r="GJ36" s="86">
        <v>28</v>
      </c>
      <c r="GK36" s="99">
        <v>7.5</v>
      </c>
      <c r="GL36" s="96"/>
      <c r="GM36" s="96"/>
      <c r="GN36" s="53">
        <v>18.649999999999999</v>
      </c>
      <c r="GO36" s="58">
        <f t="shared" si="38"/>
        <v>11.149999999999999</v>
      </c>
      <c r="GP36" s="97">
        <v>7.3</v>
      </c>
      <c r="GQ36" s="58">
        <v>1.4</v>
      </c>
      <c r="GR36" s="59">
        <f t="shared" si="39"/>
        <v>2.4499999999999988</v>
      </c>
      <c r="GS36" s="86">
        <v>2</v>
      </c>
      <c r="GT36" s="86">
        <f t="shared" si="40"/>
        <v>44.999999999999886</v>
      </c>
      <c r="GU36" s="98"/>
      <c r="GW36" s="86" t="s">
        <v>1</v>
      </c>
      <c r="GX36" s="86">
        <v>28</v>
      </c>
      <c r="GY36" s="58">
        <v>7.1</v>
      </c>
      <c r="GZ36" s="96"/>
      <c r="HA36" s="96"/>
      <c r="HB36" s="53">
        <v>19.100000000000001</v>
      </c>
      <c r="HC36" s="58">
        <f t="shared" si="41"/>
        <v>12.000000000000002</v>
      </c>
      <c r="HD36" s="97">
        <v>7.3</v>
      </c>
      <c r="HE36" s="58">
        <v>1.4</v>
      </c>
      <c r="HF36" s="59">
        <f t="shared" si="42"/>
        <v>3.300000000000002</v>
      </c>
      <c r="HG36" s="86">
        <v>3</v>
      </c>
      <c r="HH36" s="86">
        <f t="shared" si="43"/>
        <v>30.000000000000206</v>
      </c>
      <c r="HI36" s="103" t="s">
        <v>228</v>
      </c>
      <c r="HJ36" s="86" t="s">
        <v>1</v>
      </c>
      <c r="HK36" s="86">
        <v>28</v>
      </c>
      <c r="HL36" s="58">
        <v>7.1</v>
      </c>
      <c r="HM36" s="96"/>
      <c r="HN36" s="96"/>
      <c r="HO36" s="53">
        <v>19.71</v>
      </c>
      <c r="HP36" s="58">
        <f t="shared" si="44"/>
        <v>12.610000000000001</v>
      </c>
      <c r="HQ36" s="97">
        <v>7.3</v>
      </c>
      <c r="HR36" s="58">
        <v>1</v>
      </c>
      <c r="HS36" s="59">
        <f t="shared" si="45"/>
        <v>4.3100000000000014</v>
      </c>
      <c r="HT36" s="86">
        <v>4</v>
      </c>
      <c r="HU36" s="86">
        <f t="shared" si="46"/>
        <v>31.000000000000139</v>
      </c>
      <c r="HV36" s="98"/>
      <c r="HX36" s="86"/>
      <c r="HY36" s="86"/>
      <c r="HZ36" s="58"/>
      <c r="IA36" s="58"/>
      <c r="IB36" s="58"/>
      <c r="IC36" s="58"/>
      <c r="ID36" s="58"/>
      <c r="IE36" s="97"/>
      <c r="IF36" s="58"/>
      <c r="IG36" s="59"/>
      <c r="IH36" s="86"/>
      <c r="II36" s="86"/>
      <c r="IJ36" s="98"/>
      <c r="IK36" s="86" t="s">
        <v>1</v>
      </c>
      <c r="IL36" s="86">
        <v>28</v>
      </c>
      <c r="IM36" s="58">
        <v>7.05</v>
      </c>
      <c r="IN36" s="96"/>
      <c r="IO36" s="96"/>
      <c r="IP36" s="53">
        <v>18.66</v>
      </c>
      <c r="IQ36" s="58">
        <f t="shared" si="47"/>
        <v>11.61</v>
      </c>
      <c r="IR36" s="97">
        <v>7.3</v>
      </c>
      <c r="IS36" s="58">
        <v>1</v>
      </c>
      <c r="IT36" s="59">
        <f t="shared" si="48"/>
        <v>3.3099999999999996</v>
      </c>
      <c r="IU36" s="86">
        <v>3</v>
      </c>
      <c r="IV36" s="86">
        <f t="shared" si="49"/>
        <v>30.999999999999961</v>
      </c>
      <c r="IW36" s="98"/>
      <c r="IY36" s="86" t="s">
        <v>1</v>
      </c>
      <c r="IZ36" s="86">
        <v>28</v>
      </c>
      <c r="JA36" s="58">
        <v>7.1</v>
      </c>
      <c r="JB36" s="96"/>
      <c r="JC36" s="96"/>
      <c r="JD36" s="53">
        <v>18.63</v>
      </c>
      <c r="JE36" s="58">
        <f t="shared" si="50"/>
        <v>11.53</v>
      </c>
      <c r="JF36" s="97">
        <v>7.3</v>
      </c>
      <c r="JG36" s="58">
        <v>1</v>
      </c>
      <c r="JH36" s="59">
        <f t="shared" si="51"/>
        <v>3.2299999999999995</v>
      </c>
      <c r="JI36" s="86">
        <v>3</v>
      </c>
      <c r="JJ36" s="86">
        <f t="shared" si="52"/>
        <v>22.999999999999954</v>
      </c>
      <c r="JK36" s="98"/>
      <c r="JL36" s="86" t="s">
        <v>1</v>
      </c>
      <c r="JM36" s="86">
        <v>28</v>
      </c>
      <c r="JN36" s="58">
        <v>7.15</v>
      </c>
      <c r="JO36" s="96"/>
      <c r="JP36" s="96"/>
      <c r="JQ36" s="53">
        <v>18.62</v>
      </c>
      <c r="JR36" s="58">
        <f t="shared" si="53"/>
        <v>11.47</v>
      </c>
      <c r="JS36" s="97">
        <v>7.3</v>
      </c>
      <c r="JT36" s="58">
        <v>1</v>
      </c>
      <c r="JU36" s="59">
        <f t="shared" si="54"/>
        <v>3.1700000000000008</v>
      </c>
      <c r="JV36" s="86">
        <v>3</v>
      </c>
      <c r="JW36" s="86">
        <f t="shared" si="55"/>
        <v>17.000000000000082</v>
      </c>
      <c r="JX36" s="98"/>
      <c r="JZ36" s="86" t="s">
        <v>1</v>
      </c>
      <c r="KA36" s="86">
        <v>28</v>
      </c>
      <c r="KB36" s="58">
        <v>7.2</v>
      </c>
      <c r="KC36" s="96"/>
      <c r="KD36" s="96"/>
      <c r="KE36" s="53">
        <v>18.62</v>
      </c>
      <c r="KF36" s="58">
        <f t="shared" si="56"/>
        <v>11.420000000000002</v>
      </c>
      <c r="KG36" s="97">
        <v>7.3</v>
      </c>
      <c r="KH36" s="58">
        <v>1</v>
      </c>
      <c r="KI36" s="59">
        <f t="shared" si="57"/>
        <v>3.1200000000000019</v>
      </c>
      <c r="KJ36" s="86">
        <v>3</v>
      </c>
      <c r="KK36" s="86">
        <f t="shared" si="58"/>
        <v>12.000000000000188</v>
      </c>
      <c r="KL36" s="98"/>
    </row>
    <row r="37" spans="1:298" ht="17.149999999999999" customHeight="1" x14ac:dyDescent="0.35">
      <c r="A37" s="86" t="s">
        <v>216</v>
      </c>
      <c r="B37" s="86">
        <v>29</v>
      </c>
      <c r="C37" s="58">
        <v>7.15</v>
      </c>
      <c r="D37" s="96"/>
      <c r="E37" s="96"/>
      <c r="F37" s="53">
        <v>18.940000000000001</v>
      </c>
      <c r="G37" s="58">
        <f t="shared" si="0"/>
        <v>11.790000000000001</v>
      </c>
      <c r="H37" s="97">
        <v>7.3</v>
      </c>
      <c r="I37" s="58">
        <v>1</v>
      </c>
      <c r="J37" s="59">
        <f t="shared" si="1"/>
        <v>3.4900000000000011</v>
      </c>
      <c r="K37" s="86">
        <v>3</v>
      </c>
      <c r="L37" s="86">
        <f t="shared" si="2"/>
        <v>49.000000000000114</v>
      </c>
      <c r="M37" s="98"/>
      <c r="O37" s="86" t="s">
        <v>216</v>
      </c>
      <c r="P37" s="86">
        <v>29</v>
      </c>
      <c r="Q37" s="58">
        <v>7.15</v>
      </c>
      <c r="R37" s="96"/>
      <c r="S37" s="96"/>
      <c r="T37" s="53">
        <v>20.7</v>
      </c>
      <c r="U37" s="58">
        <f t="shared" si="3"/>
        <v>13.549999999999999</v>
      </c>
      <c r="V37" s="97">
        <v>7.3</v>
      </c>
      <c r="W37" s="58">
        <v>1</v>
      </c>
      <c r="X37" s="59">
        <f t="shared" si="4"/>
        <v>5.2499999999999991</v>
      </c>
      <c r="Y37" s="86">
        <v>5</v>
      </c>
      <c r="Z37" s="86">
        <f t="shared" si="5"/>
        <v>24.999999999999911</v>
      </c>
      <c r="AA37" s="98"/>
      <c r="AB37" s="86" t="s">
        <v>216</v>
      </c>
      <c r="AC37" s="86">
        <v>29</v>
      </c>
      <c r="AD37" s="58">
        <v>7.2</v>
      </c>
      <c r="AE37" s="96"/>
      <c r="AF37" s="96"/>
      <c r="AG37" s="53">
        <v>17.93</v>
      </c>
      <c r="AH37" s="58">
        <f t="shared" si="6"/>
        <v>10.73</v>
      </c>
      <c r="AI37" s="97">
        <v>7.3</v>
      </c>
      <c r="AJ37" s="58">
        <v>1</v>
      </c>
      <c r="AK37" s="59">
        <f t="shared" si="7"/>
        <v>2.4300000000000006</v>
      </c>
      <c r="AL37" s="86">
        <v>2</v>
      </c>
      <c r="AM37" s="86">
        <f t="shared" si="8"/>
        <v>43.000000000000057</v>
      </c>
      <c r="AN37" s="98"/>
      <c r="AP37" s="86" t="s">
        <v>216</v>
      </c>
      <c r="AQ37" s="86">
        <v>29</v>
      </c>
      <c r="AR37" s="58">
        <v>7.15</v>
      </c>
      <c r="AS37" s="96"/>
      <c r="AT37" s="96"/>
      <c r="AU37" s="53">
        <v>20.67</v>
      </c>
      <c r="AV37" s="58">
        <f t="shared" si="9"/>
        <v>13.520000000000001</v>
      </c>
      <c r="AW37" s="97">
        <v>7.3</v>
      </c>
      <c r="AX37" s="58">
        <v>1</v>
      </c>
      <c r="AY37" s="59">
        <f t="shared" si="10"/>
        <v>5.2200000000000015</v>
      </c>
      <c r="AZ37" s="86">
        <v>5</v>
      </c>
      <c r="BA37" s="86">
        <f t="shared" si="11"/>
        <v>22.000000000000153</v>
      </c>
      <c r="BB37" s="98"/>
      <c r="BC37" s="62"/>
      <c r="BD37" s="86"/>
      <c r="BE37" s="58"/>
      <c r="BF37" s="58"/>
      <c r="BG37" s="58"/>
      <c r="BH37" s="58"/>
      <c r="BI37" s="58"/>
      <c r="BJ37" s="97"/>
      <c r="BK37" s="58"/>
      <c r="BL37" s="59"/>
      <c r="BM37" s="86"/>
      <c r="BN37" s="86"/>
      <c r="BO37" s="98"/>
      <c r="BQ37" s="86" t="s">
        <v>216</v>
      </c>
      <c r="BR37" s="86">
        <v>29</v>
      </c>
      <c r="BS37" s="58">
        <v>7.1</v>
      </c>
      <c r="BT37" s="96"/>
      <c r="BU37" s="96"/>
      <c r="BV37" s="53">
        <v>18.91</v>
      </c>
      <c r="BW37" s="58">
        <f t="shared" si="12"/>
        <v>11.81</v>
      </c>
      <c r="BX37" s="97">
        <v>7.3</v>
      </c>
      <c r="BY37" s="58">
        <v>1</v>
      </c>
      <c r="BZ37" s="59">
        <f t="shared" si="13"/>
        <v>3.5100000000000007</v>
      </c>
      <c r="CA37" s="86">
        <v>3</v>
      </c>
      <c r="CB37" s="86">
        <f t="shared" si="14"/>
        <v>51.000000000000071</v>
      </c>
      <c r="CC37" s="98"/>
      <c r="CE37" s="86" t="s">
        <v>216</v>
      </c>
      <c r="CF37" s="86">
        <v>29</v>
      </c>
      <c r="CG37" s="99">
        <v>9</v>
      </c>
      <c r="CH37" s="96"/>
      <c r="CI37" s="96"/>
      <c r="CJ37" s="53">
        <v>18.97</v>
      </c>
      <c r="CK37" s="58">
        <f t="shared" si="15"/>
        <v>9.9699999999999989</v>
      </c>
      <c r="CL37" s="97">
        <v>7.3</v>
      </c>
      <c r="CM37" s="58">
        <v>1.4</v>
      </c>
      <c r="CN37" s="59">
        <f t="shared" si="16"/>
        <v>1.2699999999999991</v>
      </c>
      <c r="CO37" s="86">
        <v>1</v>
      </c>
      <c r="CP37" s="86">
        <f t="shared" si="17"/>
        <v>26.999999999999915</v>
      </c>
      <c r="CQ37" s="98"/>
      <c r="CR37" s="86" t="s">
        <v>216</v>
      </c>
      <c r="CS37" s="86">
        <v>29</v>
      </c>
      <c r="CT37" s="58">
        <v>7.2</v>
      </c>
      <c r="CU37" s="96"/>
      <c r="CV37" s="96"/>
      <c r="CW37" s="53">
        <v>18.91</v>
      </c>
      <c r="CX37" s="58">
        <f t="shared" si="18"/>
        <v>11.71</v>
      </c>
      <c r="CY37" s="97">
        <v>7.3</v>
      </c>
      <c r="CZ37" s="58">
        <v>1</v>
      </c>
      <c r="DA37" s="59">
        <f t="shared" si="19"/>
        <v>3.410000000000001</v>
      </c>
      <c r="DB37" s="86">
        <v>3</v>
      </c>
      <c r="DC37" s="86">
        <f t="shared" si="20"/>
        <v>41.000000000000099</v>
      </c>
      <c r="DD37" s="98"/>
      <c r="DF37" s="86" t="s">
        <v>216</v>
      </c>
      <c r="DG37" s="86">
        <v>29</v>
      </c>
      <c r="DH37" s="58">
        <v>7.4</v>
      </c>
      <c r="DI37" s="96"/>
      <c r="DJ37" s="96"/>
      <c r="DK37" s="53">
        <v>18.93</v>
      </c>
      <c r="DL37" s="58">
        <f t="shared" si="21"/>
        <v>11.53</v>
      </c>
      <c r="DM37" s="97">
        <v>7.3</v>
      </c>
      <c r="DN37" s="58">
        <v>1</v>
      </c>
      <c r="DO37" s="59">
        <f t="shared" si="22"/>
        <v>3.2299999999999995</v>
      </c>
      <c r="DP37" s="86">
        <v>3</v>
      </c>
      <c r="DQ37" s="86">
        <f t="shared" si="23"/>
        <v>22.999999999999954</v>
      </c>
      <c r="DR37" s="98"/>
      <c r="DT37" s="86" t="s">
        <v>216</v>
      </c>
      <c r="DU37" s="86">
        <v>29</v>
      </c>
      <c r="DV37" s="58">
        <v>8</v>
      </c>
      <c r="DW37" s="96"/>
      <c r="DX37" s="96"/>
      <c r="DY37" s="53">
        <v>18.940000000000001</v>
      </c>
      <c r="DZ37" s="58">
        <f t="shared" si="24"/>
        <v>10.940000000000001</v>
      </c>
      <c r="EA37" s="97">
        <v>7.3</v>
      </c>
      <c r="EB37" s="58">
        <v>1.4</v>
      </c>
      <c r="EC37" s="59">
        <f t="shared" si="25"/>
        <v>2.2400000000000015</v>
      </c>
      <c r="ED37" s="86">
        <v>2</v>
      </c>
      <c r="EE37" s="86">
        <f t="shared" si="26"/>
        <v>24.000000000000156</v>
      </c>
      <c r="EF37" s="98"/>
      <c r="EG37" s="86" t="s">
        <v>216</v>
      </c>
      <c r="EH37" s="86">
        <v>29</v>
      </c>
      <c r="EI37" s="58">
        <v>7.2</v>
      </c>
      <c r="EJ37" s="96"/>
      <c r="EK37" s="96"/>
      <c r="EL37" s="53">
        <v>20.69</v>
      </c>
      <c r="EM37" s="58">
        <f t="shared" si="27"/>
        <v>13.490000000000002</v>
      </c>
      <c r="EN37" s="97">
        <v>7.3</v>
      </c>
      <c r="EO37" s="58">
        <v>1</v>
      </c>
      <c r="EP37" s="59">
        <f t="shared" si="28"/>
        <v>5.1900000000000022</v>
      </c>
      <c r="EQ37" s="86">
        <v>5</v>
      </c>
      <c r="ER37" s="86">
        <f t="shared" si="29"/>
        <v>19.000000000000217</v>
      </c>
      <c r="ES37" s="98"/>
      <c r="EU37" s="86" t="s">
        <v>216</v>
      </c>
      <c r="EV37" s="86">
        <v>29</v>
      </c>
      <c r="EW37" s="58">
        <v>7.1</v>
      </c>
      <c r="EX37" s="96"/>
      <c r="EY37" s="96"/>
      <c r="EZ37" s="53">
        <v>19.579999999999998</v>
      </c>
      <c r="FA37" s="58">
        <f t="shared" si="59"/>
        <v>12.479999999999999</v>
      </c>
      <c r="FB37" s="97">
        <v>7.3</v>
      </c>
      <c r="FC37" s="58">
        <v>1</v>
      </c>
      <c r="FD37" s="59">
        <f t="shared" si="30"/>
        <v>4.1799999999999988</v>
      </c>
      <c r="FE37" s="86">
        <v>4</v>
      </c>
      <c r="FF37" s="86">
        <f t="shared" si="31"/>
        <v>17.999999999999883</v>
      </c>
      <c r="FG37" s="98"/>
      <c r="FH37" s="86" t="s">
        <v>216</v>
      </c>
      <c r="FI37" s="86">
        <v>29</v>
      </c>
      <c r="FJ37" s="58">
        <v>7.15</v>
      </c>
      <c r="FK37" s="96"/>
      <c r="FL37" s="96"/>
      <c r="FM37" s="53">
        <v>18.95</v>
      </c>
      <c r="FN37" s="58">
        <f t="shared" si="32"/>
        <v>11.799999999999999</v>
      </c>
      <c r="FO37" s="97">
        <v>7.3</v>
      </c>
      <c r="FP37" s="58">
        <v>1</v>
      </c>
      <c r="FQ37" s="59">
        <f t="shared" si="33"/>
        <v>3.4999999999999991</v>
      </c>
      <c r="FR37" s="86">
        <v>3</v>
      </c>
      <c r="FS37" s="86">
        <f t="shared" si="34"/>
        <v>49.999999999999915</v>
      </c>
      <c r="FT37" s="98"/>
      <c r="FV37" s="86" t="s">
        <v>216</v>
      </c>
      <c r="FW37" s="86">
        <v>29</v>
      </c>
      <c r="FX37" s="58">
        <v>7.45</v>
      </c>
      <c r="FY37" s="96"/>
      <c r="FZ37" s="96"/>
      <c r="GA37" s="53">
        <v>18.920000000000002</v>
      </c>
      <c r="GB37" s="58">
        <f t="shared" si="35"/>
        <v>11.470000000000002</v>
      </c>
      <c r="GC37" s="97">
        <v>7.3</v>
      </c>
      <c r="GD37" s="58">
        <v>1</v>
      </c>
      <c r="GE37" s="59">
        <f t="shared" si="36"/>
        <v>3.1700000000000026</v>
      </c>
      <c r="GF37" s="86">
        <v>3</v>
      </c>
      <c r="GG37" s="86">
        <f t="shared" si="37"/>
        <v>17.000000000000259</v>
      </c>
      <c r="GH37" s="98"/>
      <c r="GI37" s="86" t="s">
        <v>216</v>
      </c>
      <c r="GJ37" s="86">
        <v>29</v>
      </c>
      <c r="GK37" s="99">
        <v>7.5</v>
      </c>
      <c r="GL37" s="96"/>
      <c r="GM37" s="96"/>
      <c r="GN37" s="53">
        <v>20.420000000000002</v>
      </c>
      <c r="GO37" s="58">
        <f t="shared" si="38"/>
        <v>12.920000000000002</v>
      </c>
      <c r="GP37" s="97">
        <v>7.3</v>
      </c>
      <c r="GQ37" s="58">
        <v>1</v>
      </c>
      <c r="GR37" s="59">
        <f t="shared" si="39"/>
        <v>4.6200000000000019</v>
      </c>
      <c r="GS37" s="86">
        <v>4</v>
      </c>
      <c r="GT37" s="86">
        <f t="shared" si="40"/>
        <v>62.000000000000185</v>
      </c>
      <c r="GU37" s="98"/>
      <c r="GW37" s="86" t="s">
        <v>216</v>
      </c>
      <c r="GX37" s="86">
        <v>29</v>
      </c>
      <c r="GY37" s="58">
        <v>7.1</v>
      </c>
      <c r="GZ37" s="96"/>
      <c r="HA37" s="96"/>
      <c r="HB37" s="53">
        <v>19.100000000000001</v>
      </c>
      <c r="HC37" s="58">
        <f t="shared" si="41"/>
        <v>12.000000000000002</v>
      </c>
      <c r="HD37" s="97">
        <v>7.3</v>
      </c>
      <c r="HE37" s="58">
        <v>1.4</v>
      </c>
      <c r="HF37" s="59">
        <f t="shared" si="42"/>
        <v>3.300000000000002</v>
      </c>
      <c r="HG37" s="86">
        <v>3</v>
      </c>
      <c r="HH37" s="86">
        <f t="shared" si="43"/>
        <v>30.000000000000206</v>
      </c>
      <c r="HI37" s="103" t="s">
        <v>228</v>
      </c>
      <c r="HJ37" s="86" t="s">
        <v>216</v>
      </c>
      <c r="HK37" s="86">
        <v>29</v>
      </c>
      <c r="HL37" s="58">
        <v>7.1</v>
      </c>
      <c r="HM37" s="96"/>
      <c r="HN37" s="96"/>
      <c r="HO37" s="53">
        <v>20.69</v>
      </c>
      <c r="HP37" s="58">
        <f t="shared" si="44"/>
        <v>13.590000000000002</v>
      </c>
      <c r="HQ37" s="97">
        <v>7.3</v>
      </c>
      <c r="HR37" s="58">
        <v>1</v>
      </c>
      <c r="HS37" s="59">
        <f t="shared" si="45"/>
        <v>5.2900000000000018</v>
      </c>
      <c r="HT37" s="86">
        <v>5</v>
      </c>
      <c r="HU37" s="86">
        <f t="shared" si="46"/>
        <v>29.000000000000181</v>
      </c>
      <c r="HV37" s="98"/>
      <c r="HX37" s="62"/>
      <c r="HY37" s="86"/>
      <c r="HZ37" s="58"/>
      <c r="IA37" s="58"/>
      <c r="IB37" s="58"/>
      <c r="IC37" s="58"/>
      <c r="ID37" s="58"/>
      <c r="IE37" s="97"/>
      <c r="IF37" s="58"/>
      <c r="IG37" s="59"/>
      <c r="IH37" s="86"/>
      <c r="II37" s="86"/>
      <c r="IJ37" s="98"/>
      <c r="IK37" s="86" t="s">
        <v>216</v>
      </c>
      <c r="IL37" s="86">
        <v>29</v>
      </c>
      <c r="IM37" s="58">
        <v>7.05</v>
      </c>
      <c r="IN37" s="96"/>
      <c r="IO37" s="96"/>
      <c r="IP37" s="53">
        <v>18.940000000000001</v>
      </c>
      <c r="IQ37" s="58">
        <f t="shared" si="47"/>
        <v>11.89</v>
      </c>
      <c r="IR37" s="97">
        <v>7.3</v>
      </c>
      <c r="IS37" s="58">
        <v>1</v>
      </c>
      <c r="IT37" s="59">
        <f t="shared" si="48"/>
        <v>3.5900000000000007</v>
      </c>
      <c r="IU37" s="86">
        <v>3</v>
      </c>
      <c r="IV37" s="86">
        <f t="shared" si="49"/>
        <v>59.000000000000071</v>
      </c>
      <c r="IW37" s="98"/>
      <c r="IY37" s="86" t="s">
        <v>216</v>
      </c>
      <c r="IZ37" s="86">
        <v>29</v>
      </c>
      <c r="JA37" s="58">
        <v>7.1</v>
      </c>
      <c r="JB37" s="96"/>
      <c r="JC37" s="96"/>
      <c r="JD37" s="53">
        <v>18.91</v>
      </c>
      <c r="JE37" s="58">
        <f t="shared" si="50"/>
        <v>11.81</v>
      </c>
      <c r="JF37" s="97">
        <v>7.3</v>
      </c>
      <c r="JG37" s="58">
        <v>1</v>
      </c>
      <c r="JH37" s="59">
        <f t="shared" si="51"/>
        <v>3.5100000000000007</v>
      </c>
      <c r="JI37" s="86">
        <v>3</v>
      </c>
      <c r="JJ37" s="86">
        <f t="shared" si="52"/>
        <v>51.000000000000071</v>
      </c>
      <c r="JK37" s="98"/>
      <c r="JL37" s="86" t="s">
        <v>216</v>
      </c>
      <c r="JM37" s="86">
        <v>29</v>
      </c>
      <c r="JN37" s="58">
        <v>7.15</v>
      </c>
      <c r="JO37" s="96"/>
      <c r="JP37" s="96"/>
      <c r="JQ37" s="53">
        <v>17.93</v>
      </c>
      <c r="JR37" s="58">
        <f t="shared" si="53"/>
        <v>10.78</v>
      </c>
      <c r="JS37" s="97">
        <v>7.3</v>
      </c>
      <c r="JT37" s="58">
        <v>1</v>
      </c>
      <c r="JU37" s="59">
        <f t="shared" si="54"/>
        <v>2.4799999999999995</v>
      </c>
      <c r="JV37" s="86">
        <v>2</v>
      </c>
      <c r="JW37" s="86">
        <f t="shared" si="55"/>
        <v>47.999999999999957</v>
      </c>
      <c r="JX37" s="98"/>
      <c r="JZ37" s="86" t="s">
        <v>216</v>
      </c>
      <c r="KA37" s="86">
        <v>29</v>
      </c>
      <c r="KB37" s="58">
        <v>7.2</v>
      </c>
      <c r="KC37" s="96"/>
      <c r="KD37" s="96"/>
      <c r="KE37" s="53">
        <v>20.68</v>
      </c>
      <c r="KF37" s="58">
        <f t="shared" si="56"/>
        <v>13.48</v>
      </c>
      <c r="KG37" s="97">
        <v>7.3</v>
      </c>
      <c r="KH37" s="58">
        <v>1</v>
      </c>
      <c r="KI37" s="59">
        <f t="shared" si="57"/>
        <v>5.1800000000000006</v>
      </c>
      <c r="KJ37" s="86">
        <v>5</v>
      </c>
      <c r="KK37" s="86">
        <f t="shared" si="58"/>
        <v>18.00000000000006</v>
      </c>
      <c r="KL37" s="98"/>
    </row>
    <row r="38" spans="1:298" ht="17.149999999999999" customHeight="1" x14ac:dyDescent="0.35">
      <c r="A38" s="86" t="s">
        <v>2</v>
      </c>
      <c r="B38" s="86">
        <v>30</v>
      </c>
      <c r="C38" s="58">
        <v>7.15</v>
      </c>
      <c r="D38" s="96"/>
      <c r="E38" s="96"/>
      <c r="F38" s="53">
        <v>18.899999999999999</v>
      </c>
      <c r="G38" s="58">
        <f t="shared" si="0"/>
        <v>11.749999999999998</v>
      </c>
      <c r="H38" s="97">
        <v>7.3</v>
      </c>
      <c r="I38" s="58">
        <v>1</v>
      </c>
      <c r="J38" s="59">
        <f t="shared" si="1"/>
        <v>3.4499999999999984</v>
      </c>
      <c r="K38" s="86">
        <v>3</v>
      </c>
      <c r="L38" s="86">
        <f t="shared" si="2"/>
        <v>44.999999999999844</v>
      </c>
      <c r="M38" s="98"/>
      <c r="O38" s="86" t="s">
        <v>2</v>
      </c>
      <c r="P38" s="86">
        <v>30</v>
      </c>
      <c r="Q38" s="58">
        <v>7.15</v>
      </c>
      <c r="R38" s="96"/>
      <c r="S38" s="96"/>
      <c r="T38" s="53">
        <v>20.52</v>
      </c>
      <c r="U38" s="58">
        <f t="shared" si="3"/>
        <v>13.37</v>
      </c>
      <c r="V38" s="97">
        <v>7.3</v>
      </c>
      <c r="W38" s="58">
        <v>1</v>
      </c>
      <c r="X38" s="59">
        <f t="shared" si="4"/>
        <v>5.0699999999999994</v>
      </c>
      <c r="Y38" s="86">
        <v>5</v>
      </c>
      <c r="Z38" s="86">
        <f t="shared" si="5"/>
        <v>6.9999999999999396</v>
      </c>
      <c r="AA38" s="98"/>
      <c r="AB38" s="86" t="s">
        <v>2</v>
      </c>
      <c r="AC38" s="86">
        <v>30</v>
      </c>
      <c r="AD38" s="58">
        <v>7.2</v>
      </c>
      <c r="AE38" s="96"/>
      <c r="AF38" s="96"/>
      <c r="AG38" s="53">
        <v>18.62</v>
      </c>
      <c r="AH38" s="58">
        <f t="shared" si="6"/>
        <v>11.420000000000002</v>
      </c>
      <c r="AI38" s="97">
        <v>7.3</v>
      </c>
      <c r="AJ38" s="58">
        <v>1</v>
      </c>
      <c r="AK38" s="59">
        <f t="shared" si="7"/>
        <v>3.1200000000000019</v>
      </c>
      <c r="AL38" s="86">
        <v>3</v>
      </c>
      <c r="AM38" s="86">
        <f t="shared" si="8"/>
        <v>12.000000000000188</v>
      </c>
      <c r="AN38" s="98"/>
      <c r="AP38" s="86" t="s">
        <v>2</v>
      </c>
      <c r="AQ38" s="86">
        <v>30</v>
      </c>
      <c r="AR38" s="58">
        <v>7.15</v>
      </c>
      <c r="AS38" s="96"/>
      <c r="AT38" s="96"/>
      <c r="AU38" s="53">
        <v>20.52</v>
      </c>
      <c r="AV38" s="58">
        <f t="shared" si="9"/>
        <v>13.37</v>
      </c>
      <c r="AW38" s="97">
        <v>7.3</v>
      </c>
      <c r="AX38" s="58">
        <v>1</v>
      </c>
      <c r="AY38" s="59">
        <f t="shared" si="10"/>
        <v>5.0699999999999994</v>
      </c>
      <c r="AZ38" s="86">
        <v>5</v>
      </c>
      <c r="BA38" s="86">
        <f t="shared" si="11"/>
        <v>6.9999999999999396</v>
      </c>
      <c r="BB38" s="98"/>
      <c r="BC38" s="55"/>
      <c r="BD38" s="55"/>
      <c r="BE38" s="52"/>
      <c r="BF38" s="52"/>
      <c r="BG38" s="52"/>
      <c r="BH38" s="52"/>
      <c r="BI38" s="52"/>
      <c r="BJ38" s="56"/>
      <c r="BK38" s="52"/>
      <c r="BL38" s="57"/>
      <c r="BM38" s="55"/>
      <c r="BN38" s="82"/>
      <c r="BO38" s="95"/>
      <c r="BQ38" s="86" t="s">
        <v>2</v>
      </c>
      <c r="BR38" s="86">
        <v>30</v>
      </c>
      <c r="BS38" s="99">
        <v>7.3</v>
      </c>
      <c r="BT38" s="96"/>
      <c r="BU38" s="96"/>
      <c r="BV38" s="53">
        <v>18.88</v>
      </c>
      <c r="BW38" s="58">
        <f t="shared" si="12"/>
        <v>11.579999999999998</v>
      </c>
      <c r="BX38" s="97">
        <v>7.3</v>
      </c>
      <c r="BY38" s="58">
        <v>1</v>
      </c>
      <c r="BZ38" s="59">
        <f t="shared" si="13"/>
        <v>3.2799999999999985</v>
      </c>
      <c r="CA38" s="86">
        <v>3</v>
      </c>
      <c r="CB38" s="86">
        <f t="shared" si="14"/>
        <v>27.999999999999847</v>
      </c>
      <c r="CC38" s="98"/>
      <c r="CE38" s="86" t="s">
        <v>2</v>
      </c>
      <c r="CF38" s="86">
        <v>30</v>
      </c>
      <c r="CG38" s="58">
        <v>7.25</v>
      </c>
      <c r="CH38" s="96"/>
      <c r="CI38" s="96"/>
      <c r="CJ38" s="53">
        <v>19.420000000000002</v>
      </c>
      <c r="CK38" s="58">
        <f t="shared" si="15"/>
        <v>12.170000000000002</v>
      </c>
      <c r="CL38" s="97">
        <v>7.3</v>
      </c>
      <c r="CM38" s="58">
        <v>1.4</v>
      </c>
      <c r="CN38" s="59">
        <f t="shared" si="16"/>
        <v>3.470000000000002</v>
      </c>
      <c r="CO38" s="86">
        <v>3</v>
      </c>
      <c r="CP38" s="86">
        <f t="shared" si="17"/>
        <v>47.000000000000199</v>
      </c>
      <c r="CQ38" s="98"/>
      <c r="CR38" s="86" t="s">
        <v>2</v>
      </c>
      <c r="CS38" s="86">
        <v>30</v>
      </c>
      <c r="CT38" s="58">
        <v>7.2</v>
      </c>
      <c r="CU38" s="96"/>
      <c r="CV38" s="96"/>
      <c r="CW38" s="53">
        <v>18.88</v>
      </c>
      <c r="CX38" s="58">
        <f t="shared" si="18"/>
        <v>11.68</v>
      </c>
      <c r="CY38" s="97">
        <v>7.3</v>
      </c>
      <c r="CZ38" s="58">
        <v>1</v>
      </c>
      <c r="DA38" s="59">
        <f t="shared" si="19"/>
        <v>3.38</v>
      </c>
      <c r="DB38" s="86">
        <v>3</v>
      </c>
      <c r="DC38" s="86">
        <f t="shared" si="20"/>
        <v>37.999999999999986</v>
      </c>
      <c r="DD38" s="98"/>
      <c r="DF38" s="86" t="s">
        <v>2</v>
      </c>
      <c r="DG38" s="86">
        <v>30</v>
      </c>
      <c r="DH38" s="58">
        <v>7.4</v>
      </c>
      <c r="DI38" s="96"/>
      <c r="DJ38" s="96"/>
      <c r="DK38" s="53">
        <v>18.899999999999999</v>
      </c>
      <c r="DL38" s="58">
        <f t="shared" si="21"/>
        <v>11.499999999999998</v>
      </c>
      <c r="DM38" s="97">
        <v>7.3</v>
      </c>
      <c r="DN38" s="58">
        <v>1</v>
      </c>
      <c r="DO38" s="59">
        <f t="shared" si="22"/>
        <v>3.1999999999999984</v>
      </c>
      <c r="DP38" s="86">
        <v>3</v>
      </c>
      <c r="DQ38" s="86">
        <f t="shared" si="23"/>
        <v>19.99999999999984</v>
      </c>
      <c r="DR38" s="98"/>
      <c r="DT38" s="86" t="s">
        <v>2</v>
      </c>
      <c r="DU38" s="86">
        <v>30</v>
      </c>
      <c r="DV38" s="58">
        <v>8</v>
      </c>
      <c r="DW38" s="96"/>
      <c r="DX38" s="96"/>
      <c r="DY38" s="53">
        <v>18.899999999999999</v>
      </c>
      <c r="DZ38" s="58">
        <f t="shared" si="24"/>
        <v>10.899999999999999</v>
      </c>
      <c r="EA38" s="97">
        <v>7.3</v>
      </c>
      <c r="EB38" s="58">
        <v>1.4</v>
      </c>
      <c r="EC38" s="59">
        <f t="shared" si="25"/>
        <v>2.1999999999999988</v>
      </c>
      <c r="ED38" s="86">
        <v>2</v>
      </c>
      <c r="EE38" s="86">
        <f t="shared" si="26"/>
        <v>19.999999999999886</v>
      </c>
      <c r="EF38" s="98"/>
      <c r="EG38" s="86" t="s">
        <v>2</v>
      </c>
      <c r="EH38" s="86">
        <v>30</v>
      </c>
      <c r="EI38" s="58">
        <v>7.2</v>
      </c>
      <c r="EJ38" s="96"/>
      <c r="EK38" s="96"/>
      <c r="EL38" s="53">
        <v>18.88</v>
      </c>
      <c r="EM38" s="58">
        <f t="shared" si="27"/>
        <v>11.68</v>
      </c>
      <c r="EN38" s="97">
        <v>7.3</v>
      </c>
      <c r="EO38" s="58">
        <v>1</v>
      </c>
      <c r="EP38" s="59">
        <f t="shared" si="28"/>
        <v>3.38</v>
      </c>
      <c r="EQ38" s="86">
        <v>3</v>
      </c>
      <c r="ER38" s="86">
        <f t="shared" si="29"/>
        <v>37.999999999999986</v>
      </c>
      <c r="ES38" s="98"/>
      <c r="EU38" s="86" t="s">
        <v>2</v>
      </c>
      <c r="EV38" s="86">
        <v>30</v>
      </c>
      <c r="EW38" s="58">
        <v>7.1</v>
      </c>
      <c r="EX38" s="96"/>
      <c r="EY38" s="96"/>
      <c r="EZ38" s="53">
        <v>18.899999999999999</v>
      </c>
      <c r="FA38" s="58">
        <f t="shared" si="59"/>
        <v>11.799999999999999</v>
      </c>
      <c r="FB38" s="97">
        <v>7.3</v>
      </c>
      <c r="FC38" s="58">
        <v>1</v>
      </c>
      <c r="FD38" s="59">
        <f t="shared" si="30"/>
        <v>3.4999999999999991</v>
      </c>
      <c r="FE38" s="86">
        <v>3</v>
      </c>
      <c r="FF38" s="86">
        <f t="shared" si="31"/>
        <v>49.999999999999915</v>
      </c>
      <c r="FG38" s="98"/>
      <c r="FH38" s="86" t="s">
        <v>2</v>
      </c>
      <c r="FI38" s="86">
        <v>30</v>
      </c>
      <c r="FJ38" s="58">
        <v>7.15</v>
      </c>
      <c r="FK38" s="96"/>
      <c r="FL38" s="96"/>
      <c r="FM38" s="53">
        <v>18.899999999999999</v>
      </c>
      <c r="FN38" s="58">
        <f t="shared" si="32"/>
        <v>11.749999999999998</v>
      </c>
      <c r="FO38" s="97">
        <v>7.3</v>
      </c>
      <c r="FP38" s="58">
        <v>1</v>
      </c>
      <c r="FQ38" s="59">
        <f t="shared" si="33"/>
        <v>3.4499999999999984</v>
      </c>
      <c r="FR38" s="86">
        <v>3</v>
      </c>
      <c r="FS38" s="86">
        <f t="shared" si="34"/>
        <v>44.999999999999844</v>
      </c>
      <c r="FT38" s="98"/>
      <c r="FV38" s="86" t="s">
        <v>2</v>
      </c>
      <c r="FW38" s="86">
        <v>30</v>
      </c>
      <c r="FX38" s="58">
        <v>7.45</v>
      </c>
      <c r="FY38" s="96"/>
      <c r="FZ38" s="96"/>
      <c r="GA38" s="53">
        <v>18.88</v>
      </c>
      <c r="GB38" s="58">
        <f t="shared" si="35"/>
        <v>11.43</v>
      </c>
      <c r="GC38" s="97">
        <v>7.3</v>
      </c>
      <c r="GD38" s="58">
        <v>1</v>
      </c>
      <c r="GE38" s="59">
        <f t="shared" si="36"/>
        <v>3.13</v>
      </c>
      <c r="GF38" s="86">
        <v>3</v>
      </c>
      <c r="GG38" s="86">
        <f t="shared" si="37"/>
        <v>12.999999999999989</v>
      </c>
      <c r="GH38" s="98"/>
      <c r="GI38" s="86" t="s">
        <v>2</v>
      </c>
      <c r="GJ38" s="86">
        <v>30</v>
      </c>
      <c r="GK38" s="99">
        <v>7.5</v>
      </c>
      <c r="GL38" s="96"/>
      <c r="GM38" s="96"/>
      <c r="GN38" s="53">
        <v>20.61</v>
      </c>
      <c r="GO38" s="58">
        <f t="shared" si="38"/>
        <v>13.11</v>
      </c>
      <c r="GP38" s="97">
        <v>7.3</v>
      </c>
      <c r="GQ38" s="58">
        <v>1.4</v>
      </c>
      <c r="GR38" s="59">
        <f t="shared" si="39"/>
        <v>4.41</v>
      </c>
      <c r="GS38" s="86">
        <v>4</v>
      </c>
      <c r="GT38" s="86">
        <f t="shared" si="40"/>
        <v>41.000000000000014</v>
      </c>
      <c r="GU38" s="98"/>
      <c r="GW38" s="86" t="s">
        <v>2</v>
      </c>
      <c r="GX38" s="86">
        <v>30</v>
      </c>
      <c r="GY38" s="58">
        <v>7.1</v>
      </c>
      <c r="GZ38" s="96"/>
      <c r="HA38" s="96"/>
      <c r="HB38" s="53">
        <v>19.100000000000001</v>
      </c>
      <c r="HC38" s="58">
        <f t="shared" si="41"/>
        <v>12.000000000000002</v>
      </c>
      <c r="HD38" s="97">
        <v>7.3</v>
      </c>
      <c r="HE38" s="58">
        <v>1.4</v>
      </c>
      <c r="HF38" s="59">
        <f t="shared" si="42"/>
        <v>3.300000000000002</v>
      </c>
      <c r="HG38" s="86">
        <v>3</v>
      </c>
      <c r="HH38" s="86">
        <f t="shared" si="43"/>
        <v>30.000000000000206</v>
      </c>
      <c r="HI38" s="103" t="s">
        <v>228</v>
      </c>
      <c r="HJ38" s="86" t="s">
        <v>2</v>
      </c>
      <c r="HK38" s="86">
        <v>30</v>
      </c>
      <c r="HL38" s="58">
        <v>7.1</v>
      </c>
      <c r="HM38" s="96"/>
      <c r="HN38" s="96"/>
      <c r="HO38" s="53">
        <v>20.5</v>
      </c>
      <c r="HP38" s="58">
        <f t="shared" si="44"/>
        <v>13.4</v>
      </c>
      <c r="HQ38" s="97">
        <v>7.3</v>
      </c>
      <c r="HR38" s="58">
        <v>1</v>
      </c>
      <c r="HS38" s="59">
        <f t="shared" si="45"/>
        <v>5.1000000000000005</v>
      </c>
      <c r="HT38" s="86">
        <v>5</v>
      </c>
      <c r="HU38" s="86">
        <f t="shared" si="46"/>
        <v>10.000000000000053</v>
      </c>
      <c r="HV38" s="98"/>
      <c r="HX38" s="55"/>
      <c r="HY38" s="55"/>
      <c r="HZ38" s="52"/>
      <c r="IA38" s="52"/>
      <c r="IB38" s="52"/>
      <c r="IC38" s="52"/>
      <c r="ID38" s="52"/>
      <c r="IE38" s="56"/>
      <c r="IF38" s="52"/>
      <c r="IG38" s="57"/>
      <c r="IH38" s="55"/>
      <c r="II38" s="82"/>
      <c r="IJ38" s="95"/>
      <c r="IK38" s="86" t="s">
        <v>2</v>
      </c>
      <c r="IL38" s="86">
        <v>30</v>
      </c>
      <c r="IM38" s="58">
        <v>7.05</v>
      </c>
      <c r="IN38" s="96"/>
      <c r="IO38" s="96"/>
      <c r="IP38" s="53">
        <v>18.91</v>
      </c>
      <c r="IQ38" s="58">
        <f t="shared" si="47"/>
        <v>11.86</v>
      </c>
      <c r="IR38" s="97">
        <v>7.3</v>
      </c>
      <c r="IS38" s="58">
        <v>1</v>
      </c>
      <c r="IT38" s="59">
        <f t="shared" si="48"/>
        <v>3.5599999999999996</v>
      </c>
      <c r="IU38" s="86">
        <v>3</v>
      </c>
      <c r="IV38" s="86">
        <f t="shared" si="49"/>
        <v>55.999999999999957</v>
      </c>
      <c r="IW38" s="98"/>
      <c r="IY38" s="86" t="s">
        <v>2</v>
      </c>
      <c r="IZ38" s="86">
        <v>30</v>
      </c>
      <c r="JA38" s="58">
        <v>7.1</v>
      </c>
      <c r="JB38" s="96"/>
      <c r="JC38" s="96"/>
      <c r="JD38" s="53">
        <v>18.88</v>
      </c>
      <c r="JE38" s="58">
        <f t="shared" si="50"/>
        <v>11.78</v>
      </c>
      <c r="JF38" s="97">
        <v>7.3</v>
      </c>
      <c r="JG38" s="58">
        <v>1</v>
      </c>
      <c r="JH38" s="59">
        <f t="shared" si="51"/>
        <v>3.4799999999999995</v>
      </c>
      <c r="JI38" s="86">
        <v>3</v>
      </c>
      <c r="JJ38" s="86">
        <f t="shared" si="52"/>
        <v>47.999999999999957</v>
      </c>
      <c r="JK38" s="98"/>
      <c r="JL38" s="86" t="s">
        <v>2</v>
      </c>
      <c r="JM38" s="86">
        <v>30</v>
      </c>
      <c r="JN38" s="58">
        <v>7.15</v>
      </c>
      <c r="JO38" s="96"/>
      <c r="JP38" s="96"/>
      <c r="JQ38" s="53">
        <v>18.62</v>
      </c>
      <c r="JR38" s="58">
        <f t="shared" si="53"/>
        <v>11.47</v>
      </c>
      <c r="JS38" s="97">
        <v>7.3</v>
      </c>
      <c r="JT38" s="58">
        <v>1</v>
      </c>
      <c r="JU38" s="59">
        <f t="shared" si="54"/>
        <v>3.1700000000000008</v>
      </c>
      <c r="JV38" s="86">
        <v>3</v>
      </c>
      <c r="JW38" s="86">
        <f t="shared" si="55"/>
        <v>17.000000000000082</v>
      </c>
      <c r="JX38" s="98"/>
      <c r="JZ38" s="86" t="s">
        <v>2</v>
      </c>
      <c r="KA38" s="86">
        <v>30</v>
      </c>
      <c r="KB38" s="58">
        <v>7.2</v>
      </c>
      <c r="KC38" s="96"/>
      <c r="KD38" s="96"/>
      <c r="KE38" s="53">
        <v>18.89</v>
      </c>
      <c r="KF38" s="58">
        <f t="shared" si="56"/>
        <v>11.690000000000001</v>
      </c>
      <c r="KG38" s="97">
        <v>7.3</v>
      </c>
      <c r="KH38" s="58">
        <v>1</v>
      </c>
      <c r="KI38" s="59">
        <f t="shared" si="57"/>
        <v>3.3900000000000015</v>
      </c>
      <c r="KJ38" s="86">
        <v>3</v>
      </c>
      <c r="KK38" s="86">
        <f t="shared" si="58"/>
        <v>39.000000000000142</v>
      </c>
      <c r="KL38" s="98"/>
    </row>
    <row r="39" spans="1:298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 s="86"/>
      <c r="BD39" s="86"/>
      <c r="BE39" s="58"/>
      <c r="BF39" s="96"/>
      <c r="BG39" s="96"/>
      <c r="BH39" s="58"/>
      <c r="BI39" s="58"/>
      <c r="BJ39" s="97"/>
      <c r="BK39" s="58"/>
      <c r="BL39" s="59"/>
      <c r="BM39" s="86"/>
      <c r="BN39" s="86"/>
      <c r="BO39" s="98"/>
      <c r="BP39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/>
      <c r="CE39" s="86"/>
      <c r="CF39" s="86"/>
      <c r="CG39" s="58"/>
      <c r="CH39" s="96"/>
      <c r="CI39" s="96"/>
      <c r="CJ39" s="58"/>
      <c r="CK39" s="58"/>
      <c r="CL39" s="97"/>
      <c r="CM39" s="97"/>
      <c r="CN39" s="59"/>
      <c r="CO39" s="86"/>
      <c r="CP39" s="86"/>
      <c r="CQ39" s="98"/>
      <c r="CR39" s="86"/>
      <c r="CS39" s="86"/>
      <c r="CT39" s="58"/>
      <c r="CU39" s="96"/>
      <c r="CV39" s="96"/>
      <c r="CW39" s="58"/>
      <c r="CX39" s="58"/>
      <c r="CY39" s="97"/>
      <c r="CZ39" s="97"/>
      <c r="DA39" s="59"/>
      <c r="DB39" s="86"/>
      <c r="DC39" s="86"/>
      <c r="DD39" s="98"/>
      <c r="DE39"/>
      <c r="DF39" s="86"/>
      <c r="DG39" s="86"/>
      <c r="DH39" s="58"/>
      <c r="DI39" s="96"/>
      <c r="DJ39" s="96"/>
      <c r="DK39" s="58"/>
      <c r="DL39" s="58"/>
      <c r="DM39" s="97"/>
      <c r="DN39" s="97"/>
      <c r="DO39" s="59"/>
      <c r="DP39" s="86"/>
      <c r="DQ39" s="86"/>
      <c r="DR39" s="98"/>
      <c r="DS39"/>
      <c r="DT39" s="86"/>
      <c r="DU39" s="86"/>
      <c r="DV39" s="58"/>
      <c r="DW39" s="96"/>
      <c r="DX39" s="96"/>
      <c r="DY39" s="58"/>
      <c r="DZ39" s="58"/>
      <c r="EA39" s="97"/>
      <c r="EB39" s="97"/>
      <c r="EC39" s="59"/>
      <c r="ED39" s="86"/>
      <c r="EE39" s="86"/>
      <c r="EF39" s="98"/>
      <c r="EG39" s="86"/>
      <c r="EH39" s="86"/>
      <c r="EI39" s="58"/>
      <c r="EJ39" s="96"/>
      <c r="EK39" s="96"/>
      <c r="EL39" s="58"/>
      <c r="EM39" s="58"/>
      <c r="EN39" s="97"/>
      <c r="EO39" s="97"/>
      <c r="EP39" s="59"/>
      <c r="EQ39" s="86"/>
      <c r="ER39" s="86"/>
      <c r="ES39" s="98"/>
      <c r="ET39"/>
      <c r="EU39" s="86"/>
      <c r="EV39" s="86"/>
      <c r="EW39" s="58"/>
      <c r="EX39" s="96"/>
      <c r="EY39" s="96"/>
      <c r="EZ39" s="58"/>
      <c r="FA39" s="58"/>
      <c r="FB39" s="97"/>
      <c r="FC39" s="97"/>
      <c r="FD39" s="59"/>
      <c r="FE39" s="86"/>
      <c r="FF39" s="86"/>
      <c r="FG39" s="98"/>
      <c r="FH39" s="86"/>
      <c r="FI39" s="86"/>
      <c r="FJ39" s="58"/>
      <c r="FK39" s="96"/>
      <c r="FL39" s="96"/>
      <c r="FM39" s="58"/>
      <c r="FN39" s="58"/>
      <c r="FO39" s="97"/>
      <c r="FP39" s="97"/>
      <c r="FQ39" s="59"/>
      <c r="FR39" s="86"/>
      <c r="FS39" s="86"/>
      <c r="FT39" s="98"/>
      <c r="FU39"/>
      <c r="FV39" s="86"/>
      <c r="FW39" s="86"/>
      <c r="FX39" s="58"/>
      <c r="FY39" s="96"/>
      <c r="FZ39" s="96"/>
      <c r="GA39" s="58"/>
      <c r="GB39" s="58"/>
      <c r="GC39" s="97"/>
      <c r="GD39" s="97"/>
      <c r="GE39" s="59"/>
      <c r="GF39" s="86"/>
      <c r="GG39" s="86"/>
      <c r="GH39" s="98"/>
      <c r="GI39" s="86"/>
      <c r="GJ39" s="86"/>
      <c r="GK39" s="58"/>
      <c r="GL39" s="96"/>
      <c r="GM39" s="96"/>
      <c r="GN39" s="58"/>
      <c r="GO39" s="58"/>
      <c r="GP39" s="97"/>
      <c r="GQ39" s="97"/>
      <c r="GR39" s="59"/>
      <c r="GS39" s="86"/>
      <c r="GT39" s="86"/>
      <c r="GU39" s="98"/>
      <c r="GV39"/>
      <c r="GW39" s="86"/>
      <c r="GX39" s="86"/>
      <c r="GY39" s="58"/>
      <c r="GZ39" s="96"/>
      <c r="HA39" s="96"/>
      <c r="HB39" s="58"/>
      <c r="HC39" s="58"/>
      <c r="HD39" s="97"/>
      <c r="HE39" s="97"/>
      <c r="HF39" s="59"/>
      <c r="HG39" s="86"/>
      <c r="HH39" s="86"/>
      <c r="HI39" s="98"/>
      <c r="HJ39" s="86"/>
      <c r="HK39" s="86"/>
      <c r="HL39" s="58"/>
      <c r="HM39" s="96"/>
      <c r="HN39" s="96"/>
      <c r="HO39" s="58"/>
      <c r="HP39" s="58"/>
      <c r="HQ39" s="97"/>
      <c r="HR39" s="97"/>
      <c r="HS39" s="59"/>
      <c r="HT39" s="86"/>
      <c r="HU39" s="86"/>
      <c r="HV39" s="98"/>
      <c r="HW39"/>
      <c r="HX39" s="86"/>
      <c r="HY39" s="86"/>
      <c r="HZ39" s="58"/>
      <c r="IA39" s="96"/>
      <c r="IB39" s="96"/>
      <c r="IC39" s="58"/>
      <c r="ID39" s="58"/>
      <c r="IE39" s="97"/>
      <c r="IF39" s="58"/>
      <c r="IG39" s="59"/>
      <c r="IH39" s="86"/>
      <c r="II39" s="86"/>
      <c r="IJ39" s="98"/>
      <c r="IK39" s="86"/>
      <c r="IL39" s="86"/>
      <c r="IM39" s="58"/>
      <c r="IN39" s="96"/>
      <c r="IO39" s="96"/>
      <c r="IP39" s="58"/>
      <c r="IQ39" s="58"/>
      <c r="IR39" s="97"/>
      <c r="IS39" s="97"/>
      <c r="IT39" s="59"/>
      <c r="IU39" s="86"/>
      <c r="IV39" s="86"/>
      <c r="IW39" s="98"/>
      <c r="IX39"/>
      <c r="IY39" s="86"/>
      <c r="IZ39" s="86"/>
      <c r="JA39" s="58"/>
      <c r="JB39" s="96"/>
      <c r="JC39" s="96"/>
      <c r="JD39" s="58"/>
      <c r="JE39" s="58"/>
      <c r="JF39" s="97"/>
      <c r="JG39" s="97"/>
      <c r="JH39" s="59"/>
      <c r="JI39" s="86"/>
      <c r="JJ39" s="86"/>
      <c r="JK39" s="98"/>
      <c r="JL39" s="86"/>
      <c r="JM39" s="86"/>
      <c r="JN39" s="58"/>
      <c r="JO39" s="96"/>
      <c r="JP39" s="96"/>
      <c r="JQ39" s="58"/>
      <c r="JR39" s="58"/>
      <c r="JS39" s="97"/>
      <c r="JT39" s="97"/>
      <c r="JU39" s="59"/>
      <c r="JV39" s="86"/>
      <c r="JW39" s="86"/>
      <c r="JX39" s="98"/>
      <c r="JY39"/>
      <c r="JZ39" s="86"/>
      <c r="KA39" s="86"/>
      <c r="KB39" s="58"/>
      <c r="KC39" s="96"/>
      <c r="KD39" s="96"/>
      <c r="KE39" s="58"/>
      <c r="KF39" s="58"/>
      <c r="KG39" s="97"/>
      <c r="KH39" s="97"/>
      <c r="KI39" s="59"/>
      <c r="KJ39" s="86"/>
      <c r="KK39" s="86"/>
      <c r="KL39" s="98"/>
    </row>
    <row r="40" spans="1:298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63">SUM(D40-C40)+(F40-E40)</f>
        <v>-4.3499999999999996</v>
      </c>
      <c r="H40" s="63"/>
      <c r="I40" s="53"/>
      <c r="J40" s="59"/>
      <c r="K40" s="62"/>
      <c r="L40" s="60">
        <f t="shared" ref="L40" si="64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65">SUM(R40-Q40)+(T40-S40)</f>
        <v>-4.3499999999999996</v>
      </c>
      <c r="V40" s="63"/>
      <c r="W40" s="53"/>
      <c r="X40" s="59"/>
      <c r="Y40" s="62"/>
      <c r="Z40" s="60">
        <f t="shared" ref="Z40" si="66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67">SUM(AE40-AD40)+(AG40-AF40)</f>
        <v>-4.3499999999999996</v>
      </c>
      <c r="AI40" s="63"/>
      <c r="AJ40" s="53"/>
      <c r="AK40" s="59"/>
      <c r="AL40" s="62"/>
      <c r="AM40" s="60">
        <f t="shared" ref="AM40" si="68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69">SUM(AS40-AR40)+(AU40-AT40)</f>
        <v>-4.3499999999999996</v>
      </c>
      <c r="AW40" s="63"/>
      <c r="AX40" s="53"/>
      <c r="AY40" s="59"/>
      <c r="AZ40" s="62"/>
      <c r="BA40" s="60">
        <f t="shared" ref="BA40" si="70">SUM(AY40-AZ40)*100</f>
        <v>0</v>
      </c>
      <c r="BB40" s="61"/>
      <c r="BC40" s="62"/>
      <c r="BD40" s="62"/>
      <c r="BE40" s="58"/>
      <c r="BF40" s="53"/>
      <c r="BG40" s="53"/>
      <c r="BH40" s="53"/>
      <c r="BI40" s="58"/>
      <c r="BJ40" s="63"/>
      <c r="BK40" s="53"/>
      <c r="BL40" s="59"/>
      <c r="BM40" s="62"/>
      <c r="BN40" s="60"/>
      <c r="BO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71">SUM(BT40-BS40)+(BV40-BU40)</f>
        <v>-4.3499999999999996</v>
      </c>
      <c r="BX40" s="63"/>
      <c r="BY40" s="53"/>
      <c r="BZ40" s="59"/>
      <c r="CA40" s="62"/>
      <c r="CB40" s="60">
        <f t="shared" ref="CB40" si="72">SUM(BZ40-CA40)*100</f>
        <v>0</v>
      </c>
      <c r="CC40" s="61"/>
      <c r="CE40" s="62" t="s">
        <v>4</v>
      </c>
      <c r="CF40" s="62">
        <v>32</v>
      </c>
      <c r="CG40" s="58">
        <v>4.3499999999999996</v>
      </c>
      <c r="CH40" s="53"/>
      <c r="CI40" s="53"/>
      <c r="CJ40" s="53"/>
      <c r="CK40" s="58">
        <f t="shared" ref="CK40" si="73">SUM(CH40-CG40)+(CJ40-CI40)</f>
        <v>-4.3499999999999996</v>
      </c>
      <c r="CL40" s="63"/>
      <c r="CM40" s="53"/>
      <c r="CN40" s="59"/>
      <c r="CO40" s="62"/>
      <c r="CP40" s="60">
        <f t="shared" ref="CP40" si="74">SUM(CN40-CO40)*100</f>
        <v>0</v>
      </c>
      <c r="CQ40" s="61"/>
      <c r="CR40" s="62" t="s">
        <v>4</v>
      </c>
      <c r="CS40" s="62">
        <v>32</v>
      </c>
      <c r="CT40" s="58">
        <v>4.3499999999999996</v>
      </c>
      <c r="CU40" s="53"/>
      <c r="CV40" s="53"/>
      <c r="CW40" s="53"/>
      <c r="CX40" s="58">
        <f t="shared" ref="CX40" si="75">SUM(CU40-CT40)+(CW40-CV40)</f>
        <v>-4.3499999999999996</v>
      </c>
      <c r="CY40" s="63"/>
      <c r="CZ40" s="53"/>
      <c r="DA40" s="59"/>
      <c r="DB40" s="62"/>
      <c r="DC40" s="60">
        <f t="shared" ref="DC40" si="76">SUM(DA40-DB40)*100</f>
        <v>0</v>
      </c>
      <c r="DD40" s="61"/>
      <c r="DF40" s="62" t="s">
        <v>4</v>
      </c>
      <c r="DG40" s="62">
        <v>32</v>
      </c>
      <c r="DH40" s="58">
        <v>4.3499999999999996</v>
      </c>
      <c r="DI40" s="53"/>
      <c r="DJ40" s="53"/>
      <c r="DK40" s="53"/>
      <c r="DL40" s="58">
        <f t="shared" ref="DL40" si="77">SUM(DI40-DH40)+(DK40-DJ40)</f>
        <v>-4.3499999999999996</v>
      </c>
      <c r="DM40" s="63"/>
      <c r="DN40" s="53"/>
      <c r="DO40" s="59"/>
      <c r="DP40" s="62"/>
      <c r="DQ40" s="60">
        <f t="shared" ref="DQ40" si="78">SUM(DO40-DP40)*100</f>
        <v>0</v>
      </c>
      <c r="DR40" s="61"/>
      <c r="DT40" s="62" t="s">
        <v>4</v>
      </c>
      <c r="DU40" s="62">
        <v>32</v>
      </c>
      <c r="DV40" s="58">
        <v>4.3499999999999996</v>
      </c>
      <c r="DW40" s="53"/>
      <c r="DX40" s="53"/>
      <c r="DY40" s="53"/>
      <c r="DZ40" s="58">
        <f t="shared" ref="DZ40" si="79">SUM(DW40-DV40)+(DY40-DX40)</f>
        <v>-4.3499999999999996</v>
      </c>
      <c r="EA40" s="63"/>
      <c r="EB40" s="53"/>
      <c r="EC40" s="59"/>
      <c r="ED40" s="62"/>
      <c r="EE40" s="60">
        <f t="shared" ref="EE40" si="80">SUM(EC40-ED40)*100</f>
        <v>0</v>
      </c>
      <c r="EF40" s="61"/>
      <c r="EG40" s="62" t="s">
        <v>4</v>
      </c>
      <c r="EH40" s="62">
        <v>32</v>
      </c>
      <c r="EI40" s="58">
        <v>4.3499999999999996</v>
      </c>
      <c r="EJ40" s="53"/>
      <c r="EK40" s="53"/>
      <c r="EL40" s="53"/>
      <c r="EM40" s="58">
        <f t="shared" ref="EM40" si="81">SUM(EJ40-EI40)+(EL40-EK40)</f>
        <v>-4.3499999999999996</v>
      </c>
      <c r="EN40" s="63"/>
      <c r="EO40" s="53"/>
      <c r="EP40" s="59"/>
      <c r="EQ40" s="62"/>
      <c r="ER40" s="60">
        <f t="shared" ref="ER40" si="82">SUM(EP40-EQ40)*100</f>
        <v>0</v>
      </c>
      <c r="ES40" s="61"/>
      <c r="EU40" s="62" t="s">
        <v>4</v>
      </c>
      <c r="EV40" s="62">
        <v>32</v>
      </c>
      <c r="EW40" s="58">
        <v>4.3499999999999996</v>
      </c>
      <c r="EX40" s="53"/>
      <c r="EY40" s="53"/>
      <c r="EZ40" s="53"/>
      <c r="FA40" s="58">
        <f t="shared" ref="FA40" si="83">SUM(EX40-EW40)+(EZ40-EY40)</f>
        <v>-4.3499999999999996</v>
      </c>
      <c r="FB40" s="63"/>
      <c r="FC40" s="53"/>
      <c r="FD40" s="59"/>
      <c r="FE40" s="62"/>
      <c r="FF40" s="60">
        <f t="shared" ref="FF40" si="84">SUM(FD40-FE40)*100</f>
        <v>0</v>
      </c>
      <c r="FG40" s="61"/>
      <c r="FH40" s="62" t="s">
        <v>4</v>
      </c>
      <c r="FI40" s="62">
        <v>32</v>
      </c>
      <c r="FJ40" s="58">
        <v>4.3499999999999996</v>
      </c>
      <c r="FK40" s="53"/>
      <c r="FL40" s="53"/>
      <c r="FM40" s="53"/>
      <c r="FN40" s="58">
        <f t="shared" ref="FN40" si="85">SUM(FK40-FJ40)+(FM40-FL40)</f>
        <v>-4.3499999999999996</v>
      </c>
      <c r="FO40" s="63"/>
      <c r="FP40" s="53"/>
      <c r="FQ40" s="59"/>
      <c r="FR40" s="62"/>
      <c r="FS40" s="60">
        <f t="shared" ref="FS40" si="86">SUM(FQ40-FR40)*100</f>
        <v>0</v>
      </c>
      <c r="FT40" s="61"/>
      <c r="FV40" s="62" t="s">
        <v>4</v>
      </c>
      <c r="FW40" s="62">
        <v>32</v>
      </c>
      <c r="FX40" s="58">
        <v>4.3499999999999996</v>
      </c>
      <c r="FY40" s="53"/>
      <c r="FZ40" s="53"/>
      <c r="GA40" s="53"/>
      <c r="GB40" s="58">
        <f t="shared" ref="GB40" si="87">SUM(FY40-FX40)+(GA40-FZ40)</f>
        <v>-4.3499999999999996</v>
      </c>
      <c r="GC40" s="63"/>
      <c r="GD40" s="53"/>
      <c r="GE40" s="59"/>
      <c r="GF40" s="62"/>
      <c r="GG40" s="60">
        <f t="shared" ref="GG40" si="88">SUM(GE40-GF40)*100</f>
        <v>0</v>
      </c>
      <c r="GH40" s="61"/>
      <c r="GI40" s="62" t="s">
        <v>4</v>
      </c>
      <c r="GJ40" s="62">
        <v>32</v>
      </c>
      <c r="GK40" s="58">
        <v>4.3499999999999996</v>
      </c>
      <c r="GL40" s="53"/>
      <c r="GM40" s="53"/>
      <c r="GN40" s="53"/>
      <c r="GO40" s="58">
        <f t="shared" ref="GO40" si="89">SUM(GL40-GK40)+(GN40-GM40)</f>
        <v>-4.3499999999999996</v>
      </c>
      <c r="GP40" s="63"/>
      <c r="GQ40" s="53"/>
      <c r="GR40" s="59"/>
      <c r="GS40" s="62"/>
      <c r="GT40" s="60">
        <f t="shared" ref="GT40" si="90">SUM(GR40-GS40)*100</f>
        <v>0</v>
      </c>
      <c r="GU40" s="61"/>
      <c r="GW40" s="62" t="s">
        <v>4</v>
      </c>
      <c r="GX40" s="62">
        <v>32</v>
      </c>
      <c r="GY40" s="58">
        <v>4.3499999999999996</v>
      </c>
      <c r="GZ40" s="53"/>
      <c r="HA40" s="53"/>
      <c r="HB40" s="53"/>
      <c r="HC40" s="58">
        <f t="shared" ref="HC40" si="91">SUM(GZ40-GY40)+(HB40-HA40)</f>
        <v>-4.3499999999999996</v>
      </c>
      <c r="HD40" s="63"/>
      <c r="HE40" s="53"/>
      <c r="HF40" s="59"/>
      <c r="HG40" s="62"/>
      <c r="HH40" s="60">
        <f t="shared" ref="HH40" si="92">SUM(HF40-HG40)*100</f>
        <v>0</v>
      </c>
      <c r="HI40" s="61"/>
      <c r="HJ40" s="62" t="s">
        <v>4</v>
      </c>
      <c r="HK40" s="62">
        <v>32</v>
      </c>
      <c r="HL40" s="58">
        <v>4.3499999999999996</v>
      </c>
      <c r="HM40" s="53"/>
      <c r="HN40" s="53"/>
      <c r="HO40" s="53"/>
      <c r="HP40" s="58">
        <f t="shared" ref="HP40" si="93">SUM(HM40-HL40)+(HO40-HN40)</f>
        <v>-4.3499999999999996</v>
      </c>
      <c r="HQ40" s="63"/>
      <c r="HR40" s="53"/>
      <c r="HS40" s="59"/>
      <c r="HT40" s="62"/>
      <c r="HU40" s="60">
        <f t="shared" ref="HU40" si="94">SUM(HS40-HT40)*100</f>
        <v>0</v>
      </c>
      <c r="HV40" s="61"/>
      <c r="HX40" s="62"/>
      <c r="HY40" s="62"/>
      <c r="HZ40" s="58"/>
      <c r="IA40" s="53"/>
      <c r="IB40" s="53"/>
      <c r="IC40" s="53"/>
      <c r="ID40" s="58"/>
      <c r="IE40" s="63"/>
      <c r="IF40" s="53"/>
      <c r="IG40" s="59"/>
      <c r="IH40" s="62"/>
      <c r="II40" s="60"/>
      <c r="IJ40" s="61"/>
      <c r="IK40" s="62" t="s">
        <v>4</v>
      </c>
      <c r="IL40" s="62">
        <v>32</v>
      </c>
      <c r="IM40" s="58">
        <v>4.3499999999999996</v>
      </c>
      <c r="IN40" s="53"/>
      <c r="IO40" s="53"/>
      <c r="IP40" s="53"/>
      <c r="IQ40" s="58">
        <f t="shared" ref="IQ40" si="95">SUM(IN40-IM40)+(IP40-IO40)</f>
        <v>-4.3499999999999996</v>
      </c>
      <c r="IR40" s="63"/>
      <c r="IS40" s="53"/>
      <c r="IT40" s="59"/>
      <c r="IU40" s="62"/>
      <c r="IV40" s="60">
        <f t="shared" ref="IV40" si="96">SUM(IT40-IU40)*100</f>
        <v>0</v>
      </c>
      <c r="IW40" s="61"/>
      <c r="IY40" s="62" t="s">
        <v>4</v>
      </c>
      <c r="IZ40" s="62">
        <v>32</v>
      </c>
      <c r="JA40" s="58">
        <v>4.3499999999999996</v>
      </c>
      <c r="JB40" s="53"/>
      <c r="JC40" s="53"/>
      <c r="JD40" s="53"/>
      <c r="JE40" s="58">
        <f t="shared" ref="JE40" si="97">SUM(JB40-JA40)+(JD40-JC40)</f>
        <v>-4.3499999999999996</v>
      </c>
      <c r="JF40" s="63"/>
      <c r="JG40" s="53"/>
      <c r="JH40" s="59"/>
      <c r="JI40" s="62"/>
      <c r="JJ40" s="60">
        <f t="shared" ref="JJ40" si="98">SUM(JH40-JI40)*100</f>
        <v>0</v>
      </c>
      <c r="JK40" s="61"/>
      <c r="JL40" s="62" t="s">
        <v>4</v>
      </c>
      <c r="JM40" s="62">
        <v>32</v>
      </c>
      <c r="JN40" s="58">
        <v>4.3499999999999996</v>
      </c>
      <c r="JO40" s="53"/>
      <c r="JP40" s="53"/>
      <c r="JQ40" s="53"/>
      <c r="JR40" s="58">
        <f t="shared" ref="JR40" si="99">SUM(JO40-JN40)+(JQ40-JP40)</f>
        <v>-4.3499999999999996</v>
      </c>
      <c r="JS40" s="63"/>
      <c r="JT40" s="53"/>
      <c r="JU40" s="59"/>
      <c r="JV40" s="62"/>
      <c r="JW40" s="60">
        <f t="shared" ref="JW40" si="100">SUM(JU40-JV40)*100</f>
        <v>0</v>
      </c>
      <c r="JX40" s="61"/>
      <c r="JZ40" s="62" t="s">
        <v>4</v>
      </c>
      <c r="KA40" s="62">
        <v>32</v>
      </c>
      <c r="KB40" s="58">
        <v>4.3499999999999996</v>
      </c>
      <c r="KC40" s="53"/>
      <c r="KD40" s="53"/>
      <c r="KE40" s="53"/>
      <c r="KF40" s="58">
        <f t="shared" ref="KF40" si="101">SUM(KC40-KB40)+(KE40-KD40)</f>
        <v>-4.3499999999999996</v>
      </c>
      <c r="KG40" s="63"/>
      <c r="KH40" s="53"/>
      <c r="KI40" s="59"/>
      <c r="KJ40" s="62"/>
      <c r="KK40" s="60">
        <f t="shared" ref="KK40" si="102">SUM(KI40-KJ40)*100</f>
        <v>0</v>
      </c>
      <c r="KL40" s="61"/>
    </row>
    <row r="41" spans="1:298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C41" s="62"/>
      <c r="BD41" s="62"/>
      <c r="BE41" s="58"/>
      <c r="BF41" s="53"/>
      <c r="BG41" s="53"/>
      <c r="BH41" s="53"/>
      <c r="BI41" s="53"/>
      <c r="BJ41" s="63"/>
      <c r="BK41" s="63"/>
      <c r="BL41" s="62"/>
      <c r="BM41" s="62"/>
      <c r="BN41" s="62"/>
      <c r="BO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E41" s="62" t="s">
        <v>5</v>
      </c>
      <c r="CF41" s="62">
        <v>33</v>
      </c>
      <c r="CG41" s="58">
        <v>4.3499999999999996</v>
      </c>
      <c r="CH41" s="53"/>
      <c r="CI41" s="53"/>
      <c r="CJ41" s="53"/>
      <c r="CK41" s="53"/>
      <c r="CL41" s="63"/>
      <c r="CM41" s="63"/>
      <c r="CN41" s="62"/>
      <c r="CO41" s="62"/>
      <c r="CP41" s="62"/>
      <c r="CQ41" s="61"/>
      <c r="CR41" s="62" t="s">
        <v>5</v>
      </c>
      <c r="CS41" s="62">
        <v>33</v>
      </c>
      <c r="CT41" s="58">
        <v>4.3499999999999996</v>
      </c>
      <c r="CU41" s="53"/>
      <c r="CV41" s="53"/>
      <c r="CW41" s="53"/>
      <c r="CX41" s="53"/>
      <c r="CY41" s="63"/>
      <c r="CZ41" s="63"/>
      <c r="DA41" s="62"/>
      <c r="DB41" s="62"/>
      <c r="DC41" s="62"/>
      <c r="DD41" s="61"/>
      <c r="DF41" s="62" t="s">
        <v>5</v>
      </c>
      <c r="DG41" s="62">
        <v>33</v>
      </c>
      <c r="DH41" s="58">
        <v>4.3499999999999996</v>
      </c>
      <c r="DI41" s="53"/>
      <c r="DJ41" s="53"/>
      <c r="DK41" s="53"/>
      <c r="DL41" s="53"/>
      <c r="DM41" s="63"/>
      <c r="DN41" s="63"/>
      <c r="DO41" s="62"/>
      <c r="DP41" s="62"/>
      <c r="DQ41" s="62"/>
      <c r="DR41" s="61"/>
      <c r="DT41" s="62" t="s">
        <v>5</v>
      </c>
      <c r="DU41" s="62">
        <v>33</v>
      </c>
      <c r="DV41" s="58">
        <v>4.3499999999999996</v>
      </c>
      <c r="DW41" s="53"/>
      <c r="DX41" s="53"/>
      <c r="DY41" s="53"/>
      <c r="DZ41" s="53"/>
      <c r="EA41" s="63"/>
      <c r="EB41" s="63"/>
      <c r="EC41" s="62"/>
      <c r="ED41" s="62"/>
      <c r="EE41" s="62"/>
      <c r="EF41" s="61"/>
      <c r="EG41" s="62" t="s">
        <v>5</v>
      </c>
      <c r="EH41" s="62">
        <v>33</v>
      </c>
      <c r="EI41" s="58">
        <v>4.3499999999999996</v>
      </c>
      <c r="EJ41" s="53"/>
      <c r="EK41" s="53"/>
      <c r="EL41" s="53"/>
      <c r="EM41" s="53"/>
      <c r="EN41" s="63"/>
      <c r="EO41" s="63"/>
      <c r="EP41" s="62"/>
      <c r="EQ41" s="62"/>
      <c r="ER41" s="62"/>
      <c r="ES41" s="61"/>
      <c r="EU41" s="62" t="s">
        <v>5</v>
      </c>
      <c r="EV41" s="62">
        <v>33</v>
      </c>
      <c r="EW41" s="58">
        <v>4.3499999999999996</v>
      </c>
      <c r="EX41" s="53"/>
      <c r="EY41" s="53"/>
      <c r="EZ41" s="53"/>
      <c r="FA41" s="53"/>
      <c r="FB41" s="63"/>
      <c r="FC41" s="63"/>
      <c r="FD41" s="62"/>
      <c r="FE41" s="62"/>
      <c r="FF41" s="62"/>
      <c r="FG41" s="61"/>
      <c r="FH41" s="62" t="s">
        <v>5</v>
      </c>
      <c r="FI41" s="62">
        <v>33</v>
      </c>
      <c r="FJ41" s="58">
        <v>4.3499999999999996</v>
      </c>
      <c r="FK41" s="53"/>
      <c r="FL41" s="53"/>
      <c r="FM41" s="53"/>
      <c r="FN41" s="53"/>
      <c r="FO41" s="63"/>
      <c r="FP41" s="63"/>
      <c r="FQ41" s="62"/>
      <c r="FR41" s="62"/>
      <c r="FS41" s="62"/>
      <c r="FT41" s="61"/>
      <c r="FV41" s="62" t="s">
        <v>5</v>
      </c>
      <c r="FW41" s="62">
        <v>33</v>
      </c>
      <c r="FX41" s="58">
        <v>4.3499999999999996</v>
      </c>
      <c r="FY41" s="53"/>
      <c r="FZ41" s="53"/>
      <c r="GA41" s="53"/>
      <c r="GB41" s="53"/>
      <c r="GC41" s="63"/>
      <c r="GD41" s="63"/>
      <c r="GE41" s="62"/>
      <c r="GF41" s="62"/>
      <c r="GG41" s="62"/>
      <c r="GH41" s="61"/>
      <c r="GI41" s="62" t="s">
        <v>5</v>
      </c>
      <c r="GJ41" s="62">
        <v>33</v>
      </c>
      <c r="GK41" s="58">
        <v>4.3499999999999996</v>
      </c>
      <c r="GL41" s="53"/>
      <c r="GM41" s="53"/>
      <c r="GN41" s="53"/>
      <c r="GO41" s="53"/>
      <c r="GP41" s="63"/>
      <c r="GQ41" s="63"/>
      <c r="GR41" s="62"/>
      <c r="GS41" s="62"/>
      <c r="GT41" s="62"/>
      <c r="GU41" s="61"/>
      <c r="GW41" s="62" t="s">
        <v>5</v>
      </c>
      <c r="GX41" s="62">
        <v>33</v>
      </c>
      <c r="GY41" s="58">
        <v>4.3499999999999996</v>
      </c>
      <c r="GZ41" s="53"/>
      <c r="HA41" s="53"/>
      <c r="HB41" s="53"/>
      <c r="HC41" s="53"/>
      <c r="HD41" s="63"/>
      <c r="HE41" s="63"/>
      <c r="HF41" s="62"/>
      <c r="HG41" s="62"/>
      <c r="HH41" s="62"/>
      <c r="HI41" s="61"/>
      <c r="HJ41" s="62" t="s">
        <v>5</v>
      </c>
      <c r="HK41" s="62">
        <v>33</v>
      </c>
      <c r="HL41" s="58">
        <v>4.3499999999999996</v>
      </c>
      <c r="HM41" s="53"/>
      <c r="HN41" s="53"/>
      <c r="HO41" s="53"/>
      <c r="HP41" s="53"/>
      <c r="HQ41" s="63"/>
      <c r="HR41" s="63"/>
      <c r="HS41" s="62"/>
      <c r="HT41" s="62"/>
      <c r="HU41" s="62"/>
      <c r="HV41" s="61"/>
      <c r="HX41" s="62"/>
      <c r="HY41" s="62"/>
      <c r="HZ41" s="58"/>
      <c r="IA41" s="53"/>
      <c r="IB41" s="53"/>
      <c r="IC41" s="53"/>
      <c r="ID41" s="53"/>
      <c r="IE41" s="63"/>
      <c r="IF41" s="63"/>
      <c r="IG41" s="62"/>
      <c r="IH41" s="62"/>
      <c r="II41" s="62"/>
      <c r="IJ41" s="61"/>
      <c r="IK41" s="62" t="s">
        <v>5</v>
      </c>
      <c r="IL41" s="62">
        <v>33</v>
      </c>
      <c r="IM41" s="58">
        <v>4.3499999999999996</v>
      </c>
      <c r="IN41" s="53"/>
      <c r="IO41" s="53"/>
      <c r="IP41" s="53"/>
      <c r="IQ41" s="53"/>
      <c r="IR41" s="63"/>
      <c r="IS41" s="63"/>
      <c r="IT41" s="62"/>
      <c r="IU41" s="62"/>
      <c r="IV41" s="62"/>
      <c r="IW41" s="61"/>
      <c r="IY41" s="62" t="s">
        <v>5</v>
      </c>
      <c r="IZ41" s="62">
        <v>33</v>
      </c>
      <c r="JA41" s="58">
        <v>4.3499999999999996</v>
      </c>
      <c r="JB41" s="53"/>
      <c r="JC41" s="53"/>
      <c r="JD41" s="53"/>
      <c r="JE41" s="53"/>
      <c r="JF41" s="63"/>
      <c r="JG41" s="63"/>
      <c r="JH41" s="62"/>
      <c r="JI41" s="62"/>
      <c r="JJ41" s="62"/>
      <c r="JK41" s="61"/>
      <c r="JL41" s="62" t="s">
        <v>5</v>
      </c>
      <c r="JM41" s="62">
        <v>33</v>
      </c>
      <c r="JN41" s="58">
        <v>4.3499999999999996</v>
      </c>
      <c r="JO41" s="53"/>
      <c r="JP41" s="53"/>
      <c r="JQ41" s="53"/>
      <c r="JR41" s="53"/>
      <c r="JS41" s="63"/>
      <c r="JT41" s="63"/>
      <c r="JU41" s="62"/>
      <c r="JV41" s="62"/>
      <c r="JW41" s="62"/>
      <c r="JX41" s="61"/>
      <c r="JZ41" s="62" t="s">
        <v>5</v>
      </c>
      <c r="KA41" s="62">
        <v>33</v>
      </c>
      <c r="KB41" s="58">
        <v>4.3499999999999996</v>
      </c>
      <c r="KC41" s="53"/>
      <c r="KD41" s="53"/>
      <c r="KE41" s="53"/>
      <c r="KF41" s="53"/>
      <c r="KG41" s="63"/>
      <c r="KH41" s="63"/>
      <c r="KI41" s="62"/>
      <c r="KJ41" s="62"/>
      <c r="KK41" s="62"/>
      <c r="KL41" s="61"/>
    </row>
    <row r="42" spans="1:298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C42" s="62"/>
      <c r="BD42" s="62"/>
      <c r="BE42" s="58"/>
      <c r="BF42" s="53"/>
      <c r="BG42" s="53"/>
      <c r="BH42" s="53"/>
      <c r="BI42" s="53"/>
      <c r="BJ42" s="63"/>
      <c r="BK42" s="63"/>
      <c r="BL42" s="62"/>
      <c r="BM42" s="62"/>
      <c r="BN42" s="62"/>
      <c r="BO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E42" s="62" t="s">
        <v>6</v>
      </c>
      <c r="CF42" s="62">
        <v>34</v>
      </c>
      <c r="CG42" s="58">
        <v>4.3499999999999996</v>
      </c>
      <c r="CH42" s="53"/>
      <c r="CI42" s="53"/>
      <c r="CJ42" s="53"/>
      <c r="CK42" s="53"/>
      <c r="CL42" s="63"/>
      <c r="CM42" s="63"/>
      <c r="CN42" s="62"/>
      <c r="CO42" s="62"/>
      <c r="CP42" s="62"/>
      <c r="CQ42" s="61"/>
      <c r="CR42" s="62" t="s">
        <v>6</v>
      </c>
      <c r="CS42" s="62">
        <v>34</v>
      </c>
      <c r="CT42" s="58">
        <v>4.3499999999999996</v>
      </c>
      <c r="CU42" s="53"/>
      <c r="CV42" s="53"/>
      <c r="CW42" s="53"/>
      <c r="CX42" s="53"/>
      <c r="CY42" s="63"/>
      <c r="CZ42" s="63"/>
      <c r="DA42" s="62"/>
      <c r="DB42" s="62"/>
      <c r="DC42" s="62"/>
      <c r="DD42" s="61"/>
      <c r="DF42" s="62" t="s">
        <v>6</v>
      </c>
      <c r="DG42" s="62">
        <v>34</v>
      </c>
      <c r="DH42" s="58">
        <v>4.3499999999999996</v>
      </c>
      <c r="DI42" s="53"/>
      <c r="DJ42" s="53"/>
      <c r="DK42" s="53"/>
      <c r="DL42" s="53"/>
      <c r="DM42" s="63"/>
      <c r="DN42" s="63"/>
      <c r="DO42" s="62"/>
      <c r="DP42" s="62"/>
      <c r="DQ42" s="62"/>
      <c r="DR42" s="61"/>
      <c r="DT42" s="62" t="s">
        <v>6</v>
      </c>
      <c r="DU42" s="62">
        <v>34</v>
      </c>
      <c r="DV42" s="58">
        <v>4.3499999999999996</v>
      </c>
      <c r="DW42" s="53"/>
      <c r="DX42" s="53"/>
      <c r="DY42" s="53"/>
      <c r="DZ42" s="53"/>
      <c r="EA42" s="63"/>
      <c r="EB42" s="63"/>
      <c r="EC42" s="62"/>
      <c r="ED42" s="62"/>
      <c r="EE42" s="62"/>
      <c r="EF42" s="61"/>
      <c r="EG42" s="62" t="s">
        <v>6</v>
      </c>
      <c r="EH42" s="62">
        <v>34</v>
      </c>
      <c r="EI42" s="58">
        <v>4.3499999999999996</v>
      </c>
      <c r="EJ42" s="53"/>
      <c r="EK42" s="53"/>
      <c r="EL42" s="53"/>
      <c r="EM42" s="53"/>
      <c r="EN42" s="63"/>
      <c r="EO42" s="63"/>
      <c r="EP42" s="62"/>
      <c r="EQ42" s="62"/>
      <c r="ER42" s="62"/>
      <c r="ES42" s="61"/>
      <c r="EU42" s="62" t="s">
        <v>6</v>
      </c>
      <c r="EV42" s="62">
        <v>34</v>
      </c>
      <c r="EW42" s="58">
        <v>4.3499999999999996</v>
      </c>
      <c r="EX42" s="53"/>
      <c r="EY42" s="53"/>
      <c r="EZ42" s="53"/>
      <c r="FA42" s="53"/>
      <c r="FB42" s="63"/>
      <c r="FC42" s="63"/>
      <c r="FD42" s="62"/>
      <c r="FE42" s="62"/>
      <c r="FF42" s="62"/>
      <c r="FG42" s="61"/>
      <c r="FH42" s="62" t="s">
        <v>6</v>
      </c>
      <c r="FI42" s="62">
        <v>34</v>
      </c>
      <c r="FJ42" s="58">
        <v>4.3499999999999996</v>
      </c>
      <c r="FK42" s="53"/>
      <c r="FL42" s="53"/>
      <c r="FM42" s="53"/>
      <c r="FN42" s="53"/>
      <c r="FO42" s="63"/>
      <c r="FP42" s="63"/>
      <c r="FQ42" s="62"/>
      <c r="FR42" s="62"/>
      <c r="FS42" s="62"/>
      <c r="FT42" s="61"/>
      <c r="FV42" s="62" t="s">
        <v>6</v>
      </c>
      <c r="FW42" s="62">
        <v>34</v>
      </c>
      <c r="FX42" s="58">
        <v>4.3499999999999996</v>
      </c>
      <c r="FY42" s="53"/>
      <c r="FZ42" s="53"/>
      <c r="GA42" s="53"/>
      <c r="GB42" s="53"/>
      <c r="GC42" s="63"/>
      <c r="GD42" s="63"/>
      <c r="GE42" s="62"/>
      <c r="GF42" s="62"/>
      <c r="GG42" s="62"/>
      <c r="GH42" s="61"/>
      <c r="GI42" s="62" t="s">
        <v>6</v>
      </c>
      <c r="GJ42" s="62">
        <v>34</v>
      </c>
      <c r="GK42" s="58">
        <v>4.3499999999999996</v>
      </c>
      <c r="GL42" s="53"/>
      <c r="GM42" s="53"/>
      <c r="GN42" s="53"/>
      <c r="GO42" s="53"/>
      <c r="GP42" s="63"/>
      <c r="GQ42" s="63"/>
      <c r="GR42" s="62"/>
      <c r="GS42" s="62"/>
      <c r="GT42" s="62"/>
      <c r="GU42" s="61"/>
      <c r="GW42" s="62" t="s">
        <v>6</v>
      </c>
      <c r="GX42" s="62">
        <v>34</v>
      </c>
      <c r="GY42" s="58">
        <v>4.3499999999999996</v>
      </c>
      <c r="GZ42" s="53"/>
      <c r="HA42" s="53"/>
      <c r="HB42" s="53"/>
      <c r="HC42" s="53"/>
      <c r="HD42" s="63"/>
      <c r="HE42" s="63"/>
      <c r="HF42" s="62"/>
      <c r="HG42" s="62"/>
      <c r="HH42" s="62"/>
      <c r="HI42" s="61"/>
      <c r="HJ42" s="62" t="s">
        <v>6</v>
      </c>
      <c r="HK42" s="62">
        <v>34</v>
      </c>
      <c r="HL42" s="58">
        <v>4.3499999999999996</v>
      </c>
      <c r="HM42" s="53"/>
      <c r="HN42" s="53"/>
      <c r="HO42" s="53"/>
      <c r="HP42" s="53"/>
      <c r="HQ42" s="63"/>
      <c r="HR42" s="63"/>
      <c r="HS42" s="62"/>
      <c r="HT42" s="62"/>
      <c r="HU42" s="62"/>
      <c r="HV42" s="61"/>
      <c r="HX42" s="62"/>
      <c r="HY42" s="62"/>
      <c r="HZ42" s="58"/>
      <c r="IA42" s="53"/>
      <c r="IB42" s="53"/>
      <c r="IC42" s="53"/>
      <c r="ID42" s="53"/>
      <c r="IE42" s="63"/>
      <c r="IF42" s="63"/>
      <c r="IG42" s="62"/>
      <c r="IH42" s="62"/>
      <c r="II42" s="62"/>
      <c r="IJ42" s="61"/>
      <c r="IK42" s="62" t="s">
        <v>6</v>
      </c>
      <c r="IL42" s="62">
        <v>34</v>
      </c>
      <c r="IM42" s="58">
        <v>4.3499999999999996</v>
      </c>
      <c r="IN42" s="53"/>
      <c r="IO42" s="53"/>
      <c r="IP42" s="53"/>
      <c r="IQ42" s="53"/>
      <c r="IR42" s="63"/>
      <c r="IS42" s="63"/>
      <c r="IT42" s="62"/>
      <c r="IU42" s="62"/>
      <c r="IV42" s="62"/>
      <c r="IW42" s="61"/>
      <c r="IY42" s="62" t="s">
        <v>6</v>
      </c>
      <c r="IZ42" s="62">
        <v>34</v>
      </c>
      <c r="JA42" s="58">
        <v>4.3499999999999996</v>
      </c>
      <c r="JB42" s="53"/>
      <c r="JC42" s="53"/>
      <c r="JD42" s="53"/>
      <c r="JE42" s="53"/>
      <c r="JF42" s="63"/>
      <c r="JG42" s="63"/>
      <c r="JH42" s="62"/>
      <c r="JI42" s="62"/>
      <c r="JJ42" s="62"/>
      <c r="JK42" s="61"/>
      <c r="JL42" s="62" t="s">
        <v>6</v>
      </c>
      <c r="JM42" s="62">
        <v>34</v>
      </c>
      <c r="JN42" s="58">
        <v>4.3499999999999996</v>
      </c>
      <c r="JO42" s="53"/>
      <c r="JP42" s="53"/>
      <c r="JQ42" s="53"/>
      <c r="JR42" s="53"/>
      <c r="JS42" s="63"/>
      <c r="JT42" s="63"/>
      <c r="JU42" s="62"/>
      <c r="JV42" s="62"/>
      <c r="JW42" s="62"/>
      <c r="JX42" s="61"/>
      <c r="JZ42" s="62" t="s">
        <v>6</v>
      </c>
      <c r="KA42" s="62">
        <v>34</v>
      </c>
      <c r="KB42" s="58">
        <v>4.3499999999999996</v>
      </c>
      <c r="KC42" s="53"/>
      <c r="KD42" s="53"/>
      <c r="KE42" s="53"/>
      <c r="KF42" s="53"/>
      <c r="KG42" s="63"/>
      <c r="KH42" s="63"/>
      <c r="KI42" s="62"/>
      <c r="KJ42" s="62"/>
      <c r="KK42" s="62"/>
      <c r="KL42" s="61"/>
    </row>
    <row r="43" spans="1:298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C43" s="62"/>
      <c r="BD43" s="62"/>
      <c r="BE43" s="58"/>
      <c r="BF43" s="53"/>
      <c r="BG43" s="53"/>
      <c r="BH43" s="53"/>
      <c r="BI43" s="53"/>
      <c r="BJ43" s="63"/>
      <c r="BK43" s="63"/>
      <c r="BL43" s="62"/>
      <c r="BM43" s="62"/>
      <c r="BN43" s="62"/>
      <c r="BO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E43" s="62" t="s">
        <v>1</v>
      </c>
      <c r="CF43" s="62">
        <v>35</v>
      </c>
      <c r="CG43" s="58">
        <v>4.3499999999999996</v>
      </c>
      <c r="CH43" s="53"/>
      <c r="CI43" s="53"/>
      <c r="CJ43" s="53"/>
      <c r="CK43" s="53"/>
      <c r="CL43" s="63"/>
      <c r="CM43" s="63"/>
      <c r="CN43" s="62"/>
      <c r="CO43" s="62"/>
      <c r="CP43" s="62"/>
      <c r="CQ43" s="61"/>
      <c r="CR43" s="62" t="s">
        <v>1</v>
      </c>
      <c r="CS43" s="62">
        <v>35</v>
      </c>
      <c r="CT43" s="58">
        <v>4.3499999999999996</v>
      </c>
      <c r="CU43" s="53"/>
      <c r="CV43" s="53"/>
      <c r="CW43" s="53"/>
      <c r="CX43" s="53"/>
      <c r="CY43" s="63"/>
      <c r="CZ43" s="63"/>
      <c r="DA43" s="62"/>
      <c r="DB43" s="62"/>
      <c r="DC43" s="62"/>
      <c r="DD43" s="61"/>
      <c r="DF43" s="62" t="s">
        <v>1</v>
      </c>
      <c r="DG43" s="62">
        <v>35</v>
      </c>
      <c r="DH43" s="58">
        <v>4.3499999999999996</v>
      </c>
      <c r="DI43" s="53"/>
      <c r="DJ43" s="53"/>
      <c r="DK43" s="53"/>
      <c r="DL43" s="53"/>
      <c r="DM43" s="63"/>
      <c r="DN43" s="63"/>
      <c r="DO43" s="62"/>
      <c r="DP43" s="62"/>
      <c r="DQ43" s="62"/>
      <c r="DR43" s="61"/>
      <c r="DT43" s="62" t="s">
        <v>1</v>
      </c>
      <c r="DU43" s="62">
        <v>35</v>
      </c>
      <c r="DV43" s="58">
        <v>4.3499999999999996</v>
      </c>
      <c r="DW43" s="53"/>
      <c r="DX43" s="53"/>
      <c r="DY43" s="53"/>
      <c r="DZ43" s="53"/>
      <c r="EA43" s="63"/>
      <c r="EB43" s="63"/>
      <c r="EC43" s="62"/>
      <c r="ED43" s="62"/>
      <c r="EE43" s="62"/>
      <c r="EF43" s="61"/>
      <c r="EG43" s="62" t="s">
        <v>1</v>
      </c>
      <c r="EH43" s="62">
        <v>35</v>
      </c>
      <c r="EI43" s="58">
        <v>4.3499999999999996</v>
      </c>
      <c r="EJ43" s="53"/>
      <c r="EK43" s="53"/>
      <c r="EL43" s="53"/>
      <c r="EM43" s="53"/>
      <c r="EN43" s="63"/>
      <c r="EO43" s="63"/>
      <c r="EP43" s="62"/>
      <c r="EQ43" s="62"/>
      <c r="ER43" s="62"/>
      <c r="ES43" s="61"/>
      <c r="EU43" s="62" t="s">
        <v>1</v>
      </c>
      <c r="EV43" s="62">
        <v>35</v>
      </c>
      <c r="EW43" s="58">
        <v>4.3499999999999996</v>
      </c>
      <c r="EX43" s="53"/>
      <c r="EY43" s="53"/>
      <c r="EZ43" s="53"/>
      <c r="FA43" s="53"/>
      <c r="FB43" s="63"/>
      <c r="FC43" s="63"/>
      <c r="FD43" s="62"/>
      <c r="FE43" s="62"/>
      <c r="FF43" s="62"/>
      <c r="FG43" s="61"/>
      <c r="FH43" s="62" t="s">
        <v>1</v>
      </c>
      <c r="FI43" s="62">
        <v>35</v>
      </c>
      <c r="FJ43" s="58">
        <v>4.3499999999999996</v>
      </c>
      <c r="FK43" s="53"/>
      <c r="FL43" s="53"/>
      <c r="FM43" s="53"/>
      <c r="FN43" s="53"/>
      <c r="FO43" s="63"/>
      <c r="FP43" s="63"/>
      <c r="FQ43" s="62"/>
      <c r="FR43" s="62"/>
      <c r="FS43" s="62"/>
      <c r="FT43" s="61"/>
      <c r="FV43" s="62" t="s">
        <v>1</v>
      </c>
      <c r="FW43" s="62">
        <v>35</v>
      </c>
      <c r="FX43" s="58">
        <v>4.3499999999999996</v>
      </c>
      <c r="FY43" s="53"/>
      <c r="FZ43" s="53"/>
      <c r="GA43" s="53"/>
      <c r="GB43" s="53"/>
      <c r="GC43" s="63"/>
      <c r="GD43" s="63"/>
      <c r="GE43" s="62"/>
      <c r="GF43" s="62"/>
      <c r="GG43" s="62"/>
      <c r="GH43" s="61"/>
      <c r="GI43" s="62" t="s">
        <v>1</v>
      </c>
      <c r="GJ43" s="62">
        <v>35</v>
      </c>
      <c r="GK43" s="58">
        <v>4.3499999999999996</v>
      </c>
      <c r="GL43" s="53"/>
      <c r="GM43" s="53"/>
      <c r="GN43" s="53"/>
      <c r="GO43" s="53"/>
      <c r="GP43" s="63"/>
      <c r="GQ43" s="63"/>
      <c r="GR43" s="62"/>
      <c r="GS43" s="62"/>
      <c r="GT43" s="62"/>
      <c r="GU43" s="61"/>
      <c r="GW43" s="62" t="s">
        <v>1</v>
      </c>
      <c r="GX43" s="62">
        <v>35</v>
      </c>
      <c r="GY43" s="58">
        <v>4.3499999999999996</v>
      </c>
      <c r="GZ43" s="53"/>
      <c r="HA43" s="53"/>
      <c r="HB43" s="53"/>
      <c r="HC43" s="53"/>
      <c r="HD43" s="63"/>
      <c r="HE43" s="63"/>
      <c r="HF43" s="62"/>
      <c r="HG43" s="62"/>
      <c r="HH43" s="62"/>
      <c r="HI43" s="61"/>
      <c r="HJ43" s="62" t="s">
        <v>1</v>
      </c>
      <c r="HK43" s="62">
        <v>35</v>
      </c>
      <c r="HL43" s="58">
        <v>4.3499999999999996</v>
      </c>
      <c r="HM43" s="53"/>
      <c r="HN43" s="53"/>
      <c r="HO43" s="53"/>
      <c r="HP43" s="53"/>
      <c r="HQ43" s="63"/>
      <c r="HR43" s="63"/>
      <c r="HS43" s="62"/>
      <c r="HT43" s="62"/>
      <c r="HU43" s="62"/>
      <c r="HV43" s="61"/>
      <c r="HX43" s="62"/>
      <c r="HY43" s="62"/>
      <c r="HZ43" s="58"/>
      <c r="IA43" s="53"/>
      <c r="IB43" s="53"/>
      <c r="IC43" s="53"/>
      <c r="ID43" s="53"/>
      <c r="IE43" s="63"/>
      <c r="IF43" s="63"/>
      <c r="IG43" s="62"/>
      <c r="IH43" s="62"/>
      <c r="II43" s="62"/>
      <c r="IJ43" s="61"/>
      <c r="IK43" s="62" t="s">
        <v>1</v>
      </c>
      <c r="IL43" s="62">
        <v>35</v>
      </c>
      <c r="IM43" s="58">
        <v>4.3499999999999996</v>
      </c>
      <c r="IN43" s="53"/>
      <c r="IO43" s="53"/>
      <c r="IP43" s="53"/>
      <c r="IQ43" s="53"/>
      <c r="IR43" s="63"/>
      <c r="IS43" s="63"/>
      <c r="IT43" s="62"/>
      <c r="IU43" s="62"/>
      <c r="IV43" s="62"/>
      <c r="IW43" s="61"/>
      <c r="IY43" s="62" t="s">
        <v>1</v>
      </c>
      <c r="IZ43" s="62">
        <v>35</v>
      </c>
      <c r="JA43" s="58">
        <v>4.3499999999999996</v>
      </c>
      <c r="JB43" s="53"/>
      <c r="JC43" s="53"/>
      <c r="JD43" s="53"/>
      <c r="JE43" s="53"/>
      <c r="JF43" s="63"/>
      <c r="JG43" s="63"/>
      <c r="JH43" s="62"/>
      <c r="JI43" s="62"/>
      <c r="JJ43" s="62"/>
      <c r="JK43" s="61"/>
      <c r="JL43" s="62" t="s">
        <v>1</v>
      </c>
      <c r="JM43" s="62">
        <v>35</v>
      </c>
      <c r="JN43" s="58">
        <v>4.3499999999999996</v>
      </c>
      <c r="JO43" s="53"/>
      <c r="JP43" s="53"/>
      <c r="JQ43" s="53"/>
      <c r="JR43" s="53"/>
      <c r="JS43" s="63"/>
      <c r="JT43" s="63"/>
      <c r="JU43" s="62"/>
      <c r="JV43" s="62"/>
      <c r="JW43" s="62"/>
      <c r="JX43" s="61"/>
      <c r="JZ43" s="62" t="s">
        <v>1</v>
      </c>
      <c r="KA43" s="62">
        <v>35</v>
      </c>
      <c r="KB43" s="58">
        <v>4.3499999999999996</v>
      </c>
      <c r="KC43" s="53"/>
      <c r="KD43" s="53"/>
      <c r="KE43" s="53"/>
      <c r="KF43" s="53"/>
      <c r="KG43" s="63"/>
      <c r="KH43" s="63"/>
      <c r="KI43" s="62"/>
      <c r="KJ43" s="62"/>
      <c r="KK43" s="62"/>
      <c r="KL43" s="61"/>
    </row>
    <row r="44" spans="1:298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C44" s="8"/>
      <c r="BD44" s="7"/>
      <c r="BE44" s="64"/>
      <c r="BF44" s="64"/>
      <c r="BG44" s="64"/>
      <c r="BH44" s="64"/>
      <c r="BI44" s="64"/>
      <c r="BJ44" s="65"/>
      <c r="BK44" s="65"/>
      <c r="BL44" s="8"/>
      <c r="BM44" s="8"/>
      <c r="BN44" s="8"/>
      <c r="BO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E44" s="8"/>
      <c r="CF44" s="7"/>
      <c r="CG44" s="64"/>
      <c r="CH44" s="64"/>
      <c r="CI44" s="64"/>
      <c r="CJ44" s="64"/>
      <c r="CK44" s="64"/>
      <c r="CL44" s="65"/>
      <c r="CM44" s="65"/>
      <c r="CN44" s="8"/>
      <c r="CO44" s="8"/>
      <c r="CP44" s="8"/>
      <c r="CQ44" s="66"/>
      <c r="CR44" s="8"/>
      <c r="CS44" s="7"/>
      <c r="CT44" s="64"/>
      <c r="CU44" s="64"/>
      <c r="CV44" s="64"/>
      <c r="CW44" s="64"/>
      <c r="CX44" s="64"/>
      <c r="CY44" s="65"/>
      <c r="CZ44" s="65"/>
      <c r="DA44" s="8"/>
      <c r="DB44" s="8"/>
      <c r="DC44" s="8"/>
      <c r="DD44" s="66"/>
      <c r="DF44" s="8"/>
      <c r="DG44" s="7"/>
      <c r="DH44" s="64"/>
      <c r="DI44" s="64"/>
      <c r="DJ44" s="64"/>
      <c r="DK44" s="64"/>
      <c r="DL44" s="64"/>
      <c r="DM44" s="65"/>
      <c r="DN44" s="65"/>
      <c r="DO44" s="8"/>
      <c r="DP44" s="8"/>
      <c r="DQ44" s="8"/>
      <c r="DR44" s="66"/>
      <c r="DT44" s="8"/>
      <c r="DU44" s="7"/>
      <c r="DV44" s="64"/>
      <c r="DW44" s="64"/>
      <c r="DX44" s="64"/>
      <c r="DY44" s="64"/>
      <c r="DZ44" s="64"/>
      <c r="EA44" s="65"/>
      <c r="EB44" s="65"/>
      <c r="EC44" s="8"/>
      <c r="ED44" s="8"/>
      <c r="EE44" s="8"/>
      <c r="EF44" s="66"/>
      <c r="EG44" s="8"/>
      <c r="EH44" s="7"/>
      <c r="EI44" s="64"/>
      <c r="EJ44" s="64"/>
      <c r="EK44" s="64"/>
      <c r="EL44" s="64"/>
      <c r="EM44" s="64"/>
      <c r="EN44" s="65"/>
      <c r="EO44" s="65"/>
      <c r="EP44" s="8"/>
      <c r="EQ44" s="8"/>
      <c r="ER44" s="8"/>
      <c r="ES44" s="66"/>
      <c r="EU44" s="8"/>
      <c r="EV44" s="7"/>
      <c r="EW44" s="64"/>
      <c r="EX44" s="64"/>
      <c r="EY44" s="64"/>
      <c r="EZ44" s="64"/>
      <c r="FA44" s="64"/>
      <c r="FB44" s="65"/>
      <c r="FC44" s="65"/>
      <c r="FD44" s="8"/>
      <c r="FE44" s="8"/>
      <c r="FF44" s="8"/>
      <c r="FG44" s="66"/>
      <c r="FH44" s="8"/>
      <c r="FI44" s="7"/>
      <c r="FJ44" s="64"/>
      <c r="FK44" s="64"/>
      <c r="FL44" s="64"/>
      <c r="FM44" s="64"/>
      <c r="FN44" s="64"/>
      <c r="FO44" s="65"/>
      <c r="FP44" s="65"/>
      <c r="FQ44" s="8"/>
      <c r="FR44" s="8"/>
      <c r="FS44" s="8"/>
      <c r="FT44" s="66"/>
      <c r="FV44" s="8"/>
      <c r="FW44" s="7"/>
      <c r="FX44" s="64"/>
      <c r="FY44" s="64"/>
      <c r="FZ44" s="64"/>
      <c r="GA44" s="64"/>
      <c r="GB44" s="64"/>
      <c r="GC44" s="65"/>
      <c r="GD44" s="65"/>
      <c r="GE44" s="8"/>
      <c r="GF44" s="8"/>
      <c r="GG44" s="8"/>
      <c r="GH44" s="66"/>
      <c r="GI44" s="8"/>
      <c r="GJ44" s="7"/>
      <c r="GK44" s="64"/>
      <c r="GL44" s="64"/>
      <c r="GM44" s="64"/>
      <c r="GN44" s="64"/>
      <c r="GO44" s="64"/>
      <c r="GP44" s="65"/>
      <c r="GQ44" s="65"/>
      <c r="GR44" s="8"/>
      <c r="GS44" s="8"/>
      <c r="GT44" s="8"/>
      <c r="GU44" s="66"/>
      <c r="GW44" s="8"/>
      <c r="GX44" s="7"/>
      <c r="GY44" s="64"/>
      <c r="GZ44" s="64"/>
      <c r="HA44" s="64"/>
      <c r="HB44" s="64"/>
      <c r="HC44" s="64"/>
      <c r="HD44" s="65"/>
      <c r="HE44" s="65"/>
      <c r="HF44" s="8"/>
      <c r="HG44" s="8"/>
      <c r="HH44" s="8"/>
      <c r="HI44" s="66"/>
      <c r="HJ44" s="8"/>
      <c r="HK44" s="7"/>
      <c r="HL44" s="64"/>
      <c r="HM44" s="64"/>
      <c r="HN44" s="64"/>
      <c r="HO44" s="64"/>
      <c r="HP44" s="64"/>
      <c r="HQ44" s="65"/>
      <c r="HR44" s="65"/>
      <c r="HS44" s="8"/>
      <c r="HT44" s="8"/>
      <c r="HU44" s="8"/>
      <c r="HV44" s="66"/>
      <c r="HX44" s="8"/>
      <c r="HY44" s="7"/>
      <c r="HZ44" s="64"/>
      <c r="IA44" s="64"/>
      <c r="IB44" s="64"/>
      <c r="IC44" s="64"/>
      <c r="ID44" s="64"/>
      <c r="IE44" s="65"/>
      <c r="IF44" s="65"/>
      <c r="IG44" s="8"/>
      <c r="IH44" s="8"/>
      <c r="II44" s="8"/>
      <c r="IJ44" s="66"/>
      <c r="IK44" s="8"/>
      <c r="IL44" s="7"/>
      <c r="IM44" s="64"/>
      <c r="IN44" s="64"/>
      <c r="IO44" s="64"/>
      <c r="IP44" s="64"/>
      <c r="IQ44" s="64"/>
      <c r="IR44" s="65"/>
      <c r="IS44" s="65"/>
      <c r="IT44" s="8"/>
      <c r="IU44" s="8"/>
      <c r="IV44" s="8"/>
      <c r="IW44" s="66"/>
      <c r="IY44" s="8"/>
      <c r="IZ44" s="7"/>
      <c r="JA44" s="64"/>
      <c r="JB44" s="64"/>
      <c r="JC44" s="64"/>
      <c r="JD44" s="64"/>
      <c r="JE44" s="64"/>
      <c r="JF44" s="65"/>
      <c r="JG44" s="65"/>
      <c r="JH44" s="8"/>
      <c r="JI44" s="8"/>
      <c r="JJ44" s="8"/>
      <c r="JK44" s="66"/>
      <c r="JL44" s="8"/>
      <c r="JM44" s="7"/>
      <c r="JN44" s="64"/>
      <c r="JO44" s="64"/>
      <c r="JP44" s="64"/>
      <c r="JQ44" s="64"/>
      <c r="JR44" s="64"/>
      <c r="JS44" s="65"/>
      <c r="JT44" s="65"/>
      <c r="JU44" s="8"/>
      <c r="JV44" s="8"/>
      <c r="JW44" s="8"/>
      <c r="JX44" s="66"/>
      <c r="JZ44" s="8"/>
      <c r="KA44" s="7"/>
      <c r="KB44" s="64"/>
      <c r="KC44" s="64"/>
      <c r="KD44" s="64"/>
      <c r="KE44" s="64"/>
      <c r="KF44" s="64"/>
      <c r="KG44" s="65"/>
      <c r="KH44" s="65"/>
      <c r="KI44" s="8"/>
      <c r="KJ44" s="8"/>
      <c r="KK44" s="8"/>
      <c r="KL44" s="66"/>
    </row>
    <row r="45" spans="1:298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C45" s="38"/>
      <c r="BD45" s="38"/>
      <c r="BE45" s="24"/>
      <c r="BF45" s="24"/>
      <c r="BH45" s="24"/>
      <c r="BI45" s="24"/>
      <c r="BJ45" s="22"/>
      <c r="BK45" s="22"/>
      <c r="BL45" s="38"/>
      <c r="BM45" s="24"/>
      <c r="BN45" s="24"/>
      <c r="BO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E45" s="38"/>
      <c r="CF45" s="38"/>
      <c r="CG45" s="24"/>
      <c r="CH45" s="24"/>
      <c r="CI45" s="135"/>
      <c r="CJ45" s="24"/>
      <c r="CK45" s="24"/>
      <c r="CL45" s="22"/>
      <c r="CM45" s="22"/>
      <c r="CN45" s="38"/>
      <c r="CO45" s="24"/>
      <c r="CP45" s="24"/>
      <c r="CQ45" s="25"/>
      <c r="CR45" s="38"/>
      <c r="CS45" s="38"/>
      <c r="CT45" s="24"/>
      <c r="CU45" s="24"/>
      <c r="CV45" s="135"/>
      <c r="CW45" s="24"/>
      <c r="CX45" s="24"/>
      <c r="CY45" s="22"/>
      <c r="CZ45" s="22"/>
      <c r="DA45" s="38"/>
      <c r="DB45" s="24"/>
      <c r="DC45" s="24"/>
      <c r="DD45" s="25"/>
      <c r="DF45" s="38"/>
      <c r="DG45" s="38"/>
      <c r="DH45" s="24"/>
      <c r="DI45" s="24"/>
      <c r="DJ45" s="135"/>
      <c r="DK45" s="24"/>
      <c r="DL45" s="24"/>
      <c r="DM45" s="22"/>
      <c r="DN45" s="22"/>
      <c r="DO45" s="38"/>
      <c r="DP45" s="24"/>
      <c r="DQ45" s="24"/>
      <c r="DR45" s="25"/>
      <c r="DT45" s="38"/>
      <c r="DU45" s="38"/>
      <c r="DV45" s="24"/>
      <c r="DW45" s="24"/>
      <c r="DX45" s="135"/>
      <c r="DY45" s="24"/>
      <c r="DZ45" s="24"/>
      <c r="EA45" s="22"/>
      <c r="EB45" s="22"/>
      <c r="EC45" s="38"/>
      <c r="ED45" s="24"/>
      <c r="EE45" s="24"/>
      <c r="EF45" s="25"/>
      <c r="EG45" s="38"/>
      <c r="EH45" s="38"/>
      <c r="EI45" s="24"/>
      <c r="EJ45" s="24"/>
      <c r="EK45" s="135"/>
      <c r="EL45" s="24"/>
      <c r="EM45" s="24"/>
      <c r="EN45" s="22"/>
      <c r="EO45" s="22"/>
      <c r="EP45" s="38"/>
      <c r="EQ45" s="24"/>
      <c r="ER45" s="24"/>
      <c r="ES45" s="25"/>
      <c r="EU45" s="38"/>
      <c r="EV45" s="38"/>
      <c r="EW45" s="24"/>
      <c r="EX45" s="24"/>
      <c r="EY45" s="135"/>
      <c r="EZ45" s="24"/>
      <c r="FA45" s="24"/>
      <c r="FB45" s="22"/>
      <c r="FC45" s="22"/>
      <c r="FD45" s="38"/>
      <c r="FE45" s="24"/>
      <c r="FF45" s="24"/>
      <c r="FG45" s="25"/>
      <c r="FH45" s="38"/>
      <c r="FI45" s="38"/>
      <c r="FJ45" s="24"/>
      <c r="FK45" s="24"/>
      <c r="FL45" s="135"/>
      <c r="FM45" s="24"/>
      <c r="FN45" s="24"/>
      <c r="FO45" s="22"/>
      <c r="FP45" s="22"/>
      <c r="FQ45" s="38"/>
      <c r="FR45" s="24"/>
      <c r="FS45" s="24"/>
      <c r="FT45" s="25"/>
      <c r="FV45" s="38"/>
      <c r="FW45" s="38"/>
      <c r="FX45" s="24"/>
      <c r="FY45" s="24"/>
      <c r="FZ45" s="135"/>
      <c r="GA45" s="24"/>
      <c r="GB45" s="24"/>
      <c r="GC45" s="22"/>
      <c r="GD45" s="22"/>
      <c r="GE45" s="38"/>
      <c r="GF45" s="24"/>
      <c r="GG45" s="24"/>
      <c r="GH45" s="25"/>
      <c r="GI45" s="38"/>
      <c r="GJ45" s="38"/>
      <c r="GK45" s="24"/>
      <c r="GL45" s="24"/>
      <c r="GM45" s="135"/>
      <c r="GN45" s="24"/>
      <c r="GO45" s="24"/>
      <c r="GP45" s="22"/>
      <c r="GQ45" s="22"/>
      <c r="GR45" s="38"/>
      <c r="GS45" s="24"/>
      <c r="GT45" s="24"/>
      <c r="GU45" s="25"/>
      <c r="GW45" s="38"/>
      <c r="GX45" s="38"/>
      <c r="GY45" s="24"/>
      <c r="GZ45" s="24"/>
      <c r="HA45" s="135"/>
      <c r="HB45" s="24"/>
      <c r="HC45" s="24"/>
      <c r="HD45" s="22"/>
      <c r="HE45" s="22"/>
      <c r="HF45" s="38"/>
      <c r="HG45" s="24"/>
      <c r="HH45" s="24"/>
      <c r="HI45" s="25"/>
      <c r="HJ45" s="38"/>
      <c r="HK45" s="38"/>
      <c r="HL45" s="24"/>
      <c r="HM45" s="24"/>
      <c r="HN45" s="135"/>
      <c r="HO45" s="24"/>
      <c r="HP45" s="24"/>
      <c r="HQ45" s="22"/>
      <c r="HR45" s="22"/>
      <c r="HS45" s="38"/>
      <c r="HT45" s="24"/>
      <c r="HU45" s="24"/>
      <c r="HV45" s="25"/>
      <c r="HX45" s="38"/>
      <c r="HY45" s="38"/>
      <c r="HZ45" s="24"/>
      <c r="IA45" s="24"/>
      <c r="IC45" s="24"/>
      <c r="ID45" s="24"/>
      <c r="IE45" s="22"/>
      <c r="IF45" s="22"/>
      <c r="IG45" s="38"/>
      <c r="IH45" s="24"/>
      <c r="II45" s="24"/>
      <c r="IJ45" s="25"/>
      <c r="IK45" s="38"/>
      <c r="IL45" s="38"/>
      <c r="IM45" s="24"/>
      <c r="IN45" s="24"/>
      <c r="IO45" s="135"/>
      <c r="IP45" s="24"/>
      <c r="IQ45" s="24"/>
      <c r="IR45" s="22"/>
      <c r="IS45" s="22"/>
      <c r="IT45" s="38"/>
      <c r="IU45" s="24"/>
      <c r="IV45" s="24"/>
      <c r="IW45" s="25"/>
      <c r="IY45" s="38"/>
      <c r="IZ45" s="38"/>
      <c r="JA45" s="24"/>
      <c r="JB45" s="24"/>
      <c r="JC45" s="135"/>
      <c r="JD45" s="24"/>
      <c r="JE45" s="24"/>
      <c r="JF45" s="22"/>
      <c r="JG45" s="22"/>
      <c r="JH45" s="38"/>
      <c r="JI45" s="24"/>
      <c r="JJ45" s="24"/>
      <c r="JK45" s="25"/>
      <c r="JL45" s="38"/>
      <c r="JM45" s="38"/>
      <c r="JN45" s="24"/>
      <c r="JO45" s="24"/>
      <c r="JP45" s="135"/>
      <c r="JQ45" s="24"/>
      <c r="JR45" s="24"/>
      <c r="JS45" s="22"/>
      <c r="JT45" s="22"/>
      <c r="JU45" s="38"/>
      <c r="JV45" s="24"/>
      <c r="JW45" s="24"/>
      <c r="JX45" s="25"/>
      <c r="JZ45" s="38"/>
      <c r="KA45" s="38"/>
      <c r="KB45" s="24"/>
      <c r="KC45" s="24"/>
      <c r="KD45" s="135"/>
      <c r="KE45" s="24"/>
      <c r="KF45" s="24"/>
      <c r="KG45" s="22"/>
      <c r="KH45" s="22"/>
      <c r="KI45" s="38"/>
      <c r="KJ45" s="24"/>
      <c r="KK45" s="24"/>
      <c r="KL45" s="25"/>
    </row>
    <row r="46" spans="1:298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C46" s="160" t="s">
        <v>58</v>
      </c>
      <c r="BD46" s="161"/>
      <c r="BE46" s="148" t="s">
        <v>10</v>
      </c>
      <c r="BF46" s="149"/>
      <c r="BG46" s="148" t="s">
        <v>11</v>
      </c>
      <c r="BH46" s="149"/>
      <c r="BI46" s="146" t="s">
        <v>6</v>
      </c>
      <c r="BJ46" s="147"/>
      <c r="BK46" s="84"/>
      <c r="BL46" s="158" t="s">
        <v>16</v>
      </c>
      <c r="BM46" s="159"/>
      <c r="BN46" s="158" t="s">
        <v>17</v>
      </c>
      <c r="BO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E46" s="160" t="s">
        <v>58</v>
      </c>
      <c r="CF46" s="161"/>
      <c r="CG46" s="148" t="s">
        <v>10</v>
      </c>
      <c r="CH46" s="149"/>
      <c r="CI46" s="148" t="s">
        <v>11</v>
      </c>
      <c r="CJ46" s="149"/>
      <c r="CK46" s="146" t="s">
        <v>6</v>
      </c>
      <c r="CL46" s="147"/>
      <c r="CM46" s="84"/>
      <c r="CN46" s="158" t="s">
        <v>16</v>
      </c>
      <c r="CO46" s="159"/>
      <c r="CP46" s="158" t="s">
        <v>17</v>
      </c>
      <c r="CQ46" s="159"/>
      <c r="CR46" s="160" t="s">
        <v>58</v>
      </c>
      <c r="CS46" s="161"/>
      <c r="CT46" s="148" t="s">
        <v>10</v>
      </c>
      <c r="CU46" s="149"/>
      <c r="CV46" s="148" t="s">
        <v>11</v>
      </c>
      <c r="CW46" s="149"/>
      <c r="CX46" s="146" t="s">
        <v>6</v>
      </c>
      <c r="CY46" s="147"/>
      <c r="CZ46" s="84"/>
      <c r="DA46" s="158" t="s">
        <v>16</v>
      </c>
      <c r="DB46" s="159"/>
      <c r="DC46" s="158" t="s">
        <v>17</v>
      </c>
      <c r="DD46" s="159"/>
      <c r="DF46" s="160" t="s">
        <v>58</v>
      </c>
      <c r="DG46" s="161"/>
      <c r="DH46" s="148" t="s">
        <v>10</v>
      </c>
      <c r="DI46" s="149"/>
      <c r="DJ46" s="148" t="s">
        <v>11</v>
      </c>
      <c r="DK46" s="149"/>
      <c r="DL46" s="146" t="s">
        <v>6</v>
      </c>
      <c r="DM46" s="147"/>
      <c r="DN46" s="84"/>
      <c r="DO46" s="158" t="s">
        <v>16</v>
      </c>
      <c r="DP46" s="159"/>
      <c r="DQ46" s="158" t="s">
        <v>17</v>
      </c>
      <c r="DR46" s="159"/>
      <c r="DT46" s="160" t="s">
        <v>58</v>
      </c>
      <c r="DU46" s="161"/>
      <c r="DV46" s="148" t="s">
        <v>10</v>
      </c>
      <c r="DW46" s="149"/>
      <c r="DX46" s="148" t="s">
        <v>11</v>
      </c>
      <c r="DY46" s="149"/>
      <c r="DZ46" s="146" t="s">
        <v>6</v>
      </c>
      <c r="EA46" s="147"/>
      <c r="EB46" s="84"/>
      <c r="EC46" s="158" t="s">
        <v>16</v>
      </c>
      <c r="ED46" s="159"/>
      <c r="EE46" s="158" t="s">
        <v>17</v>
      </c>
      <c r="EF46" s="159"/>
      <c r="EG46" s="160" t="s">
        <v>58</v>
      </c>
      <c r="EH46" s="161"/>
      <c r="EI46" s="148" t="s">
        <v>10</v>
      </c>
      <c r="EJ46" s="149"/>
      <c r="EK46" s="148" t="s">
        <v>11</v>
      </c>
      <c r="EL46" s="149"/>
      <c r="EM46" s="146" t="s">
        <v>6</v>
      </c>
      <c r="EN46" s="147"/>
      <c r="EO46" s="84"/>
      <c r="EP46" s="158" t="s">
        <v>16</v>
      </c>
      <c r="EQ46" s="159"/>
      <c r="ER46" s="158" t="s">
        <v>17</v>
      </c>
      <c r="ES46" s="159"/>
      <c r="EU46" s="160" t="s">
        <v>58</v>
      </c>
      <c r="EV46" s="161"/>
      <c r="EW46" s="148" t="s">
        <v>10</v>
      </c>
      <c r="EX46" s="149"/>
      <c r="EY46" s="148" t="s">
        <v>11</v>
      </c>
      <c r="EZ46" s="149"/>
      <c r="FA46" s="146" t="s">
        <v>6</v>
      </c>
      <c r="FB46" s="147"/>
      <c r="FC46" s="84"/>
      <c r="FD46" s="158" t="s">
        <v>16</v>
      </c>
      <c r="FE46" s="159"/>
      <c r="FF46" s="158" t="s">
        <v>17</v>
      </c>
      <c r="FG46" s="159"/>
      <c r="FH46" s="160" t="s">
        <v>58</v>
      </c>
      <c r="FI46" s="161"/>
      <c r="FJ46" s="148" t="s">
        <v>10</v>
      </c>
      <c r="FK46" s="149"/>
      <c r="FL46" s="148" t="s">
        <v>11</v>
      </c>
      <c r="FM46" s="149"/>
      <c r="FN46" s="146" t="s">
        <v>6</v>
      </c>
      <c r="FO46" s="147"/>
      <c r="FP46" s="84"/>
      <c r="FQ46" s="158" t="s">
        <v>16</v>
      </c>
      <c r="FR46" s="159"/>
      <c r="FS46" s="158" t="s">
        <v>17</v>
      </c>
      <c r="FT46" s="159"/>
      <c r="FV46" s="160" t="s">
        <v>58</v>
      </c>
      <c r="FW46" s="161"/>
      <c r="FX46" s="148" t="s">
        <v>10</v>
      </c>
      <c r="FY46" s="149"/>
      <c r="FZ46" s="148" t="s">
        <v>11</v>
      </c>
      <c r="GA46" s="149"/>
      <c r="GB46" s="146" t="s">
        <v>6</v>
      </c>
      <c r="GC46" s="147"/>
      <c r="GD46" s="84"/>
      <c r="GE46" s="158" t="s">
        <v>16</v>
      </c>
      <c r="GF46" s="159"/>
      <c r="GG46" s="158" t="s">
        <v>17</v>
      </c>
      <c r="GH46" s="159"/>
      <c r="GI46" s="160" t="s">
        <v>58</v>
      </c>
      <c r="GJ46" s="161"/>
      <c r="GK46" s="148" t="s">
        <v>10</v>
      </c>
      <c r="GL46" s="149"/>
      <c r="GM46" s="148" t="s">
        <v>11</v>
      </c>
      <c r="GN46" s="149"/>
      <c r="GO46" s="146" t="s">
        <v>6</v>
      </c>
      <c r="GP46" s="147"/>
      <c r="GQ46" s="84"/>
      <c r="GR46" s="158" t="s">
        <v>16</v>
      </c>
      <c r="GS46" s="159"/>
      <c r="GT46" s="158" t="s">
        <v>17</v>
      </c>
      <c r="GU46" s="159"/>
      <c r="GW46" s="160" t="s">
        <v>58</v>
      </c>
      <c r="GX46" s="161"/>
      <c r="GY46" s="148" t="s">
        <v>10</v>
      </c>
      <c r="GZ46" s="149"/>
      <c r="HA46" s="148" t="s">
        <v>11</v>
      </c>
      <c r="HB46" s="149"/>
      <c r="HC46" s="146" t="s">
        <v>6</v>
      </c>
      <c r="HD46" s="147"/>
      <c r="HE46" s="84"/>
      <c r="HF46" s="158" t="s">
        <v>16</v>
      </c>
      <c r="HG46" s="159"/>
      <c r="HH46" s="158" t="s">
        <v>17</v>
      </c>
      <c r="HI46" s="159"/>
      <c r="HJ46" s="160" t="s">
        <v>58</v>
      </c>
      <c r="HK46" s="161"/>
      <c r="HL46" s="148" t="s">
        <v>10</v>
      </c>
      <c r="HM46" s="149"/>
      <c r="HN46" s="148" t="s">
        <v>11</v>
      </c>
      <c r="HO46" s="149"/>
      <c r="HP46" s="146" t="s">
        <v>6</v>
      </c>
      <c r="HQ46" s="147"/>
      <c r="HR46" s="84"/>
      <c r="HS46" s="158" t="s">
        <v>16</v>
      </c>
      <c r="HT46" s="159"/>
      <c r="HU46" s="158" t="s">
        <v>17</v>
      </c>
      <c r="HV46" s="159"/>
      <c r="HX46" s="160" t="s">
        <v>58</v>
      </c>
      <c r="HY46" s="161"/>
      <c r="HZ46" s="148" t="s">
        <v>10</v>
      </c>
      <c r="IA46" s="149"/>
      <c r="IB46" s="148" t="s">
        <v>11</v>
      </c>
      <c r="IC46" s="149"/>
      <c r="ID46" s="146" t="s">
        <v>6</v>
      </c>
      <c r="IE46" s="147"/>
      <c r="IF46" s="84"/>
      <c r="IG46" s="158" t="s">
        <v>16</v>
      </c>
      <c r="IH46" s="159"/>
      <c r="II46" s="158" t="s">
        <v>17</v>
      </c>
      <c r="IJ46" s="159"/>
      <c r="IK46" s="160" t="s">
        <v>58</v>
      </c>
      <c r="IL46" s="161"/>
      <c r="IM46" s="148" t="s">
        <v>10</v>
      </c>
      <c r="IN46" s="149"/>
      <c r="IO46" s="148" t="s">
        <v>11</v>
      </c>
      <c r="IP46" s="149"/>
      <c r="IQ46" s="146" t="s">
        <v>6</v>
      </c>
      <c r="IR46" s="147"/>
      <c r="IS46" s="84"/>
      <c r="IT46" s="158" t="s">
        <v>16</v>
      </c>
      <c r="IU46" s="159"/>
      <c r="IV46" s="158" t="s">
        <v>17</v>
      </c>
      <c r="IW46" s="159"/>
      <c r="IY46" s="160" t="s">
        <v>58</v>
      </c>
      <c r="IZ46" s="161"/>
      <c r="JA46" s="148" t="s">
        <v>10</v>
      </c>
      <c r="JB46" s="149"/>
      <c r="JC46" s="148" t="s">
        <v>11</v>
      </c>
      <c r="JD46" s="149"/>
      <c r="JE46" s="146" t="s">
        <v>6</v>
      </c>
      <c r="JF46" s="147"/>
      <c r="JG46" s="84"/>
      <c r="JH46" s="158" t="s">
        <v>16</v>
      </c>
      <c r="JI46" s="159"/>
      <c r="JJ46" s="158" t="s">
        <v>17</v>
      </c>
      <c r="JK46" s="159"/>
      <c r="JL46" s="160" t="s">
        <v>58</v>
      </c>
      <c r="JM46" s="161"/>
      <c r="JN46" s="148" t="s">
        <v>10</v>
      </c>
      <c r="JO46" s="149"/>
      <c r="JP46" s="148" t="s">
        <v>11</v>
      </c>
      <c r="JQ46" s="149"/>
      <c r="JR46" s="146" t="s">
        <v>6</v>
      </c>
      <c r="JS46" s="147"/>
      <c r="JT46" s="84"/>
      <c r="JU46" s="158" t="s">
        <v>16</v>
      </c>
      <c r="JV46" s="159"/>
      <c r="JW46" s="158" t="s">
        <v>17</v>
      </c>
      <c r="JX46" s="159"/>
      <c r="JZ46" s="160" t="s">
        <v>58</v>
      </c>
      <c r="KA46" s="161"/>
      <c r="KB46" s="148" t="s">
        <v>10</v>
      </c>
      <c r="KC46" s="149"/>
      <c r="KD46" s="148" t="s">
        <v>11</v>
      </c>
      <c r="KE46" s="149"/>
      <c r="KF46" s="146" t="s">
        <v>6</v>
      </c>
      <c r="KG46" s="147"/>
      <c r="KH46" s="84"/>
      <c r="KI46" s="158" t="s">
        <v>16</v>
      </c>
      <c r="KJ46" s="159"/>
      <c r="KK46" s="158" t="s">
        <v>17</v>
      </c>
      <c r="KL46" s="159"/>
    </row>
    <row r="47" spans="1:298" s="4" customFormat="1" ht="18.5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117</v>
      </c>
      <c r="F47" s="157"/>
      <c r="G47" s="150">
        <f>SUM(F51)</f>
        <v>0</v>
      </c>
      <c r="H47" s="151"/>
      <c r="I47" s="85"/>
      <c r="J47" s="152">
        <f>COUNT(E9)</f>
        <v>1</v>
      </c>
      <c r="K47" s="153"/>
      <c r="L47" s="152">
        <f>J51</f>
        <v>0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124.69999999999999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0</v>
      </c>
      <c r="AA47" s="153"/>
      <c r="AB47" s="162"/>
      <c r="AC47" s="163"/>
      <c r="AD47" s="154">
        <f>COUNT(AI10:AI13,AI15:AI20,AI22:AI27,AI29:AI34,AI36:AI38)</f>
        <v>25</v>
      </c>
      <c r="AE47" s="155"/>
      <c r="AF47" s="156">
        <f>SUM(AB51-AF51)</f>
        <v>85.016666666666694</v>
      </c>
      <c r="AG47" s="157"/>
      <c r="AH47" s="150">
        <f>SUM(AG51)</f>
        <v>0</v>
      </c>
      <c r="AI47" s="151"/>
      <c r="AJ47" s="85"/>
      <c r="AK47" s="152">
        <f>COUNT(AF9)</f>
        <v>1</v>
      </c>
      <c r="AL47" s="153"/>
      <c r="AM47" s="152">
        <f>AK51</f>
        <v>4.633333333333332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121.01666666666669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0</v>
      </c>
      <c r="BB47" s="153"/>
      <c r="BC47" s="162"/>
      <c r="BD47" s="163"/>
      <c r="BE47" s="154">
        <f>COUNT(BJ11:BJ16,BJ18:BJ23,BJ25:BJ30,BJ32:BJ37,BJ39)</f>
        <v>0</v>
      </c>
      <c r="BF47" s="155"/>
      <c r="BG47" s="156">
        <f>SUM(BC51-BG51)</f>
        <v>0</v>
      </c>
      <c r="BH47" s="157"/>
      <c r="BI47" s="150">
        <f>SUM(BH51)</f>
        <v>0</v>
      </c>
      <c r="BJ47" s="151"/>
      <c r="BK47" s="85"/>
      <c r="BL47" s="152">
        <f>COUNT(BG9)</f>
        <v>0</v>
      </c>
      <c r="BM47" s="153"/>
      <c r="BN47" s="152">
        <f>BL51</f>
        <v>0</v>
      </c>
      <c r="BO47" s="153"/>
      <c r="BQ47" s="162"/>
      <c r="BR47" s="163"/>
      <c r="BS47" s="154">
        <f>COUNT(BX10:BX13,BX15:BX20,BX22:BX27,BX29:BX34,BX36:BX38)</f>
        <v>25</v>
      </c>
      <c r="BT47" s="155"/>
      <c r="BU47" s="156">
        <f>SUM(BQ51-BU51)</f>
        <v>126.70000000000002</v>
      </c>
      <c r="BV47" s="157"/>
      <c r="BW47" s="150">
        <f>SUM(BV51)</f>
        <v>0</v>
      </c>
      <c r="BX47" s="151"/>
      <c r="BY47" s="85"/>
      <c r="BZ47" s="152">
        <f>COUNT(BU9)</f>
        <v>1</v>
      </c>
      <c r="CA47" s="153"/>
      <c r="CB47" s="152">
        <f>BZ51</f>
        <v>0</v>
      </c>
      <c r="CC47" s="153"/>
      <c r="CE47" s="162"/>
      <c r="CF47" s="163"/>
      <c r="CG47" s="154">
        <f>COUNT(CL10:CL13,CL15:CL20,CL22:CL27,CL29:CL34,CL36:CL38)</f>
        <v>24</v>
      </c>
      <c r="CH47" s="155"/>
      <c r="CI47" s="156">
        <f>SUM(CE51-CI51)</f>
        <v>105.46666666666667</v>
      </c>
      <c r="CJ47" s="157"/>
      <c r="CK47" s="150">
        <f>SUM(CJ51)</f>
        <v>0</v>
      </c>
      <c r="CL47" s="151"/>
      <c r="CM47" s="85"/>
      <c r="CN47" s="152">
        <f>COUNT(CI9)</f>
        <v>1</v>
      </c>
      <c r="CO47" s="153"/>
      <c r="CP47" s="152">
        <f>CN51</f>
        <v>0</v>
      </c>
      <c r="CQ47" s="153"/>
      <c r="CR47" s="162"/>
      <c r="CS47" s="163"/>
      <c r="CT47" s="154">
        <f>COUNT(CY10:CY13,CY15:CY20,CY22:CY27,CY29:CY34,CY36:CY38)</f>
        <v>25</v>
      </c>
      <c r="CU47" s="155"/>
      <c r="CV47" s="156">
        <f>SUM(CR51-CV51)</f>
        <v>123.45</v>
      </c>
      <c r="CW47" s="157"/>
      <c r="CX47" s="150">
        <f>SUM(CW51)</f>
        <v>0</v>
      </c>
      <c r="CY47" s="151"/>
      <c r="CZ47" s="85"/>
      <c r="DA47" s="152">
        <f>COUNT(CV9)</f>
        <v>1</v>
      </c>
      <c r="DB47" s="153"/>
      <c r="DC47" s="152">
        <f>DA51</f>
        <v>0</v>
      </c>
      <c r="DD47" s="153"/>
      <c r="DF47" s="162"/>
      <c r="DG47" s="163"/>
      <c r="DH47" s="154">
        <f>COUNT(DM10:DM13,DM15:DM20,DM22:DM27,DM29:DM34,DM36:DM38)</f>
        <v>24</v>
      </c>
      <c r="DI47" s="155"/>
      <c r="DJ47" s="156">
        <f>SUM(DF51-DJ51)</f>
        <v>91.350000000000023</v>
      </c>
      <c r="DK47" s="157"/>
      <c r="DL47" s="150">
        <f>SUM(DK51)</f>
        <v>0</v>
      </c>
      <c r="DM47" s="151"/>
      <c r="DN47" s="85"/>
      <c r="DO47" s="152">
        <f>COUNT(DJ9)</f>
        <v>1</v>
      </c>
      <c r="DP47" s="153"/>
      <c r="DQ47" s="152">
        <f>DO51</f>
        <v>0</v>
      </c>
      <c r="DR47" s="153"/>
      <c r="DT47" s="162"/>
      <c r="DU47" s="163"/>
      <c r="DV47" s="154">
        <f>COUNT(EA10:EA13,EA15:EA20,EA22:EA27,EA29:EA34,EA36:EA38)</f>
        <v>23</v>
      </c>
      <c r="DW47" s="155"/>
      <c r="DX47" s="156">
        <f>SUM(DT51-DX51)</f>
        <v>94.166666666666671</v>
      </c>
      <c r="DY47" s="157"/>
      <c r="DZ47" s="150">
        <f>SUM(DY51)</f>
        <v>0</v>
      </c>
      <c r="EA47" s="151"/>
      <c r="EB47" s="85"/>
      <c r="EC47" s="152">
        <f>COUNT(DX9)</f>
        <v>1</v>
      </c>
      <c r="ED47" s="153"/>
      <c r="EE47" s="152">
        <f>EC51</f>
        <v>0</v>
      </c>
      <c r="EF47" s="153"/>
      <c r="EG47" s="162"/>
      <c r="EH47" s="163"/>
      <c r="EI47" s="154">
        <f>COUNT(EN10:EN13,EN15:EN20,EN22:EN27,EN29:EN34,EN36:EN38)</f>
        <v>25</v>
      </c>
      <c r="EJ47" s="155"/>
      <c r="EK47" s="156">
        <f>SUM(EG51-EK51)</f>
        <v>115.88333333333338</v>
      </c>
      <c r="EL47" s="157"/>
      <c r="EM47" s="150">
        <f>SUM(EL51)</f>
        <v>0</v>
      </c>
      <c r="EN47" s="151"/>
      <c r="EO47" s="85"/>
      <c r="EP47" s="152">
        <f>COUNT(EK9)</f>
        <v>1</v>
      </c>
      <c r="EQ47" s="153"/>
      <c r="ER47" s="152">
        <f>EP51</f>
        <v>0</v>
      </c>
      <c r="ES47" s="153"/>
      <c r="EU47" s="162"/>
      <c r="EV47" s="163"/>
      <c r="EW47" s="154">
        <f>COUNT(FB10:FB13,FB15:FB20,FB22:FB27,FB29:FB34,FB36:FB38)</f>
        <v>25</v>
      </c>
      <c r="EX47" s="155"/>
      <c r="EY47" s="156">
        <f>SUM(EU51-EY51)</f>
        <v>124.38333333333335</v>
      </c>
      <c r="EZ47" s="157"/>
      <c r="FA47" s="150">
        <f>SUM(EZ51)</f>
        <v>0</v>
      </c>
      <c r="FB47" s="151"/>
      <c r="FC47" s="85"/>
      <c r="FD47" s="152">
        <f>COUNT(EY9)</f>
        <v>1</v>
      </c>
      <c r="FE47" s="153"/>
      <c r="FF47" s="152">
        <f>FD51</f>
        <v>0</v>
      </c>
      <c r="FG47" s="153"/>
      <c r="FH47" s="162"/>
      <c r="FI47" s="163"/>
      <c r="FJ47" s="154">
        <f>COUNT(FO10:FO13,FO15:FO20,FO22:FO27,FO29:FO34,FO36:FO38)</f>
        <v>24</v>
      </c>
      <c r="FK47" s="155"/>
      <c r="FL47" s="156">
        <f>SUM(FH51-FL51)</f>
        <v>108.38333333333335</v>
      </c>
      <c r="FM47" s="157"/>
      <c r="FN47" s="150">
        <f>SUM(FM51)</f>
        <v>6.9000000000000012</v>
      </c>
      <c r="FO47" s="151"/>
      <c r="FP47" s="85"/>
      <c r="FQ47" s="152">
        <f>COUNT(FL9)</f>
        <v>1</v>
      </c>
      <c r="FR47" s="153"/>
      <c r="FS47" s="152">
        <f>FQ51</f>
        <v>0</v>
      </c>
      <c r="FT47" s="153"/>
      <c r="FV47" s="162"/>
      <c r="FW47" s="163"/>
      <c r="FX47" s="154">
        <f>COUNT(GC10:GC13,GC15:GC20,GC22:GC27,GC29:GC34,GC36:GC38)</f>
        <v>24</v>
      </c>
      <c r="FY47" s="155"/>
      <c r="FZ47" s="156">
        <f>SUM(FV51-FZ51)</f>
        <v>90.066666666666691</v>
      </c>
      <c r="GA47" s="157"/>
      <c r="GB47" s="150">
        <f>SUM(GA51)</f>
        <v>0</v>
      </c>
      <c r="GC47" s="151"/>
      <c r="GD47" s="85"/>
      <c r="GE47" s="152">
        <f>COUNT(FZ9)</f>
        <v>1</v>
      </c>
      <c r="GF47" s="153"/>
      <c r="GG47" s="152">
        <f>GE51</f>
        <v>0</v>
      </c>
      <c r="GH47" s="153"/>
      <c r="GI47" s="162"/>
      <c r="GJ47" s="163"/>
      <c r="GK47" s="154">
        <f>COUNT(GP10:GP13,GP15:GP20,GP22:GP27,GP29:GP34,GP36:GP38)</f>
        <v>24</v>
      </c>
      <c r="GL47" s="155"/>
      <c r="GM47" s="156">
        <f>SUM(GI51-GM51)</f>
        <v>109.51666666666671</v>
      </c>
      <c r="GN47" s="157"/>
      <c r="GO47" s="150">
        <f>SUM(GN51)</f>
        <v>3.3833333333333342</v>
      </c>
      <c r="GP47" s="151"/>
      <c r="GQ47" s="85"/>
      <c r="GR47" s="152">
        <f>COUNT(GM9)</f>
        <v>1</v>
      </c>
      <c r="GS47" s="153"/>
      <c r="GT47" s="152">
        <f>GR51</f>
        <v>0</v>
      </c>
      <c r="GU47" s="153"/>
      <c r="GW47" s="162"/>
      <c r="GX47" s="163"/>
      <c r="GY47" s="154">
        <f>COUNT(HD10:HD13,HD15:HD20,HD22:HD27,HD29:HD34,HD36:HD38)</f>
        <v>25</v>
      </c>
      <c r="GZ47" s="155"/>
      <c r="HA47" s="156">
        <f>SUM(GW51-HA51)</f>
        <v>102.8333333333334</v>
      </c>
      <c r="HB47" s="157"/>
      <c r="HC47" s="150">
        <f>SUM(HB51)</f>
        <v>4.5666666666666664</v>
      </c>
      <c r="HD47" s="151"/>
      <c r="HE47" s="85"/>
      <c r="HF47" s="152">
        <f>COUNT(HA9)</f>
        <v>1</v>
      </c>
      <c r="HG47" s="153"/>
      <c r="HH47" s="152">
        <f>HF51</f>
        <v>2.6666666666666643</v>
      </c>
      <c r="HI47" s="153"/>
      <c r="HJ47" s="162"/>
      <c r="HK47" s="163"/>
      <c r="HL47" s="154">
        <f>COUNT(HQ10:HQ13,HQ15:HQ20,HQ22:HQ27,HQ29:HQ34,HQ36:HQ38)</f>
        <v>25</v>
      </c>
      <c r="HM47" s="155"/>
      <c r="HN47" s="156">
        <f>SUM(HJ51-HN51)</f>
        <v>123.6166666666667</v>
      </c>
      <c r="HO47" s="157"/>
      <c r="HP47" s="150">
        <f>SUM(HO51)</f>
        <v>0</v>
      </c>
      <c r="HQ47" s="151"/>
      <c r="HR47" s="85"/>
      <c r="HS47" s="152">
        <f>COUNT(HN9)</f>
        <v>1</v>
      </c>
      <c r="HT47" s="153"/>
      <c r="HU47" s="152">
        <f>HS51</f>
        <v>0</v>
      </c>
      <c r="HV47" s="153"/>
      <c r="HX47" s="162"/>
      <c r="HY47" s="163"/>
      <c r="HZ47" s="154">
        <f>COUNT(IE11:IE16,IE18:IE23,IE25:IE30,IE32:IE37,IE39)</f>
        <v>0</v>
      </c>
      <c r="IA47" s="155"/>
      <c r="IB47" s="156">
        <f>SUM(HX51-IB51)</f>
        <v>0</v>
      </c>
      <c r="IC47" s="157"/>
      <c r="ID47" s="150">
        <f>SUM(IC51)</f>
        <v>0</v>
      </c>
      <c r="IE47" s="151"/>
      <c r="IF47" s="85"/>
      <c r="IG47" s="152">
        <f>COUNT(IB9)</f>
        <v>0</v>
      </c>
      <c r="IH47" s="153"/>
      <c r="II47" s="152">
        <f>IG51</f>
        <v>0</v>
      </c>
      <c r="IJ47" s="153"/>
      <c r="IK47" s="162"/>
      <c r="IL47" s="163"/>
      <c r="IM47" s="154">
        <f>COUNT(IR10:IR13,IR15:IR20,IR22:IR27,IR29:IR34,IR36:IR38)</f>
        <v>25</v>
      </c>
      <c r="IN47" s="155"/>
      <c r="IO47" s="156">
        <f>SUM(IK51-IO51)</f>
        <v>118.98333333333333</v>
      </c>
      <c r="IP47" s="157"/>
      <c r="IQ47" s="150">
        <f>SUM(IP51)</f>
        <v>0</v>
      </c>
      <c r="IR47" s="151"/>
      <c r="IS47" s="85"/>
      <c r="IT47" s="152">
        <f>COUNT(IO9)</f>
        <v>1</v>
      </c>
      <c r="IU47" s="153"/>
      <c r="IV47" s="152">
        <f>IT51</f>
        <v>0</v>
      </c>
      <c r="IW47" s="153"/>
      <c r="IY47" s="162"/>
      <c r="IZ47" s="163"/>
      <c r="JA47" s="154">
        <f>COUNT(JF10:JF13,JF15:JF20,JF22:JF27,JF29:JF34,JF36:JF38)</f>
        <v>25</v>
      </c>
      <c r="JB47" s="155"/>
      <c r="JC47" s="156">
        <f>SUM(IY51-JC51)</f>
        <v>128.1166666666667</v>
      </c>
      <c r="JD47" s="157"/>
      <c r="JE47" s="150">
        <f>SUM(JD51)</f>
        <v>10.65</v>
      </c>
      <c r="JF47" s="151"/>
      <c r="JG47" s="85"/>
      <c r="JH47" s="152">
        <f>COUNT(JC9)</f>
        <v>1</v>
      </c>
      <c r="JI47" s="153"/>
      <c r="JJ47" s="152">
        <f>JH51</f>
        <v>0</v>
      </c>
      <c r="JK47" s="153"/>
      <c r="JL47" s="162"/>
      <c r="JM47" s="163"/>
      <c r="JN47" s="154">
        <f>COUNT(JS10:JS13,JS15:JS20,JS22:JS27,JS29:JS34,JS36:JS38)</f>
        <v>24</v>
      </c>
      <c r="JO47" s="155"/>
      <c r="JP47" s="156">
        <f>SUM(JL51-JP51)</f>
        <v>83.883333333333368</v>
      </c>
      <c r="JQ47" s="157"/>
      <c r="JR47" s="150">
        <f>SUM(JQ51)</f>
        <v>0</v>
      </c>
      <c r="JS47" s="151"/>
      <c r="JT47" s="85"/>
      <c r="JU47" s="152">
        <f>COUNT(JP9)</f>
        <v>1</v>
      </c>
      <c r="JV47" s="153"/>
      <c r="JW47" s="152">
        <f>JU51</f>
        <v>0</v>
      </c>
      <c r="JX47" s="153"/>
      <c r="JZ47" s="162"/>
      <c r="KA47" s="163"/>
      <c r="KB47" s="154">
        <f>COUNT(KG10:KG13,KG15:KG20,KG22:KG27,KG29:KG34,KG36:KG38)</f>
        <v>25</v>
      </c>
      <c r="KC47" s="155"/>
      <c r="KD47" s="156">
        <f>SUM(JZ51-KD51)</f>
        <v>119.58333333333337</v>
      </c>
      <c r="KE47" s="157"/>
      <c r="KF47" s="150">
        <f>SUM(KE51)</f>
        <v>0</v>
      </c>
      <c r="KG47" s="151"/>
      <c r="KH47" s="85"/>
      <c r="KI47" s="152">
        <f>COUNT(KD9)</f>
        <v>1</v>
      </c>
      <c r="KJ47" s="153"/>
      <c r="KK47" s="152">
        <f>KI51</f>
        <v>0</v>
      </c>
      <c r="KL47" s="153"/>
    </row>
    <row r="48" spans="1:298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C48" s="38"/>
      <c r="BD48" s="38"/>
      <c r="BE48" s="24"/>
      <c r="BF48" s="24"/>
      <c r="BG48" s="24"/>
      <c r="BH48" s="24"/>
      <c r="BI48" s="24"/>
      <c r="BJ48" s="22"/>
      <c r="BK48" s="22"/>
      <c r="BL48" s="38"/>
      <c r="BM48" s="24"/>
      <c r="BN48" s="24"/>
      <c r="BO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E48" s="38"/>
      <c r="CF48" s="38"/>
      <c r="CG48" s="24"/>
      <c r="CH48" s="24"/>
      <c r="CI48" s="24"/>
      <c r="CJ48" s="24"/>
      <c r="CK48" s="24"/>
      <c r="CL48" s="22"/>
      <c r="CM48" s="22"/>
      <c r="CN48" s="38"/>
      <c r="CO48" s="24"/>
      <c r="CP48" s="24"/>
      <c r="CQ48" s="25"/>
      <c r="CR48" s="38"/>
      <c r="CS48" s="38"/>
      <c r="CT48" s="24"/>
      <c r="CU48" s="24"/>
      <c r="CV48" s="24"/>
      <c r="CW48" s="24"/>
      <c r="CX48" s="24"/>
      <c r="CY48" s="22"/>
      <c r="CZ48" s="22"/>
      <c r="DA48" s="38"/>
      <c r="DB48" s="24"/>
      <c r="DC48" s="24"/>
      <c r="DD48" s="25"/>
      <c r="DF48" s="38"/>
      <c r="DG48" s="38"/>
      <c r="DH48" s="24"/>
      <c r="DI48" s="24"/>
      <c r="DJ48" s="24"/>
      <c r="DK48" s="24"/>
      <c r="DL48" s="24"/>
      <c r="DM48" s="22"/>
      <c r="DN48" s="22"/>
      <c r="DO48" s="38"/>
      <c r="DP48" s="24"/>
      <c r="DQ48" s="24"/>
      <c r="DR48" s="25"/>
      <c r="DT48" s="38"/>
      <c r="DU48" s="38"/>
      <c r="DV48" s="24"/>
      <c r="DW48" s="24"/>
      <c r="DX48" s="24"/>
      <c r="DY48" s="24"/>
      <c r="DZ48" s="24"/>
      <c r="EA48" s="22"/>
      <c r="EB48" s="22"/>
      <c r="EC48" s="38"/>
      <c r="ED48" s="24"/>
      <c r="EE48" s="24"/>
      <c r="EF48" s="25"/>
      <c r="EG48" s="38"/>
      <c r="EH48" s="38"/>
      <c r="EI48" s="24"/>
      <c r="EJ48" s="24"/>
      <c r="EK48" s="24"/>
      <c r="EL48" s="24"/>
      <c r="EM48" s="24"/>
      <c r="EN48" s="22"/>
      <c r="EO48" s="22"/>
      <c r="EP48" s="38"/>
      <c r="EQ48" s="24"/>
      <c r="ER48" s="24"/>
      <c r="ES48" s="25"/>
      <c r="EU48" s="38"/>
      <c r="EV48" s="38"/>
      <c r="EW48" s="24"/>
      <c r="EX48" s="24"/>
      <c r="EY48" s="24"/>
      <c r="EZ48" s="24"/>
      <c r="FA48" s="24"/>
      <c r="FB48" s="22"/>
      <c r="FC48" s="22"/>
      <c r="FD48" s="38"/>
      <c r="FE48" s="24"/>
      <c r="FF48" s="24"/>
      <c r="FG48" s="25"/>
      <c r="FH48" s="38"/>
      <c r="FI48" s="38"/>
      <c r="FJ48" s="24"/>
      <c r="FK48" s="24"/>
      <c r="FL48" s="24"/>
      <c r="FM48" s="24"/>
      <c r="FN48" s="24"/>
      <c r="FO48" s="22"/>
      <c r="FP48" s="22"/>
      <c r="FQ48" s="38"/>
      <c r="FR48" s="24"/>
      <c r="FS48" s="24"/>
      <c r="FT48" s="25"/>
      <c r="FV48" s="38"/>
      <c r="FW48" s="38"/>
      <c r="FX48" s="24"/>
      <c r="FY48" s="24"/>
      <c r="FZ48" s="24"/>
      <c r="GA48" s="24"/>
      <c r="GB48" s="24"/>
      <c r="GC48" s="22"/>
      <c r="GD48" s="22"/>
      <c r="GE48" s="38"/>
      <c r="GF48" s="24"/>
      <c r="GG48" s="24"/>
      <c r="GH48" s="25"/>
      <c r="GI48" s="38"/>
      <c r="GJ48" s="38"/>
      <c r="GK48" s="24"/>
      <c r="GL48" s="24"/>
      <c r="GM48" s="24"/>
      <c r="GN48" s="24"/>
      <c r="GO48" s="24"/>
      <c r="GP48" s="22"/>
      <c r="GQ48" s="22"/>
      <c r="GR48" s="38"/>
      <c r="GS48" s="24"/>
      <c r="GT48" s="24"/>
      <c r="GU48" s="25"/>
      <c r="GW48" s="38"/>
      <c r="GX48" s="38"/>
      <c r="GY48" s="24"/>
      <c r="GZ48" s="24"/>
      <c r="HA48" s="24"/>
      <c r="HB48" s="24"/>
      <c r="HC48" s="24"/>
      <c r="HD48" s="22"/>
      <c r="HE48" s="22"/>
      <c r="HF48" s="38"/>
      <c r="HG48" s="24"/>
      <c r="HH48" s="24"/>
      <c r="HI48" s="25"/>
      <c r="HJ48" s="38"/>
      <c r="HK48" s="38"/>
      <c r="HL48" s="24"/>
      <c r="HM48" s="24"/>
      <c r="HN48" s="24"/>
      <c r="HO48" s="24"/>
      <c r="HP48" s="24"/>
      <c r="HQ48" s="22"/>
      <c r="HR48" s="22"/>
      <c r="HS48" s="38"/>
      <c r="HT48" s="24"/>
      <c r="HU48" s="24"/>
      <c r="HV48" s="25"/>
      <c r="HX48" s="38"/>
      <c r="HY48" s="38"/>
      <c r="HZ48" s="24"/>
      <c r="IA48" s="24"/>
      <c r="IB48" s="24"/>
      <c r="IC48" s="24"/>
      <c r="ID48" s="24"/>
      <c r="IE48" s="22"/>
      <c r="IF48" s="22"/>
      <c r="IG48" s="38"/>
      <c r="IH48" s="24"/>
      <c r="II48" s="24"/>
      <c r="IJ48" s="25"/>
      <c r="IK48" s="38"/>
      <c r="IL48" s="38"/>
      <c r="IM48" s="24"/>
      <c r="IN48" s="24"/>
      <c r="IO48" s="24"/>
      <c r="IP48" s="24"/>
      <c r="IQ48" s="24"/>
      <c r="IR48" s="22"/>
      <c r="IS48" s="22"/>
      <c r="IT48" s="38"/>
      <c r="IU48" s="24"/>
      <c r="IV48" s="24"/>
      <c r="IW48" s="25"/>
      <c r="IY48" s="38"/>
      <c r="IZ48" s="38"/>
      <c r="JA48" s="24"/>
      <c r="JB48" s="24"/>
      <c r="JC48" s="24"/>
      <c r="JD48" s="24"/>
      <c r="JE48" s="24"/>
      <c r="JF48" s="22"/>
      <c r="JG48" s="22"/>
      <c r="JH48" s="38"/>
      <c r="JI48" s="24"/>
      <c r="JJ48" s="24"/>
      <c r="JK48" s="25"/>
      <c r="JL48" s="38"/>
      <c r="JM48" s="38"/>
      <c r="JN48" s="24"/>
      <c r="JO48" s="24"/>
      <c r="JP48" s="24"/>
      <c r="JQ48" s="24"/>
      <c r="JR48" s="24"/>
      <c r="JS48" s="22"/>
      <c r="JT48" s="22"/>
      <c r="JU48" s="38"/>
      <c r="JV48" s="24"/>
      <c r="JW48" s="24"/>
      <c r="JX48" s="25"/>
      <c r="JZ48" s="38"/>
      <c r="KA48" s="38"/>
      <c r="KB48" s="24"/>
      <c r="KC48" s="24"/>
      <c r="KD48" s="24"/>
      <c r="KE48" s="24"/>
      <c r="KF48" s="24"/>
      <c r="KG48" s="22"/>
      <c r="KH48" s="22"/>
      <c r="KI48" s="38"/>
      <c r="KJ48" s="24"/>
      <c r="KK48" s="24"/>
      <c r="KL48" s="25"/>
    </row>
    <row r="49" spans="1:298" ht="15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C49" s="38"/>
      <c r="BD49" s="38"/>
      <c r="BE49" s="24"/>
      <c r="BF49" s="24"/>
      <c r="BG49" s="24"/>
      <c r="BH49" s="24"/>
      <c r="BI49" s="24"/>
      <c r="BJ49" s="22"/>
      <c r="BK49" s="22"/>
      <c r="BL49" s="38"/>
      <c r="BM49" s="24"/>
      <c r="BN49" s="24"/>
      <c r="BO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E49" s="38"/>
      <c r="CF49" s="38"/>
      <c r="CG49" s="24"/>
      <c r="CH49" s="24"/>
      <c r="CI49" s="24"/>
      <c r="CJ49" s="24"/>
      <c r="CK49" s="24"/>
      <c r="CL49" s="22"/>
      <c r="CM49" s="22"/>
      <c r="CN49" s="38"/>
      <c r="CO49" s="24"/>
      <c r="CP49" s="24"/>
      <c r="CQ49" s="25"/>
      <c r="CR49" s="38"/>
      <c r="CS49" s="38"/>
      <c r="CT49" s="24"/>
      <c r="CU49" s="24"/>
      <c r="CV49" s="24"/>
      <c r="CW49" s="24"/>
      <c r="CX49" s="24"/>
      <c r="CY49" s="22"/>
      <c r="CZ49" s="22"/>
      <c r="DA49" s="38"/>
      <c r="DB49" s="24"/>
      <c r="DC49" s="24"/>
      <c r="DD49" s="25"/>
      <c r="DF49" s="38"/>
      <c r="DG49" s="38"/>
      <c r="DH49" s="24"/>
      <c r="DI49" s="24"/>
      <c r="DJ49" s="24"/>
      <c r="DK49" s="24"/>
      <c r="DL49" s="24"/>
      <c r="DM49" s="22"/>
      <c r="DN49" s="22"/>
      <c r="DO49" s="38"/>
      <c r="DP49" s="24"/>
      <c r="DQ49" s="24"/>
      <c r="DR49" s="25"/>
      <c r="DT49" s="38"/>
      <c r="DU49" s="38"/>
      <c r="DV49" s="24"/>
      <c r="DW49" s="24"/>
      <c r="DX49" s="24"/>
      <c r="DY49" s="24"/>
      <c r="DZ49" s="24"/>
      <c r="EA49" s="22"/>
      <c r="EB49" s="22"/>
      <c r="EC49" s="38"/>
      <c r="ED49" s="24"/>
      <c r="EE49" s="24"/>
      <c r="EF49" s="25"/>
      <c r="EG49" s="38"/>
      <c r="EH49" s="38"/>
      <c r="EI49" s="24"/>
      <c r="EJ49" s="24"/>
      <c r="EK49" s="24"/>
      <c r="EL49" s="24"/>
      <c r="EM49" s="24"/>
      <c r="EN49" s="22"/>
      <c r="EO49" s="22"/>
      <c r="EP49" s="38"/>
      <c r="EQ49" s="24"/>
      <c r="ER49" s="24"/>
      <c r="ES49" s="25"/>
      <c r="EU49" s="38"/>
      <c r="EV49" s="38"/>
      <c r="EW49" s="24"/>
      <c r="EX49" s="24"/>
      <c r="EY49" s="24"/>
      <c r="EZ49" s="24"/>
      <c r="FA49" s="24"/>
      <c r="FB49" s="22"/>
      <c r="FC49" s="22"/>
      <c r="FD49" s="38"/>
      <c r="FE49" s="24"/>
      <c r="FF49" s="24"/>
      <c r="FG49" s="25"/>
      <c r="FH49" s="38"/>
      <c r="FI49" s="38"/>
      <c r="FJ49" s="24"/>
      <c r="FK49" s="24"/>
      <c r="FL49" s="24"/>
      <c r="FM49" s="24"/>
      <c r="FN49" s="24"/>
      <c r="FO49" s="22"/>
      <c r="FP49" s="22"/>
      <c r="FQ49" s="38"/>
      <c r="FR49" s="24"/>
      <c r="FS49" s="24"/>
      <c r="FT49" s="25"/>
      <c r="FV49" s="38"/>
      <c r="FW49" s="38"/>
      <c r="FX49" s="24"/>
      <c r="FY49" s="24"/>
      <c r="FZ49" s="24"/>
      <c r="GA49" s="24"/>
      <c r="GB49" s="24"/>
      <c r="GC49" s="22"/>
      <c r="GD49" s="22"/>
      <c r="GE49" s="38"/>
      <c r="GF49" s="24"/>
      <c r="GG49" s="24"/>
      <c r="GH49" s="25"/>
      <c r="GI49" s="38"/>
      <c r="GJ49" s="38"/>
      <c r="GK49" s="24"/>
      <c r="GL49" s="24"/>
      <c r="GM49" s="24"/>
      <c r="GN49" s="24"/>
      <c r="GO49" s="24"/>
      <c r="GP49" s="22"/>
      <c r="GQ49" s="22"/>
      <c r="GR49" s="38"/>
      <c r="GS49" s="24"/>
      <c r="GT49" s="24"/>
      <c r="GU49" s="25"/>
      <c r="GW49" s="38"/>
      <c r="GX49" s="38"/>
      <c r="GY49" s="24"/>
      <c r="GZ49" s="24"/>
      <c r="HA49" s="24"/>
      <c r="HB49" s="24"/>
      <c r="HC49" s="24"/>
      <c r="HD49" s="22"/>
      <c r="HE49" s="22"/>
      <c r="HF49" s="38"/>
      <c r="HG49" s="24"/>
      <c r="HH49" s="24"/>
      <c r="HI49" s="25"/>
      <c r="HJ49" s="38"/>
      <c r="HK49" s="38"/>
      <c r="HL49" s="24"/>
      <c r="HM49" s="24"/>
      <c r="HN49" s="24"/>
      <c r="HO49" s="24"/>
      <c r="HP49" s="24"/>
      <c r="HQ49" s="22"/>
      <c r="HR49" s="22"/>
      <c r="HS49" s="38"/>
      <c r="HT49" s="24"/>
      <c r="HU49" s="24"/>
      <c r="HV49" s="25"/>
      <c r="HX49" s="38"/>
      <c r="HY49" s="38"/>
      <c r="HZ49" s="24"/>
      <c r="IA49" s="24"/>
      <c r="IB49" s="24"/>
      <c r="IC49" s="24"/>
      <c r="ID49" s="24"/>
      <c r="IE49" s="22"/>
      <c r="IF49" s="22"/>
      <c r="IG49" s="38"/>
      <c r="IH49" s="24"/>
      <c r="II49" s="24"/>
      <c r="IJ49" s="25"/>
      <c r="IK49" s="38"/>
      <c r="IL49" s="38"/>
      <c r="IM49" s="24"/>
      <c r="IN49" s="24"/>
      <c r="IO49" s="24"/>
      <c r="IP49" s="24"/>
      <c r="IQ49" s="24"/>
      <c r="IR49" s="22"/>
      <c r="IS49" s="22"/>
      <c r="IT49" s="38"/>
      <c r="IU49" s="24"/>
      <c r="IV49" s="24"/>
      <c r="IW49" s="25"/>
      <c r="IY49" s="38"/>
      <c r="IZ49" s="38"/>
      <c r="JA49" s="24"/>
      <c r="JB49" s="24"/>
      <c r="JC49" s="24"/>
      <c r="JD49" s="24"/>
      <c r="JE49" s="24"/>
      <c r="JF49" s="22"/>
      <c r="JG49" s="22"/>
      <c r="JH49" s="38"/>
      <c r="JI49" s="24"/>
      <c r="JJ49" s="24"/>
      <c r="JK49" s="25"/>
      <c r="JL49" s="38"/>
      <c r="JM49" s="38"/>
      <c r="JN49" s="24"/>
      <c r="JO49" s="24"/>
      <c r="JP49" s="24"/>
      <c r="JQ49" s="24"/>
      <c r="JR49" s="24"/>
      <c r="JS49" s="22"/>
      <c r="JT49" s="22"/>
      <c r="JU49" s="38"/>
      <c r="JV49" s="24"/>
      <c r="JW49" s="24"/>
      <c r="JX49" s="25"/>
      <c r="JZ49" s="38"/>
      <c r="KA49" s="38"/>
      <c r="KB49" s="24"/>
      <c r="KC49" s="24"/>
      <c r="KD49" s="24"/>
      <c r="KE49" s="24"/>
      <c r="KF49" s="24"/>
      <c r="KG49" s="22"/>
      <c r="KH49" s="22"/>
      <c r="KI49" s="38"/>
      <c r="KJ49" s="24"/>
      <c r="KK49" s="24"/>
      <c r="KL49" s="25"/>
    </row>
    <row r="50" spans="1:298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C50" s="140" t="s">
        <v>18</v>
      </c>
      <c r="BD50" s="141"/>
      <c r="BE50" s="41" t="s">
        <v>13</v>
      </c>
      <c r="BF50" s="41" t="s">
        <v>14</v>
      </c>
      <c r="BG50" s="26" t="s">
        <v>19</v>
      </c>
      <c r="BH50" s="27" t="s">
        <v>6</v>
      </c>
      <c r="BI50" s="28" t="s">
        <v>13</v>
      </c>
      <c r="BJ50" s="29" t="s">
        <v>14</v>
      </c>
      <c r="BK50" s="142"/>
      <c r="BL50" s="45" t="s">
        <v>16</v>
      </c>
      <c r="BM50" s="46" t="s">
        <v>13</v>
      </c>
      <c r="BN50" s="47" t="s">
        <v>14</v>
      </c>
      <c r="BO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E50" s="140" t="s">
        <v>18</v>
      </c>
      <c r="CF50" s="141"/>
      <c r="CG50" s="41" t="s">
        <v>13</v>
      </c>
      <c r="CH50" s="41" t="s">
        <v>14</v>
      </c>
      <c r="CI50" s="26" t="s">
        <v>19</v>
      </c>
      <c r="CJ50" s="27" t="s">
        <v>6</v>
      </c>
      <c r="CK50" s="28" t="s">
        <v>13</v>
      </c>
      <c r="CL50" s="29" t="s">
        <v>14</v>
      </c>
      <c r="CM50" s="142"/>
      <c r="CN50" s="45" t="s">
        <v>16</v>
      </c>
      <c r="CO50" s="46" t="s">
        <v>13</v>
      </c>
      <c r="CP50" s="47" t="s">
        <v>14</v>
      </c>
      <c r="CQ50" s="67"/>
      <c r="CR50" s="140" t="s">
        <v>18</v>
      </c>
      <c r="CS50" s="141"/>
      <c r="CT50" s="41" t="s">
        <v>13</v>
      </c>
      <c r="CU50" s="41" t="s">
        <v>14</v>
      </c>
      <c r="CV50" s="26" t="s">
        <v>19</v>
      </c>
      <c r="CW50" s="27" t="s">
        <v>6</v>
      </c>
      <c r="CX50" s="28" t="s">
        <v>13</v>
      </c>
      <c r="CY50" s="29" t="s">
        <v>14</v>
      </c>
      <c r="CZ50" s="142"/>
      <c r="DA50" s="45" t="s">
        <v>16</v>
      </c>
      <c r="DB50" s="46" t="s">
        <v>13</v>
      </c>
      <c r="DC50" s="47" t="s">
        <v>14</v>
      </c>
      <c r="DD50" s="67"/>
      <c r="DF50" s="140" t="s">
        <v>18</v>
      </c>
      <c r="DG50" s="141"/>
      <c r="DH50" s="41" t="s">
        <v>13</v>
      </c>
      <c r="DI50" s="41" t="s">
        <v>14</v>
      </c>
      <c r="DJ50" s="26" t="s">
        <v>19</v>
      </c>
      <c r="DK50" s="27" t="s">
        <v>6</v>
      </c>
      <c r="DL50" s="28" t="s">
        <v>13</v>
      </c>
      <c r="DM50" s="29" t="s">
        <v>14</v>
      </c>
      <c r="DN50" s="142"/>
      <c r="DO50" s="45" t="s">
        <v>16</v>
      </c>
      <c r="DP50" s="46" t="s">
        <v>13</v>
      </c>
      <c r="DQ50" s="47" t="s">
        <v>14</v>
      </c>
      <c r="DR50" s="67"/>
      <c r="DT50" s="140" t="s">
        <v>18</v>
      </c>
      <c r="DU50" s="141"/>
      <c r="DV50" s="41" t="s">
        <v>13</v>
      </c>
      <c r="DW50" s="41" t="s">
        <v>14</v>
      </c>
      <c r="DX50" s="26" t="s">
        <v>19</v>
      </c>
      <c r="DY50" s="27" t="s">
        <v>6</v>
      </c>
      <c r="DZ50" s="28" t="s">
        <v>13</v>
      </c>
      <c r="EA50" s="29" t="s">
        <v>14</v>
      </c>
      <c r="EB50" s="142"/>
      <c r="EC50" s="45" t="s">
        <v>16</v>
      </c>
      <c r="ED50" s="46" t="s">
        <v>13</v>
      </c>
      <c r="EE50" s="47" t="s">
        <v>14</v>
      </c>
      <c r="EF50" s="67"/>
      <c r="EG50" s="140" t="s">
        <v>18</v>
      </c>
      <c r="EH50" s="141"/>
      <c r="EI50" s="41" t="s">
        <v>13</v>
      </c>
      <c r="EJ50" s="41" t="s">
        <v>14</v>
      </c>
      <c r="EK50" s="26" t="s">
        <v>19</v>
      </c>
      <c r="EL50" s="27" t="s">
        <v>6</v>
      </c>
      <c r="EM50" s="28" t="s">
        <v>13</v>
      </c>
      <c r="EN50" s="29" t="s">
        <v>14</v>
      </c>
      <c r="EO50" s="142"/>
      <c r="EP50" s="45" t="s">
        <v>16</v>
      </c>
      <c r="EQ50" s="46" t="s">
        <v>13</v>
      </c>
      <c r="ER50" s="47" t="s">
        <v>14</v>
      </c>
      <c r="ES50" s="67"/>
      <c r="EU50" s="140" t="s">
        <v>18</v>
      </c>
      <c r="EV50" s="141"/>
      <c r="EW50" s="41" t="s">
        <v>13</v>
      </c>
      <c r="EX50" s="41" t="s">
        <v>14</v>
      </c>
      <c r="EY50" s="26" t="s">
        <v>19</v>
      </c>
      <c r="EZ50" s="27" t="s">
        <v>6</v>
      </c>
      <c r="FA50" s="28" t="s">
        <v>13</v>
      </c>
      <c r="FB50" s="29" t="s">
        <v>14</v>
      </c>
      <c r="FC50" s="142"/>
      <c r="FD50" s="45" t="s">
        <v>16</v>
      </c>
      <c r="FE50" s="46" t="s">
        <v>13</v>
      </c>
      <c r="FF50" s="47" t="s">
        <v>14</v>
      </c>
      <c r="FG50" s="67"/>
      <c r="FH50" s="140" t="s">
        <v>18</v>
      </c>
      <c r="FI50" s="141"/>
      <c r="FJ50" s="41" t="s">
        <v>13</v>
      </c>
      <c r="FK50" s="41" t="s">
        <v>14</v>
      </c>
      <c r="FL50" s="26" t="s">
        <v>19</v>
      </c>
      <c r="FM50" s="27" t="s">
        <v>6</v>
      </c>
      <c r="FN50" s="28" t="s">
        <v>13</v>
      </c>
      <c r="FO50" s="29" t="s">
        <v>14</v>
      </c>
      <c r="FP50" s="142"/>
      <c r="FQ50" s="45" t="s">
        <v>16</v>
      </c>
      <c r="FR50" s="46" t="s">
        <v>13</v>
      </c>
      <c r="FS50" s="47" t="s">
        <v>14</v>
      </c>
      <c r="FT50" s="67"/>
      <c r="FV50" s="140" t="s">
        <v>18</v>
      </c>
      <c r="FW50" s="141"/>
      <c r="FX50" s="41" t="s">
        <v>13</v>
      </c>
      <c r="FY50" s="41" t="s">
        <v>14</v>
      </c>
      <c r="FZ50" s="26" t="s">
        <v>19</v>
      </c>
      <c r="GA50" s="27" t="s">
        <v>6</v>
      </c>
      <c r="GB50" s="28" t="s">
        <v>13</v>
      </c>
      <c r="GC50" s="29" t="s">
        <v>14</v>
      </c>
      <c r="GD50" s="142"/>
      <c r="GE50" s="45" t="s">
        <v>16</v>
      </c>
      <c r="GF50" s="46" t="s">
        <v>13</v>
      </c>
      <c r="GG50" s="47" t="s">
        <v>14</v>
      </c>
      <c r="GH50" s="67"/>
      <c r="GI50" s="140" t="s">
        <v>18</v>
      </c>
      <c r="GJ50" s="141"/>
      <c r="GK50" s="41" t="s">
        <v>13</v>
      </c>
      <c r="GL50" s="41" t="s">
        <v>14</v>
      </c>
      <c r="GM50" s="26" t="s">
        <v>19</v>
      </c>
      <c r="GN50" s="27" t="s">
        <v>6</v>
      </c>
      <c r="GO50" s="28" t="s">
        <v>13</v>
      </c>
      <c r="GP50" s="29" t="s">
        <v>14</v>
      </c>
      <c r="GQ50" s="142"/>
      <c r="GR50" s="45" t="s">
        <v>16</v>
      </c>
      <c r="GS50" s="46" t="s">
        <v>13</v>
      </c>
      <c r="GT50" s="47" t="s">
        <v>14</v>
      </c>
      <c r="GU50" s="67"/>
      <c r="GW50" s="140" t="s">
        <v>18</v>
      </c>
      <c r="GX50" s="141"/>
      <c r="GY50" s="41" t="s">
        <v>13</v>
      </c>
      <c r="GZ50" s="41" t="s">
        <v>14</v>
      </c>
      <c r="HA50" s="26" t="s">
        <v>19</v>
      </c>
      <c r="HB50" s="27" t="s">
        <v>6</v>
      </c>
      <c r="HC50" s="28" t="s">
        <v>13</v>
      </c>
      <c r="HD50" s="29" t="s">
        <v>14</v>
      </c>
      <c r="HE50" s="142"/>
      <c r="HF50" s="45" t="s">
        <v>16</v>
      </c>
      <c r="HG50" s="46" t="s">
        <v>13</v>
      </c>
      <c r="HH50" s="47" t="s">
        <v>14</v>
      </c>
      <c r="HI50" s="67"/>
      <c r="HJ50" s="140" t="s">
        <v>18</v>
      </c>
      <c r="HK50" s="141"/>
      <c r="HL50" s="41" t="s">
        <v>13</v>
      </c>
      <c r="HM50" s="41" t="s">
        <v>14</v>
      </c>
      <c r="HN50" s="26" t="s">
        <v>19</v>
      </c>
      <c r="HO50" s="27" t="s">
        <v>6</v>
      </c>
      <c r="HP50" s="28" t="s">
        <v>13</v>
      </c>
      <c r="HQ50" s="29" t="s">
        <v>14</v>
      </c>
      <c r="HR50" s="142"/>
      <c r="HS50" s="45" t="s">
        <v>16</v>
      </c>
      <c r="HT50" s="46" t="s">
        <v>13</v>
      </c>
      <c r="HU50" s="47" t="s">
        <v>14</v>
      </c>
      <c r="HV50" s="67"/>
      <c r="HX50" s="140" t="s">
        <v>18</v>
      </c>
      <c r="HY50" s="141"/>
      <c r="HZ50" s="41" t="s">
        <v>13</v>
      </c>
      <c r="IA50" s="41" t="s">
        <v>14</v>
      </c>
      <c r="IB50" s="26" t="s">
        <v>19</v>
      </c>
      <c r="IC50" s="27" t="s">
        <v>6</v>
      </c>
      <c r="ID50" s="28" t="s">
        <v>13</v>
      </c>
      <c r="IE50" s="29" t="s">
        <v>14</v>
      </c>
      <c r="IF50" s="142"/>
      <c r="IG50" s="45" t="s">
        <v>16</v>
      </c>
      <c r="IH50" s="46" t="s">
        <v>13</v>
      </c>
      <c r="II50" s="47" t="s">
        <v>14</v>
      </c>
      <c r="IJ50" s="67"/>
      <c r="IK50" s="140" t="s">
        <v>18</v>
      </c>
      <c r="IL50" s="141"/>
      <c r="IM50" s="41" t="s">
        <v>13</v>
      </c>
      <c r="IN50" s="41" t="s">
        <v>14</v>
      </c>
      <c r="IO50" s="26" t="s">
        <v>19</v>
      </c>
      <c r="IP50" s="27" t="s">
        <v>6</v>
      </c>
      <c r="IQ50" s="28" t="s">
        <v>13</v>
      </c>
      <c r="IR50" s="29" t="s">
        <v>14</v>
      </c>
      <c r="IS50" s="142"/>
      <c r="IT50" s="45" t="s">
        <v>16</v>
      </c>
      <c r="IU50" s="46" t="s">
        <v>13</v>
      </c>
      <c r="IV50" s="47" t="s">
        <v>14</v>
      </c>
      <c r="IW50" s="67"/>
      <c r="IY50" s="140" t="s">
        <v>18</v>
      </c>
      <c r="IZ50" s="141"/>
      <c r="JA50" s="41" t="s">
        <v>13</v>
      </c>
      <c r="JB50" s="41" t="s">
        <v>14</v>
      </c>
      <c r="JC50" s="26" t="s">
        <v>19</v>
      </c>
      <c r="JD50" s="27" t="s">
        <v>6</v>
      </c>
      <c r="JE50" s="28" t="s">
        <v>13</v>
      </c>
      <c r="JF50" s="29" t="s">
        <v>14</v>
      </c>
      <c r="JG50" s="142"/>
      <c r="JH50" s="45" t="s">
        <v>16</v>
      </c>
      <c r="JI50" s="46" t="s">
        <v>13</v>
      </c>
      <c r="JJ50" s="47" t="s">
        <v>14</v>
      </c>
      <c r="JK50" s="67"/>
      <c r="JL50" s="140" t="s">
        <v>18</v>
      </c>
      <c r="JM50" s="141"/>
      <c r="JN50" s="41" t="s">
        <v>13</v>
      </c>
      <c r="JO50" s="41" t="s">
        <v>14</v>
      </c>
      <c r="JP50" s="26" t="s">
        <v>19</v>
      </c>
      <c r="JQ50" s="27" t="s">
        <v>6</v>
      </c>
      <c r="JR50" s="28" t="s">
        <v>13</v>
      </c>
      <c r="JS50" s="29" t="s">
        <v>14</v>
      </c>
      <c r="JT50" s="142"/>
      <c r="JU50" s="45" t="s">
        <v>16</v>
      </c>
      <c r="JV50" s="46" t="s">
        <v>13</v>
      </c>
      <c r="JW50" s="47" t="s">
        <v>14</v>
      </c>
      <c r="JX50" s="67"/>
      <c r="JZ50" s="140" t="s">
        <v>18</v>
      </c>
      <c r="KA50" s="141"/>
      <c r="KB50" s="41" t="s">
        <v>13</v>
      </c>
      <c r="KC50" s="41" t="s">
        <v>14</v>
      </c>
      <c r="KD50" s="26" t="s">
        <v>19</v>
      </c>
      <c r="KE50" s="27" t="s">
        <v>6</v>
      </c>
      <c r="KF50" s="28" t="s">
        <v>13</v>
      </c>
      <c r="KG50" s="29" t="s">
        <v>14</v>
      </c>
      <c r="KH50" s="142"/>
      <c r="KI50" s="45" t="s">
        <v>16</v>
      </c>
      <c r="KJ50" s="46" t="s">
        <v>13</v>
      </c>
      <c r="KK50" s="47" t="s">
        <v>14</v>
      </c>
      <c r="KL50" s="67"/>
    </row>
    <row r="51" spans="1:298" s="2" customFormat="1" ht="29" thickBot="1" x14ac:dyDescent="0.4">
      <c r="A51" s="144">
        <f>SUM(C51+D51/60)</f>
        <v>120.75</v>
      </c>
      <c r="B51" s="145"/>
      <c r="C51" s="30">
        <f>SUM(K10:K13,K15:K20,K22:K27,K29:K34,K36:K38)</f>
        <v>109</v>
      </c>
      <c r="D51" s="30">
        <f>SUM(L10:L13,L15:L20,L22:L27,L29:L34,L36:L38)</f>
        <v>705.00000000000011</v>
      </c>
      <c r="E51" s="104">
        <f>C47*0.15</f>
        <v>3.75</v>
      </c>
      <c r="F51" s="31">
        <f>SUM(G51+H51/60)</f>
        <v>0</v>
      </c>
      <c r="G51" s="32">
        <f>SUM(K14,K21,K28,K35)</f>
        <v>0</v>
      </c>
      <c r="H51" s="32">
        <f>SUM(L14,L21,L28,L35)</f>
        <v>0</v>
      </c>
      <c r="I51" s="143"/>
      <c r="J51" s="48">
        <f>(K51+L51/60)</f>
        <v>0</v>
      </c>
      <c r="K51" s="49">
        <f>SUM(K9)</f>
        <v>0</v>
      </c>
      <c r="L51" s="68">
        <f>SUM(L9)</f>
        <v>0</v>
      </c>
      <c r="M51" s="67"/>
      <c r="O51" s="144">
        <f>SUM(Q51+R51/60)</f>
        <v>128.44999999999999</v>
      </c>
      <c r="P51" s="145"/>
      <c r="Q51" s="30">
        <f>SUM(Y10:Y13,Y15:Y20,Y22:Y27,Y29:Y34,Y36:Y38)</f>
        <v>115</v>
      </c>
      <c r="R51" s="30">
        <f>SUM(Z10:Z13,Z15:Z20,Z22:Z27,Z29:Z34,Z36:Z38)</f>
        <v>806.99999999999886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0</v>
      </c>
      <c r="Y51" s="49">
        <f>SUM(Y9)</f>
        <v>0</v>
      </c>
      <c r="Z51" s="68">
        <f>SUM(Z9)</f>
        <v>0</v>
      </c>
      <c r="AA51" s="67"/>
      <c r="AB51" s="144">
        <f>SUM(AD51+AE51/60)</f>
        <v>88.766666666666694</v>
      </c>
      <c r="AC51" s="145"/>
      <c r="AD51" s="30">
        <f>SUM(AL10:AL13,AL15:AL20,AL22:AL27,AL29:AL34,AL36:AL38)</f>
        <v>79</v>
      </c>
      <c r="AE51" s="30">
        <f>SUM(AM10:AM13,AM15:AM20,AM22:AM27,AM29:AM34,AM36:AM38)</f>
        <v>586.00000000000159</v>
      </c>
      <c r="AF51" s="104">
        <f>AD47*0.15</f>
        <v>3.75</v>
      </c>
      <c r="AG51" s="31">
        <f>SUM(AH51+AI51/60)</f>
        <v>0</v>
      </c>
      <c r="AH51" s="32">
        <f>SUM(AL14,AL21,AL28,AL35)</f>
        <v>0</v>
      </c>
      <c r="AI51" s="32">
        <f>SUM(AM14,AM21,AM28,AM35)</f>
        <v>0</v>
      </c>
      <c r="AJ51" s="143"/>
      <c r="AK51" s="48">
        <f>(AL51+AM51/60)</f>
        <v>4.633333333333332</v>
      </c>
      <c r="AL51" s="49">
        <f>SUM(AL9)</f>
        <v>4</v>
      </c>
      <c r="AM51" s="68">
        <f>SUM(AM9)</f>
        <v>37.999999999999901</v>
      </c>
      <c r="AN51" s="67"/>
      <c r="AP51" s="144">
        <f>SUM(AR51+AS51/60)</f>
        <v>124.76666666666669</v>
      </c>
      <c r="AQ51" s="145"/>
      <c r="AR51" s="30">
        <f>SUM(AZ10:AZ13,AZ15:AZ20,AZ22:AZ27,AZ29:AZ34,AZ36:AZ38)</f>
        <v>114</v>
      </c>
      <c r="AS51" s="30">
        <f>SUM(BA10:BA13,BA15:BA20,BA22:BA27,BA29:BA34,BA36:BA38)</f>
        <v>646.00000000000193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0</v>
      </c>
      <c r="AZ51" s="49">
        <f>SUM(AZ9)</f>
        <v>0</v>
      </c>
      <c r="BA51" s="68">
        <f>SUM(BA9)</f>
        <v>0</v>
      </c>
      <c r="BB51" s="67"/>
      <c r="BC51" s="144">
        <f>SUM(BE51+BF51/60)</f>
        <v>0</v>
      </c>
      <c r="BD51" s="145"/>
      <c r="BE51" s="30">
        <f>SUM(BM11:BM16,BM18:BM23,BM25:BM30,BM32:BM37,BM39)</f>
        <v>0</v>
      </c>
      <c r="BF51" s="30">
        <f>SUM(BN11:BN16,BN18:BN23,BN25:BN30,BN32:BN37,BN39)</f>
        <v>0</v>
      </c>
      <c r="BG51" s="104">
        <f>BE47*0.25</f>
        <v>0</v>
      </c>
      <c r="BH51" s="31">
        <f>SUM(BI51+BJ51/60)</f>
        <v>0</v>
      </c>
      <c r="BI51" s="32">
        <f>SUM(BM10,BM17,BM24,BM31,BM38)</f>
        <v>0</v>
      </c>
      <c r="BJ51" s="32">
        <f>SUM(BN10,BN17,BN24,BN31,BN38)</f>
        <v>0</v>
      </c>
      <c r="BK51" s="143"/>
      <c r="BL51" s="48">
        <f>(BM51+BN51/60)</f>
        <v>0</v>
      </c>
      <c r="BM51" s="49">
        <f>SUM(BM9)</f>
        <v>0</v>
      </c>
      <c r="BN51" s="68">
        <f>SUM(BN9)</f>
        <v>0</v>
      </c>
      <c r="BO51" s="67"/>
      <c r="BQ51" s="144">
        <f>SUM(BS51+BT51/60)</f>
        <v>130.45000000000002</v>
      </c>
      <c r="BR51" s="145"/>
      <c r="BS51" s="30">
        <f>SUM(CA10:CA13,CA15:CA20,CA22:CA27,CA29:CA34,CA36:CA38)</f>
        <v>118</v>
      </c>
      <c r="BT51" s="30">
        <f>SUM(CB10:CB13,CB15:CB20,CB22:CB27,CB29:CB34,CB36:CB38)</f>
        <v>747.00000000000125</v>
      </c>
      <c r="BU51" s="104">
        <f>BS47*0.15</f>
        <v>3.75</v>
      </c>
      <c r="BV51" s="31">
        <f>SUM(BW51+BX51/60)</f>
        <v>0</v>
      </c>
      <c r="BW51" s="32">
        <f>SUM(CA14,CA21,CA28,CA35)</f>
        <v>0</v>
      </c>
      <c r="BX51" s="32">
        <f>SUM(CB14,CB21,CB28,CB35)</f>
        <v>0</v>
      </c>
      <c r="BY51" s="143"/>
      <c r="BZ51" s="48">
        <f>(CA51+CB51/60)</f>
        <v>0</v>
      </c>
      <c r="CA51" s="49">
        <f>SUM(CA9)</f>
        <v>0</v>
      </c>
      <c r="CB51" s="68">
        <f>SUM(CB9)</f>
        <v>0</v>
      </c>
      <c r="CC51" s="67"/>
      <c r="CE51" s="144">
        <f>SUM(CG51+CH51/60)</f>
        <v>109.06666666666666</v>
      </c>
      <c r="CF51" s="145"/>
      <c r="CG51" s="30">
        <f>SUM(CO10:CO13,CO15:CO20,CO22:CO27,CO29:CO34,CO36:CO38)</f>
        <v>100</v>
      </c>
      <c r="CH51" s="30">
        <f>SUM(CP10:CP13,CP15:CP20,CP22:CP27,CP29:CP34,CP36:CP38)</f>
        <v>544</v>
      </c>
      <c r="CI51" s="104">
        <f>CG47*0.15</f>
        <v>3.5999999999999996</v>
      </c>
      <c r="CJ51" s="31">
        <f>SUM(CK51+CL51/60)</f>
        <v>0</v>
      </c>
      <c r="CK51" s="32">
        <f>SUM(CO14,CO21,CO28,CO35)</f>
        <v>0</v>
      </c>
      <c r="CL51" s="32">
        <f>SUM(CP14,CP21,CP28,CP35)</f>
        <v>0</v>
      </c>
      <c r="CM51" s="143"/>
      <c r="CN51" s="48">
        <f>(CO51+CP51/60)</f>
        <v>0</v>
      </c>
      <c r="CO51" s="49">
        <f>SUM(CO9)</f>
        <v>0</v>
      </c>
      <c r="CP51" s="68">
        <f>SUM(CP9)</f>
        <v>0</v>
      </c>
      <c r="CQ51" s="67"/>
      <c r="CR51" s="144">
        <f>SUM(CT51+CU51/60)</f>
        <v>127.2</v>
      </c>
      <c r="CS51" s="145"/>
      <c r="CT51" s="30">
        <f>SUM(DB10:DB13,DB15:DB20,DB22:DB27,DB29:DB34,DB36:DB38)</f>
        <v>115</v>
      </c>
      <c r="CU51" s="30">
        <f>SUM(DC10:DC13,DC15:DC20,DC22:DC27,DC29:DC34,DC36:DC38)</f>
        <v>732.00000000000034</v>
      </c>
      <c r="CV51" s="104">
        <f>CT47*0.15</f>
        <v>3.75</v>
      </c>
      <c r="CW51" s="31">
        <f>SUM(CX51+CY51/60)</f>
        <v>0</v>
      </c>
      <c r="CX51" s="32">
        <f>SUM(DB14,DB21,DB28,DB35)</f>
        <v>0</v>
      </c>
      <c r="CY51" s="32">
        <f>SUM(DC14,DC21,DC28,DC35)</f>
        <v>0</v>
      </c>
      <c r="CZ51" s="143"/>
      <c r="DA51" s="48">
        <f>(DB51+DC51/60)</f>
        <v>0</v>
      </c>
      <c r="DB51" s="49">
        <f>SUM(DB9)</f>
        <v>0</v>
      </c>
      <c r="DC51" s="68">
        <f>SUM(DC9)</f>
        <v>0</v>
      </c>
      <c r="DD51" s="67"/>
      <c r="DF51" s="144">
        <f>SUM(DH51+DI51/60)</f>
        <v>94.950000000000017</v>
      </c>
      <c r="DG51" s="145"/>
      <c r="DH51" s="30">
        <f>SUM(DP10:DP13,DP15:DP20,DP22:DP27,DP29:DP34,DP36:DP38)</f>
        <v>84</v>
      </c>
      <c r="DI51" s="30">
        <f>SUM(DQ10:DQ13,DQ15:DQ20,DQ22:DQ27,DQ29:DQ34,DQ36:DQ38)</f>
        <v>657.00000000000068</v>
      </c>
      <c r="DJ51" s="104">
        <f>DH47*0.15</f>
        <v>3.5999999999999996</v>
      </c>
      <c r="DK51" s="31">
        <f>SUM(DL51+DM51/60)</f>
        <v>0</v>
      </c>
      <c r="DL51" s="32">
        <f>SUM(DP14,DP21,DP28,DP35)</f>
        <v>0</v>
      </c>
      <c r="DM51" s="32">
        <f>SUM(DQ14,DQ21,DQ28,DQ35)</f>
        <v>0</v>
      </c>
      <c r="DN51" s="143"/>
      <c r="DO51" s="48">
        <f>(DP51+DQ51/60)</f>
        <v>0</v>
      </c>
      <c r="DP51" s="49">
        <f>SUM(DP9)</f>
        <v>0</v>
      </c>
      <c r="DQ51" s="68">
        <f>SUM(DQ9)</f>
        <v>0</v>
      </c>
      <c r="DR51" s="67"/>
      <c r="DT51" s="144">
        <f>SUM(DV51+DW51/60)</f>
        <v>97.616666666666674</v>
      </c>
      <c r="DU51" s="145"/>
      <c r="DV51" s="30">
        <f>SUM(ED10:ED13,ED15:ED20,ED22:ED27,ED29:ED34,ED36:ED38)</f>
        <v>85</v>
      </c>
      <c r="DW51" s="30">
        <f>SUM(EE10:EE13,EE15:EE20,EE22:EE27,EE29:EE34,EE36:EE38)</f>
        <v>757.00000000000057</v>
      </c>
      <c r="DX51" s="104">
        <f>DV47*0.15</f>
        <v>3.4499999999999997</v>
      </c>
      <c r="DY51" s="31">
        <f>SUM(DZ51+EA51/60)</f>
        <v>0</v>
      </c>
      <c r="DZ51" s="32">
        <f>SUM(ED14,ED21,ED28,ED35)</f>
        <v>0</v>
      </c>
      <c r="EA51" s="32">
        <f>SUM(EE14,EE21,EE28,EE35)</f>
        <v>0</v>
      </c>
      <c r="EB51" s="143"/>
      <c r="EC51" s="48">
        <f>(ED51+EE51/60)</f>
        <v>0</v>
      </c>
      <c r="ED51" s="49">
        <f>SUM(ED9)</f>
        <v>0</v>
      </c>
      <c r="EE51" s="68">
        <f>SUM(EE9)</f>
        <v>0</v>
      </c>
      <c r="EF51" s="67"/>
      <c r="EG51" s="144">
        <f>SUM(EI51+EJ51/60)</f>
        <v>119.63333333333338</v>
      </c>
      <c r="EH51" s="145"/>
      <c r="EI51" s="30">
        <f>SUM(EQ10:EQ13,EQ15:EQ20,EQ22:EQ27,EQ29:EQ34,EQ36:EQ38)</f>
        <v>109</v>
      </c>
      <c r="EJ51" s="30">
        <f>SUM(ER10:ER13,ER15:ER20,ER22:ER27,ER29:ER34,ER36:ER38)</f>
        <v>638.00000000000307</v>
      </c>
      <c r="EK51" s="104">
        <f>EI47*0.15</f>
        <v>3.75</v>
      </c>
      <c r="EL51" s="31">
        <f>SUM(EM51+EN51/60)</f>
        <v>0</v>
      </c>
      <c r="EM51" s="32">
        <f>SUM(EQ14,EQ21,EQ28,EQ35)</f>
        <v>0</v>
      </c>
      <c r="EN51" s="32">
        <f>SUM(ER14,ER21,ER28,ER35)</f>
        <v>0</v>
      </c>
      <c r="EO51" s="143"/>
      <c r="EP51" s="48">
        <f>(EQ51+ER51/60)</f>
        <v>0</v>
      </c>
      <c r="EQ51" s="49">
        <f>SUM(EQ9)</f>
        <v>0</v>
      </c>
      <c r="ER51" s="68">
        <f>SUM(ER9)</f>
        <v>0</v>
      </c>
      <c r="ES51" s="67"/>
      <c r="EU51" s="144">
        <f>SUM(EW51+EX51/60)</f>
        <v>128.13333333333335</v>
      </c>
      <c r="EV51" s="145"/>
      <c r="EW51" s="30">
        <f>SUM(FE10:FE13,FE15:FE20,FE22:FE27,FE29:FE34,FE36:FE38)</f>
        <v>113</v>
      </c>
      <c r="EX51" s="30">
        <f>SUM(FF10:FF13,FF15:FF20,FF22:FF27,FF29:FF34,FF36:FF38)</f>
        <v>908.00000000000193</v>
      </c>
      <c r="EY51" s="104">
        <f>EW47*0.15</f>
        <v>3.75</v>
      </c>
      <c r="EZ51" s="31">
        <f>SUM(FA51+FB51/60)</f>
        <v>0</v>
      </c>
      <c r="FA51" s="32">
        <f>SUM(FE14,FE21,FE28,FE35)</f>
        <v>0</v>
      </c>
      <c r="FB51" s="32">
        <f>SUM(FF14,FF21,FF28,FF35)</f>
        <v>0</v>
      </c>
      <c r="FC51" s="143"/>
      <c r="FD51" s="48">
        <f>(FE51+FF51/60)</f>
        <v>0</v>
      </c>
      <c r="FE51" s="49">
        <f>SUM(FE9)</f>
        <v>0</v>
      </c>
      <c r="FF51" s="68">
        <f>SUM(FF9)</f>
        <v>0</v>
      </c>
      <c r="FG51" s="67"/>
      <c r="FH51" s="144">
        <f>SUM(FJ51+FK51/60)</f>
        <v>111.98333333333335</v>
      </c>
      <c r="FI51" s="145"/>
      <c r="FJ51" s="30">
        <f>SUM(FR10:FR13,FR15:FR20,FR22:FR27,FR29:FR34,FR36:FR38)</f>
        <v>101</v>
      </c>
      <c r="FK51" s="30">
        <f>SUM(FS10:FS13,FS15:FS20,FS22:FS27,FS29:FS34,FS36:FS38)</f>
        <v>659.00000000000057</v>
      </c>
      <c r="FL51" s="104">
        <f>FJ47*0.15</f>
        <v>3.5999999999999996</v>
      </c>
      <c r="FM51" s="31">
        <f>SUM(FN51+FO51/60)</f>
        <v>6.9000000000000012</v>
      </c>
      <c r="FN51" s="32">
        <f>SUM(FR14,FR21,FR28,FR35)</f>
        <v>6</v>
      </c>
      <c r="FO51" s="32">
        <f>SUM(FS14,FS21,FS28,FS35)</f>
        <v>54.000000000000092</v>
      </c>
      <c r="FP51" s="143"/>
      <c r="FQ51" s="48">
        <f>(FR51+FS51/60)</f>
        <v>0</v>
      </c>
      <c r="FR51" s="49">
        <f>SUM(FR9)</f>
        <v>0</v>
      </c>
      <c r="FS51" s="68">
        <f>SUM(FS9)</f>
        <v>0</v>
      </c>
      <c r="FT51" s="67"/>
      <c r="FV51" s="144">
        <f>SUM(FX51+FY51/60)</f>
        <v>93.666666666666686</v>
      </c>
      <c r="FW51" s="145"/>
      <c r="FX51" s="30">
        <f>SUM(GF10:GF13,GF15:GF20,GF22:GF27,GF29:GF34,GF36:GF38)</f>
        <v>82</v>
      </c>
      <c r="FY51" s="30">
        <f>SUM(GG10:GG13,GG15:GG20,GG22:GG27,GG29:GG34,GG36:GG38)</f>
        <v>700.00000000000125</v>
      </c>
      <c r="FZ51" s="104">
        <f>FX47*0.15</f>
        <v>3.5999999999999996</v>
      </c>
      <c r="GA51" s="31">
        <f>SUM(GB51+GC51/60)</f>
        <v>0</v>
      </c>
      <c r="GB51" s="32">
        <f>SUM(GF14,GF21,GF28,GF35)</f>
        <v>0</v>
      </c>
      <c r="GC51" s="32">
        <f>SUM(GG14,GG21,GG28,GG35)</f>
        <v>0</v>
      </c>
      <c r="GD51" s="143"/>
      <c r="GE51" s="48">
        <f>(GF51+GG51/60)</f>
        <v>0</v>
      </c>
      <c r="GF51" s="49">
        <f>SUM(GF9)</f>
        <v>0</v>
      </c>
      <c r="GG51" s="68">
        <f>SUM(GG9)</f>
        <v>0</v>
      </c>
      <c r="GH51" s="67"/>
      <c r="GI51" s="144">
        <f>SUM(GK51+GL51/60)</f>
        <v>113.1166666666667</v>
      </c>
      <c r="GJ51" s="145"/>
      <c r="GK51" s="30">
        <f>SUM(GS10:GS13,GS15:GS20,GS22:GS27,GS29:GS34,GS36:GS38)</f>
        <v>100</v>
      </c>
      <c r="GL51" s="30">
        <f>SUM(GT10:GT13,GT15:GT20,GT22:GT27,GT29:GT34,GT36:GT38)</f>
        <v>787.00000000000193</v>
      </c>
      <c r="GM51" s="104">
        <f>GK47*0.15</f>
        <v>3.5999999999999996</v>
      </c>
      <c r="GN51" s="31">
        <f>SUM(GO51+GP51/60)</f>
        <v>3.3833333333333342</v>
      </c>
      <c r="GO51" s="32">
        <f>SUM(GS14,GS21,GS28,GS35)</f>
        <v>3</v>
      </c>
      <c r="GP51" s="32">
        <f>SUM(GT14,GT21,GT28,GT35)</f>
        <v>23.000000000000043</v>
      </c>
      <c r="GQ51" s="143"/>
      <c r="GR51" s="48">
        <f>(GS51+GT51/60)</f>
        <v>0</v>
      </c>
      <c r="GS51" s="49">
        <f>SUM(GS9)</f>
        <v>0</v>
      </c>
      <c r="GT51" s="68">
        <f>SUM(GT9)</f>
        <v>0</v>
      </c>
      <c r="GU51" s="67"/>
      <c r="GW51" s="144">
        <f>SUM(GY51+GZ51/60)</f>
        <v>106.5833333333334</v>
      </c>
      <c r="GX51" s="145"/>
      <c r="GY51" s="30">
        <f>SUM(HG10:HG13,HG15:HG20,HG22:HG27,HG29:HG34,HG36:HG38)</f>
        <v>94</v>
      </c>
      <c r="GZ51" s="30">
        <f>SUM(HH10:HH13,HH15:HH20,HH22:HH27,HH29:HH34,HH36:HH38)</f>
        <v>755.00000000000409</v>
      </c>
      <c r="HA51" s="104">
        <f>GY47*0.15</f>
        <v>3.75</v>
      </c>
      <c r="HB51" s="31">
        <f>SUM(HC51+HD51/60)</f>
        <v>4.5666666666666664</v>
      </c>
      <c r="HC51" s="32">
        <f>SUM(HG14,HG21,HG28,HG35)</f>
        <v>4</v>
      </c>
      <c r="HD51" s="32">
        <f>SUM(HH14,HH21,HH28,HH35)</f>
        <v>33.999999999999986</v>
      </c>
      <c r="HE51" s="143"/>
      <c r="HF51" s="48">
        <f>(HG51+HH51/60)</f>
        <v>2.6666666666666643</v>
      </c>
      <c r="HG51" s="49">
        <f>SUM(HG9)</f>
        <v>2</v>
      </c>
      <c r="HH51" s="68">
        <f>SUM(HH9)</f>
        <v>39.999999999999858</v>
      </c>
      <c r="HI51" s="67"/>
      <c r="HJ51" s="144">
        <f>SUM(HL51+HM51/60)</f>
        <v>127.3666666666667</v>
      </c>
      <c r="HK51" s="145"/>
      <c r="HL51" s="30">
        <f>SUM(HT10:HT13,HT15:HT20,HT22:HT27,HT29:HT34,HT36:HT38)</f>
        <v>116</v>
      </c>
      <c r="HM51" s="30">
        <f>SUM(HU10:HU13,HU15:HU20,HU22:HU27,HU29:HU34,HU36:HU38)</f>
        <v>682.00000000000227</v>
      </c>
      <c r="HN51" s="104">
        <f>HL47*0.15</f>
        <v>3.75</v>
      </c>
      <c r="HO51" s="31">
        <f>SUM(HP51+HQ51/60)</f>
        <v>0</v>
      </c>
      <c r="HP51" s="32">
        <f>SUM(HT14,HT21,HT28,HT35)</f>
        <v>0</v>
      </c>
      <c r="HQ51" s="32">
        <f>SUM(HU14,HU21,HU28,HU35)</f>
        <v>0</v>
      </c>
      <c r="HR51" s="143"/>
      <c r="HS51" s="48">
        <f>(HT51+HU51/60)</f>
        <v>0</v>
      </c>
      <c r="HT51" s="49">
        <f>SUM(HT9)</f>
        <v>0</v>
      </c>
      <c r="HU51" s="68">
        <f>SUM(HU9)</f>
        <v>0</v>
      </c>
      <c r="HV51" s="67"/>
      <c r="HX51" s="144">
        <f>SUM(HZ51+IA51/60)</f>
        <v>0</v>
      </c>
      <c r="HY51" s="145"/>
      <c r="HZ51" s="30">
        <f>SUM(IH11:IH16,IH18:IH23,IH25:IH30,IH32:IH37,IH39)</f>
        <v>0</v>
      </c>
      <c r="IA51" s="30">
        <f>SUM(II11:II16,II18:II23,II25:II30,II32:II37,II39)</f>
        <v>0</v>
      </c>
      <c r="IB51" s="104">
        <f>HZ47*0.25</f>
        <v>0</v>
      </c>
      <c r="IC51" s="31">
        <f>SUM(ID51+IE51/60)</f>
        <v>0</v>
      </c>
      <c r="ID51" s="32">
        <f>SUM(IH10,IH17,IH24,IH31,IH38)</f>
        <v>0</v>
      </c>
      <c r="IE51" s="32">
        <f>SUM(II10,II17,II24,II31,II38)</f>
        <v>0</v>
      </c>
      <c r="IF51" s="143"/>
      <c r="IG51" s="48">
        <f>(IH51+II51/60)</f>
        <v>0</v>
      </c>
      <c r="IH51" s="49">
        <f>SUM(IH9)</f>
        <v>0</v>
      </c>
      <c r="II51" s="68">
        <f>SUM(II9)</f>
        <v>0</v>
      </c>
      <c r="IJ51" s="67"/>
      <c r="IK51" s="144">
        <f>SUM(IM51+IN51/60)</f>
        <v>122.73333333333333</v>
      </c>
      <c r="IL51" s="145"/>
      <c r="IM51" s="30">
        <f>SUM(IU10:IU13,IU15:IU20,IU22:IU27,IU29:IU34,IU36:IU38)</f>
        <v>108</v>
      </c>
      <c r="IN51" s="30">
        <f>SUM(IV10:IV13,IV15:IV20,IV22:IV27,IV29:IV34,IV36:IV38)</f>
        <v>883.99999999999977</v>
      </c>
      <c r="IO51" s="104">
        <f>IM47*0.15</f>
        <v>3.75</v>
      </c>
      <c r="IP51" s="31">
        <f>SUM(IQ51+IR51/60)</f>
        <v>0</v>
      </c>
      <c r="IQ51" s="32">
        <f>SUM(IU14,IU21,IU28,IU35)</f>
        <v>0</v>
      </c>
      <c r="IR51" s="32">
        <f>SUM(IV14,IV21,IV28,IV35)</f>
        <v>0</v>
      </c>
      <c r="IS51" s="143"/>
      <c r="IT51" s="48">
        <f>(IU51+IV51/60)</f>
        <v>0</v>
      </c>
      <c r="IU51" s="49">
        <f>SUM(IU9)</f>
        <v>0</v>
      </c>
      <c r="IV51" s="68">
        <f>SUM(IV9)</f>
        <v>0</v>
      </c>
      <c r="IW51" s="67"/>
      <c r="IY51" s="144">
        <f>SUM(JA51+JB51/60)</f>
        <v>131.8666666666667</v>
      </c>
      <c r="IZ51" s="145"/>
      <c r="JA51" s="30">
        <f>SUM(JI10:JI13,JI15:JI20,JI22:JI27,JI29:JI34,JI36:JI38)</f>
        <v>119</v>
      </c>
      <c r="JB51" s="30">
        <f>SUM(JJ10:JJ13,JJ15:JJ20,JJ22:JJ27,JJ29:JJ34,JJ36:JJ38)</f>
        <v>772.00000000000136</v>
      </c>
      <c r="JC51" s="104">
        <f>JA47*0.15</f>
        <v>3.75</v>
      </c>
      <c r="JD51" s="31">
        <f>SUM(JE51+JF51/60)</f>
        <v>10.65</v>
      </c>
      <c r="JE51" s="32">
        <f>SUM(JI14,JI21,JI28,JI35)</f>
        <v>10</v>
      </c>
      <c r="JF51" s="32">
        <f>SUM(JJ14,JJ21,JJ28,JJ35)</f>
        <v>39.000000000000057</v>
      </c>
      <c r="JG51" s="143"/>
      <c r="JH51" s="48">
        <f>(JI51+JJ51/60)</f>
        <v>0</v>
      </c>
      <c r="JI51" s="49">
        <f>SUM(JI9)</f>
        <v>0</v>
      </c>
      <c r="JJ51" s="68">
        <f>SUM(JJ9)</f>
        <v>0</v>
      </c>
      <c r="JK51" s="67"/>
      <c r="JL51" s="144">
        <f>SUM(JN51+JO51/60)</f>
        <v>87.483333333333363</v>
      </c>
      <c r="JM51" s="145"/>
      <c r="JN51" s="30">
        <f>SUM(JV10:JV13,JV15:JV20,JV22:JV27,JV29:JV34,JV36:JV38)</f>
        <v>76</v>
      </c>
      <c r="JO51" s="30">
        <f>SUM(JW10:JW13,JW15:JW20,JW22:JW27,JW29:JW34,JW36:JW38)</f>
        <v>689.00000000000159</v>
      </c>
      <c r="JP51" s="104">
        <f>JN47*0.15</f>
        <v>3.5999999999999996</v>
      </c>
      <c r="JQ51" s="31">
        <f>SUM(JR51+JS51/60)</f>
        <v>0</v>
      </c>
      <c r="JR51" s="32">
        <f>SUM(JV14,JV21,JV28,JV35)</f>
        <v>0</v>
      </c>
      <c r="JS51" s="32">
        <f>SUM(JW14,JW21,JW28,JW35)</f>
        <v>0</v>
      </c>
      <c r="JT51" s="143"/>
      <c r="JU51" s="48">
        <f>(JV51+JW51/60)</f>
        <v>0</v>
      </c>
      <c r="JV51" s="49">
        <f>SUM(JV9)</f>
        <v>0</v>
      </c>
      <c r="JW51" s="68">
        <f>SUM(JW9)</f>
        <v>0</v>
      </c>
      <c r="JX51" s="67"/>
      <c r="JZ51" s="144">
        <f>SUM(KB51+KC51/60)</f>
        <v>123.33333333333337</v>
      </c>
      <c r="KA51" s="145"/>
      <c r="KB51" s="30">
        <f>SUM(KJ10:KJ13,KJ15:KJ20,KJ22:KJ27,KJ29:KJ34,KJ36:KJ38)</f>
        <v>111</v>
      </c>
      <c r="KC51" s="30">
        <f>SUM(KK10:KK13,KK15:KK20,KK22:KK27,KK29:KK34,KK36:KK38)</f>
        <v>740.00000000000261</v>
      </c>
      <c r="KD51" s="104">
        <f>KB47*0.15</f>
        <v>3.75</v>
      </c>
      <c r="KE51" s="31">
        <f>SUM(KF51+KG51/60)</f>
        <v>0</v>
      </c>
      <c r="KF51" s="32">
        <f>SUM(KJ14,KJ21,KJ28,KJ35)</f>
        <v>0</v>
      </c>
      <c r="KG51" s="32">
        <f>SUM(KK14,KK21,KK28,KK35)</f>
        <v>0</v>
      </c>
      <c r="KH51" s="143"/>
      <c r="KI51" s="48">
        <f>(KJ51+KK51/60)</f>
        <v>0</v>
      </c>
      <c r="KJ51" s="49">
        <f>SUM(KJ9)</f>
        <v>0</v>
      </c>
      <c r="KK51" s="68">
        <f>SUM(KK9)</f>
        <v>0</v>
      </c>
      <c r="KL51" s="67"/>
    </row>
    <row r="53" spans="1:298" x14ac:dyDescent="0.35">
      <c r="A53" t="s">
        <v>24</v>
      </c>
      <c r="C53" s="20" t="str">
        <f>+C2</f>
        <v>MIA MOHAMMAD UZZAL</v>
      </c>
      <c r="E53" s="101"/>
      <c r="F53" s="101"/>
      <c r="O53" t="s">
        <v>24</v>
      </c>
      <c r="Q53" s="20" t="str">
        <f>+Q2</f>
        <v>ISLAM SAFIQUL</v>
      </c>
      <c r="S53" s="101"/>
      <c r="T53" s="101"/>
      <c r="AB53" t="s">
        <v>24</v>
      </c>
      <c r="AD53" s="20" t="str">
        <f>+AD2</f>
        <v>PARVES MD</v>
      </c>
      <c r="AF53" s="101"/>
      <c r="AG53" s="101"/>
      <c r="AP53" t="s">
        <v>24</v>
      </c>
      <c r="AR53" s="20" t="str">
        <f>+AR2</f>
        <v>JAMAN MD</v>
      </c>
      <c r="AT53" s="101"/>
      <c r="AU53" s="101"/>
      <c r="BC53" t="s">
        <v>24</v>
      </c>
      <c r="BE53" s="20" t="str">
        <f>+BE2</f>
        <v>SHOHEL</v>
      </c>
      <c r="BG53" s="101"/>
      <c r="BH53" s="101"/>
      <c r="BQ53" t="s">
        <v>24</v>
      </c>
      <c r="BS53" s="20" t="str">
        <f>+BS2</f>
        <v>HOSSEN AMIR</v>
      </c>
      <c r="BU53" s="101"/>
      <c r="BV53" s="101"/>
      <c r="CE53" t="s">
        <v>24</v>
      </c>
      <c r="CG53" s="20" t="str">
        <f>+CG2</f>
        <v>RASHID HARUN OR</v>
      </c>
      <c r="CI53" s="101"/>
      <c r="CJ53" s="101"/>
      <c r="CR53" t="s">
        <v>24</v>
      </c>
      <c r="CT53" s="20" t="str">
        <f>+CT2</f>
        <v>HASAN MD MEHEDI</v>
      </c>
      <c r="CV53" s="101"/>
      <c r="CW53" s="101"/>
      <c r="DF53" t="s">
        <v>24</v>
      </c>
      <c r="DH53" s="20" t="str">
        <f>+DH2</f>
        <v>PARVES MASUD</v>
      </c>
      <c r="DJ53" s="101"/>
      <c r="DK53" s="101"/>
      <c r="DT53" t="s">
        <v>24</v>
      </c>
      <c r="DV53" s="20" t="str">
        <f>+DV2</f>
        <v>RANA MD MASUD</v>
      </c>
      <c r="DX53" s="101"/>
      <c r="DY53" s="101"/>
      <c r="EG53" t="s">
        <v>24</v>
      </c>
      <c r="EI53" s="20" t="str">
        <f>+EI2</f>
        <v>HASSAN MD AKRAMUL</v>
      </c>
      <c r="EK53" s="101"/>
      <c r="EL53" s="101"/>
      <c r="EU53" t="s">
        <v>24</v>
      </c>
      <c r="EW53" s="20" t="str">
        <f>+EW2</f>
        <v>KARIM SAJEDUL</v>
      </c>
      <c r="EY53" s="101"/>
      <c r="EZ53" s="101"/>
      <c r="FH53" t="s">
        <v>24</v>
      </c>
      <c r="FJ53" s="20" t="str">
        <f>+FJ2</f>
        <v>ISLAM MINARUL</v>
      </c>
      <c r="FL53" s="101"/>
      <c r="FM53" s="101"/>
      <c r="FV53" t="s">
        <v>24</v>
      </c>
      <c r="FX53" s="20" t="str">
        <f>+FX2</f>
        <v>MIAH MD RONI</v>
      </c>
      <c r="FZ53" s="101"/>
      <c r="GA53" s="101"/>
      <c r="GI53" t="s">
        <v>24</v>
      </c>
      <c r="GK53" s="20" t="str">
        <f>+GK2</f>
        <v>TUN TUN NAING</v>
      </c>
      <c r="GM53" s="101"/>
      <c r="GN53" s="101"/>
      <c r="GW53" t="s">
        <v>24</v>
      </c>
      <c r="GY53" s="20" t="str">
        <f>+GY2</f>
        <v>AUNG ZAW HEIN</v>
      </c>
      <c r="HA53" s="101"/>
      <c r="HB53" s="101"/>
      <c r="HJ53" t="s">
        <v>24</v>
      </c>
      <c r="HL53" s="20" t="str">
        <f>+HL2</f>
        <v>KHIN THAN MAUNG</v>
      </c>
      <c r="HN53" s="101"/>
      <c r="HO53" s="101"/>
      <c r="HX53" t="s">
        <v>24</v>
      </c>
      <c r="HZ53" s="20" t="str">
        <f>+HZ2</f>
        <v>RITESH</v>
      </c>
      <c r="IB53" s="101"/>
      <c r="IC53" s="101"/>
      <c r="IK53" t="s">
        <v>24</v>
      </c>
      <c r="IM53" s="20" t="str">
        <f>+IM2</f>
        <v>NAGENDRA</v>
      </c>
      <c r="IO53" s="101"/>
      <c r="IP53" s="101"/>
      <c r="IY53" t="s">
        <v>24</v>
      </c>
      <c r="JA53" s="20" t="str">
        <f>+JA2</f>
        <v>YADAV RAM KRIPAL</v>
      </c>
      <c r="JC53" s="101"/>
      <c r="JD53" s="101"/>
      <c r="JL53" t="s">
        <v>24</v>
      </c>
      <c r="JN53" s="20" t="str">
        <f>+JN2</f>
        <v>YADAV PRAMOD KUMAR</v>
      </c>
      <c r="JP53" s="101"/>
      <c r="JQ53" s="101"/>
      <c r="JZ53" t="s">
        <v>24</v>
      </c>
      <c r="KB53" s="20" t="str">
        <f>+KB2</f>
        <v>YADAV ANUP LAL</v>
      </c>
      <c r="KD53" s="101"/>
      <c r="KE53" s="101"/>
    </row>
    <row r="54" spans="1:298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25</v>
      </c>
      <c r="AE54" s="13" t="s">
        <v>30</v>
      </c>
      <c r="AF54">
        <v>65.38</v>
      </c>
      <c r="AG54" t="s">
        <v>30</v>
      </c>
      <c r="AH54">
        <f>SUM(AD54*AF54)</f>
        <v>1634.5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C54" t="s">
        <v>25</v>
      </c>
      <c r="BE54" s="10">
        <f>+BE5</f>
        <v>0</v>
      </c>
      <c r="BF54" s="13" t="s">
        <v>30</v>
      </c>
      <c r="BG54">
        <v>65.38</v>
      </c>
      <c r="BH54" t="s">
        <v>30</v>
      </c>
      <c r="BI54">
        <f>SUM(BE54*BG54)</f>
        <v>0</v>
      </c>
      <c r="BQ54" t="s">
        <v>25</v>
      </c>
      <c r="BS54" s="10">
        <f>+BS5</f>
        <v>25</v>
      </c>
      <c r="BT54" s="13" t="s">
        <v>30</v>
      </c>
      <c r="BU54">
        <v>65.38</v>
      </c>
      <c r="BV54" t="s">
        <v>30</v>
      </c>
      <c r="BW54">
        <f>SUM(BS54*BU54)</f>
        <v>1634.5</v>
      </c>
      <c r="CE54" t="s">
        <v>25</v>
      </c>
      <c r="CG54" s="10">
        <f>+CG5</f>
        <v>24</v>
      </c>
      <c r="CH54" s="13" t="s">
        <v>30</v>
      </c>
      <c r="CI54">
        <v>65.38</v>
      </c>
      <c r="CJ54" t="s">
        <v>30</v>
      </c>
      <c r="CK54">
        <f>SUM(CG54*CI54)</f>
        <v>1569.12</v>
      </c>
      <c r="CR54" t="s">
        <v>25</v>
      </c>
      <c r="CT54" s="10">
        <f>+CT5</f>
        <v>25</v>
      </c>
      <c r="CU54" s="13" t="s">
        <v>30</v>
      </c>
      <c r="CV54">
        <v>65.38</v>
      </c>
      <c r="CW54" t="s">
        <v>30</v>
      </c>
      <c r="CX54">
        <f>SUM(CT54*CV54)</f>
        <v>1634.5</v>
      </c>
      <c r="DF54" t="s">
        <v>25</v>
      </c>
      <c r="DH54" s="10">
        <f>+DH5</f>
        <v>24</v>
      </c>
      <c r="DI54" s="13" t="s">
        <v>30</v>
      </c>
      <c r="DJ54">
        <v>65.38</v>
      </c>
      <c r="DK54" t="s">
        <v>30</v>
      </c>
      <c r="DL54">
        <f>SUM(DH54*DJ54)</f>
        <v>1569.12</v>
      </c>
      <c r="DT54" t="s">
        <v>25</v>
      </c>
      <c r="DV54" s="10">
        <f>+DV5</f>
        <v>23</v>
      </c>
      <c r="DW54" s="13" t="s">
        <v>30</v>
      </c>
      <c r="DX54">
        <v>65.38</v>
      </c>
      <c r="DY54" t="s">
        <v>30</v>
      </c>
      <c r="DZ54">
        <f>SUM(DV54*DX54)</f>
        <v>1503.7399999999998</v>
      </c>
      <c r="EG54" t="s">
        <v>25</v>
      </c>
      <c r="EI54" s="10">
        <f>+EI5</f>
        <v>25</v>
      </c>
      <c r="EJ54" s="13" t="s">
        <v>30</v>
      </c>
      <c r="EK54">
        <v>65.38</v>
      </c>
      <c r="EL54" t="s">
        <v>30</v>
      </c>
      <c r="EM54">
        <f>SUM(EI54*EK54)</f>
        <v>1634.5</v>
      </c>
      <c r="EU54" t="s">
        <v>25</v>
      </c>
      <c r="EW54" s="10">
        <f>+EW5</f>
        <v>25</v>
      </c>
      <c r="EX54" s="13" t="s">
        <v>30</v>
      </c>
      <c r="EY54">
        <v>65.38</v>
      </c>
      <c r="EZ54" t="s">
        <v>30</v>
      </c>
      <c r="FA54">
        <f>SUM(EW54*EY54)</f>
        <v>1634.5</v>
      </c>
      <c r="FH54" t="s">
        <v>25</v>
      </c>
      <c r="FJ54" s="10">
        <f>+FJ5</f>
        <v>24</v>
      </c>
      <c r="FK54" s="13" t="s">
        <v>30</v>
      </c>
      <c r="FL54">
        <v>65.38</v>
      </c>
      <c r="FM54" t="s">
        <v>30</v>
      </c>
      <c r="FN54">
        <f>SUM(FJ54*FL54)</f>
        <v>1569.12</v>
      </c>
      <c r="FV54" t="s">
        <v>25</v>
      </c>
      <c r="FX54" s="10">
        <f>+FX5</f>
        <v>24</v>
      </c>
      <c r="FY54" s="13" t="s">
        <v>30</v>
      </c>
      <c r="FZ54">
        <v>65.38</v>
      </c>
      <c r="GA54" t="s">
        <v>30</v>
      </c>
      <c r="GB54">
        <f>SUM(FX54*FZ54)</f>
        <v>1569.12</v>
      </c>
      <c r="GI54" t="s">
        <v>25</v>
      </c>
      <c r="GK54" s="10">
        <f>+GK5</f>
        <v>24</v>
      </c>
      <c r="GL54" s="13" t="s">
        <v>30</v>
      </c>
      <c r="GM54">
        <v>65.38</v>
      </c>
      <c r="GN54" t="s">
        <v>30</v>
      </c>
      <c r="GO54">
        <f>SUM(GK54*GM54)</f>
        <v>1569.12</v>
      </c>
      <c r="GW54" t="s">
        <v>25</v>
      </c>
      <c r="GY54" s="10">
        <f>+GY5</f>
        <v>25</v>
      </c>
      <c r="GZ54" s="13" t="s">
        <v>30</v>
      </c>
      <c r="HA54">
        <v>65.38</v>
      </c>
      <c r="HB54" t="s">
        <v>30</v>
      </c>
      <c r="HC54">
        <f>SUM(GY54*HA54)</f>
        <v>1634.5</v>
      </c>
      <c r="HJ54" t="s">
        <v>25</v>
      </c>
      <c r="HL54" s="10">
        <f>+HL5</f>
        <v>25</v>
      </c>
      <c r="HM54" s="13" t="s">
        <v>30</v>
      </c>
      <c r="HN54">
        <v>65.38</v>
      </c>
      <c r="HO54" t="s">
        <v>30</v>
      </c>
      <c r="HP54">
        <f>SUM(HL54*HN54)</f>
        <v>1634.5</v>
      </c>
      <c r="HX54" t="s">
        <v>25</v>
      </c>
      <c r="HZ54" s="10">
        <f>+HZ5</f>
        <v>0</v>
      </c>
      <c r="IA54" s="13" t="s">
        <v>30</v>
      </c>
      <c r="IB54">
        <v>65.38</v>
      </c>
      <c r="IC54" t="s">
        <v>30</v>
      </c>
      <c r="ID54">
        <f>SUM(HZ54*IB54)</f>
        <v>0</v>
      </c>
      <c r="IK54" t="s">
        <v>25</v>
      </c>
      <c r="IM54" s="10">
        <f>+IM5</f>
        <v>25</v>
      </c>
      <c r="IN54" s="13" t="s">
        <v>30</v>
      </c>
      <c r="IO54">
        <v>65.38</v>
      </c>
      <c r="IP54" t="s">
        <v>30</v>
      </c>
      <c r="IQ54">
        <f>SUM(IM54*IO54)</f>
        <v>1634.5</v>
      </c>
      <c r="IY54" t="s">
        <v>25</v>
      </c>
      <c r="JA54" s="10">
        <f>+JA5</f>
        <v>25</v>
      </c>
      <c r="JB54" s="13" t="s">
        <v>30</v>
      </c>
      <c r="JC54">
        <v>65.38</v>
      </c>
      <c r="JD54" t="s">
        <v>30</v>
      </c>
      <c r="JE54">
        <f>SUM(JA54*JC54)</f>
        <v>1634.5</v>
      </c>
      <c r="JL54" t="s">
        <v>25</v>
      </c>
      <c r="JN54" s="10">
        <f>+JN5</f>
        <v>24</v>
      </c>
      <c r="JO54" s="13" t="s">
        <v>30</v>
      </c>
      <c r="JP54">
        <v>65.38</v>
      </c>
      <c r="JQ54" t="s">
        <v>30</v>
      </c>
      <c r="JR54">
        <f>SUM(JN54*JP54)</f>
        <v>1569.12</v>
      </c>
      <c r="JZ54" t="s">
        <v>25</v>
      </c>
      <c r="KB54" s="10">
        <f>+KB5</f>
        <v>25</v>
      </c>
      <c r="KC54" s="13" t="s">
        <v>30</v>
      </c>
      <c r="KD54">
        <v>65.38</v>
      </c>
      <c r="KE54" t="s">
        <v>30</v>
      </c>
      <c r="KF54">
        <f>SUM(KB54*KD54)</f>
        <v>1634.5</v>
      </c>
    </row>
    <row r="55" spans="1:298" x14ac:dyDescent="0.35">
      <c r="A55" t="s">
        <v>26</v>
      </c>
      <c r="C55" s="11">
        <f>+C6</f>
        <v>117</v>
      </c>
      <c r="D55" s="13" t="s">
        <v>30</v>
      </c>
      <c r="E55">
        <v>13.08</v>
      </c>
      <c r="F55" t="s">
        <v>30</v>
      </c>
      <c r="G55">
        <f>SUM(C55*E55)</f>
        <v>1530.36</v>
      </c>
      <c r="O55" t="s">
        <v>26</v>
      </c>
      <c r="Q55" s="11">
        <f>+Q6</f>
        <v>124.69999999999999</v>
      </c>
      <c r="R55" s="13" t="s">
        <v>30</v>
      </c>
      <c r="S55">
        <v>13.08</v>
      </c>
      <c r="T55" t="s">
        <v>30</v>
      </c>
      <c r="U55">
        <f>SUM(Q55*S55)</f>
        <v>1631.0759999999998</v>
      </c>
      <c r="AB55" t="s">
        <v>26</v>
      </c>
      <c r="AD55" s="11">
        <f>+AD6</f>
        <v>85.016666666666694</v>
      </c>
      <c r="AE55" s="13" t="s">
        <v>30</v>
      </c>
      <c r="AF55">
        <v>13.08</v>
      </c>
      <c r="AG55" t="s">
        <v>30</v>
      </c>
      <c r="AH55">
        <f>SUM(AD55*AF55)</f>
        <v>1112.0180000000003</v>
      </c>
      <c r="AP55" t="s">
        <v>26</v>
      </c>
      <c r="AR55" s="11">
        <f>+AR6</f>
        <v>121.01666666666669</v>
      </c>
      <c r="AS55" s="13" t="s">
        <v>30</v>
      </c>
      <c r="AT55">
        <v>13.08</v>
      </c>
      <c r="AU55" t="s">
        <v>30</v>
      </c>
      <c r="AV55">
        <f>SUM(AR55*AT55)</f>
        <v>1582.8980000000004</v>
      </c>
      <c r="BC55" t="s">
        <v>26</v>
      </c>
      <c r="BE55" s="11">
        <f>+BE6</f>
        <v>0</v>
      </c>
      <c r="BF55" s="13" t="s">
        <v>30</v>
      </c>
      <c r="BG55">
        <v>13.08</v>
      </c>
      <c r="BH55" t="s">
        <v>30</v>
      </c>
      <c r="BI55">
        <f>SUM(BE55*BG55)</f>
        <v>0</v>
      </c>
      <c r="BQ55" t="s">
        <v>26</v>
      </c>
      <c r="BS55" s="11">
        <f>+BS6</f>
        <v>126.70000000000002</v>
      </c>
      <c r="BT55" s="13" t="s">
        <v>30</v>
      </c>
      <c r="BU55">
        <v>13.08</v>
      </c>
      <c r="BV55" t="s">
        <v>30</v>
      </c>
      <c r="BW55">
        <f>SUM(BS55*BU55)</f>
        <v>1657.2360000000003</v>
      </c>
      <c r="CE55" t="s">
        <v>26</v>
      </c>
      <c r="CG55" s="11">
        <f>+CG6</f>
        <v>105.46666666666667</v>
      </c>
      <c r="CH55" s="13" t="s">
        <v>30</v>
      </c>
      <c r="CI55">
        <v>13.08</v>
      </c>
      <c r="CJ55" t="s">
        <v>30</v>
      </c>
      <c r="CK55">
        <f>SUM(CG55*CI55)</f>
        <v>1379.5040000000001</v>
      </c>
      <c r="CR55" t="s">
        <v>26</v>
      </c>
      <c r="CT55" s="11">
        <f>+CT6</f>
        <v>123.45</v>
      </c>
      <c r="CU55" s="13" t="s">
        <v>30</v>
      </c>
      <c r="CV55">
        <v>13.08</v>
      </c>
      <c r="CW55" t="s">
        <v>30</v>
      </c>
      <c r="CX55">
        <f>SUM(CT55*CV55)</f>
        <v>1614.7260000000001</v>
      </c>
      <c r="DF55" t="s">
        <v>26</v>
      </c>
      <c r="DH55" s="11">
        <f>+DH6</f>
        <v>91.350000000000023</v>
      </c>
      <c r="DI55" s="13" t="s">
        <v>30</v>
      </c>
      <c r="DJ55">
        <v>13.08</v>
      </c>
      <c r="DK55" t="s">
        <v>30</v>
      </c>
      <c r="DL55">
        <f>SUM(DH55*DJ55)</f>
        <v>1194.8580000000004</v>
      </c>
      <c r="DT55" t="s">
        <v>26</v>
      </c>
      <c r="DV55" s="11">
        <f>+DV6</f>
        <v>94.166666666666671</v>
      </c>
      <c r="DW55" s="13" t="s">
        <v>30</v>
      </c>
      <c r="DX55">
        <v>13.08</v>
      </c>
      <c r="DY55" t="s">
        <v>30</v>
      </c>
      <c r="DZ55">
        <f>SUM(DV55*DX55)</f>
        <v>1231.7</v>
      </c>
      <c r="EG55" t="s">
        <v>26</v>
      </c>
      <c r="EI55" s="11">
        <f>+EI6</f>
        <v>115.88333333333338</v>
      </c>
      <c r="EJ55" s="13" t="s">
        <v>30</v>
      </c>
      <c r="EK55">
        <v>13.08</v>
      </c>
      <c r="EL55" t="s">
        <v>30</v>
      </c>
      <c r="EM55">
        <f>SUM(EI55*EK55)</f>
        <v>1515.7540000000006</v>
      </c>
      <c r="EU55" t="s">
        <v>26</v>
      </c>
      <c r="EW55" s="11">
        <f>+EW6</f>
        <v>124.38333333333335</v>
      </c>
      <c r="EX55" s="13" t="s">
        <v>30</v>
      </c>
      <c r="EY55">
        <v>13.08</v>
      </c>
      <c r="EZ55" t="s">
        <v>30</v>
      </c>
      <c r="FA55">
        <f>SUM(EW55*EY55)</f>
        <v>1626.9340000000002</v>
      </c>
      <c r="FH55" t="s">
        <v>26</v>
      </c>
      <c r="FJ55" s="11">
        <f>+FJ6</f>
        <v>108.38333333333335</v>
      </c>
      <c r="FK55" s="13" t="s">
        <v>30</v>
      </c>
      <c r="FL55">
        <v>13.08</v>
      </c>
      <c r="FM55" t="s">
        <v>30</v>
      </c>
      <c r="FN55">
        <f>SUM(FJ55*FL55)</f>
        <v>1417.6540000000002</v>
      </c>
      <c r="FV55" t="s">
        <v>26</v>
      </c>
      <c r="FX55" s="11">
        <f>+FX6</f>
        <v>90.066666666666691</v>
      </c>
      <c r="FY55" s="13" t="s">
        <v>30</v>
      </c>
      <c r="FZ55">
        <v>13.08</v>
      </c>
      <c r="GA55" t="s">
        <v>30</v>
      </c>
      <c r="GB55">
        <f>SUM(FX55*FZ55)</f>
        <v>1178.0720000000003</v>
      </c>
      <c r="GI55" t="s">
        <v>26</v>
      </c>
      <c r="GK55" s="11">
        <f>+GK6</f>
        <v>109.51666666666671</v>
      </c>
      <c r="GL55" s="13" t="s">
        <v>30</v>
      </c>
      <c r="GM55">
        <v>13.08</v>
      </c>
      <c r="GN55" t="s">
        <v>30</v>
      </c>
      <c r="GO55">
        <f>SUM(GK55*GM55)</f>
        <v>1432.4780000000005</v>
      </c>
      <c r="GW55" t="s">
        <v>26</v>
      </c>
      <c r="GY55" s="11">
        <f>+GY6</f>
        <v>102.8333333333334</v>
      </c>
      <c r="GZ55" s="13" t="s">
        <v>30</v>
      </c>
      <c r="HA55">
        <v>13.08</v>
      </c>
      <c r="HB55" t="s">
        <v>30</v>
      </c>
      <c r="HC55">
        <f>SUM(GY55*HA55)</f>
        <v>1345.0600000000009</v>
      </c>
      <c r="HJ55" t="s">
        <v>26</v>
      </c>
      <c r="HL55" s="11">
        <f>+HL6</f>
        <v>123.6166666666667</v>
      </c>
      <c r="HM55" s="13" t="s">
        <v>30</v>
      </c>
      <c r="HN55">
        <v>13.08</v>
      </c>
      <c r="HO55" t="s">
        <v>30</v>
      </c>
      <c r="HP55">
        <f>SUM(HL55*HN55)</f>
        <v>1616.9060000000004</v>
      </c>
      <c r="HX55" t="s">
        <v>26</v>
      </c>
      <c r="HZ55" s="11">
        <f>+HZ6</f>
        <v>0</v>
      </c>
      <c r="IA55" s="13" t="s">
        <v>30</v>
      </c>
      <c r="IB55">
        <v>13.08</v>
      </c>
      <c r="IC55" t="s">
        <v>30</v>
      </c>
      <c r="ID55">
        <f>SUM(HZ55*IB55)</f>
        <v>0</v>
      </c>
      <c r="IK55" t="s">
        <v>26</v>
      </c>
      <c r="IM55" s="11">
        <f>+IM6</f>
        <v>118.98333333333333</v>
      </c>
      <c r="IN55" s="13" t="s">
        <v>30</v>
      </c>
      <c r="IO55">
        <v>13.08</v>
      </c>
      <c r="IP55" t="s">
        <v>30</v>
      </c>
      <c r="IQ55">
        <f>SUM(IM55*IO55)</f>
        <v>1556.3019999999999</v>
      </c>
      <c r="IY55" t="s">
        <v>26</v>
      </c>
      <c r="JA55" s="11">
        <f>+JA6</f>
        <v>128.1166666666667</v>
      </c>
      <c r="JB55" s="13" t="s">
        <v>30</v>
      </c>
      <c r="JC55">
        <v>13.08</v>
      </c>
      <c r="JD55" t="s">
        <v>30</v>
      </c>
      <c r="JE55">
        <f>SUM(JA55*JC55)</f>
        <v>1675.7660000000005</v>
      </c>
      <c r="JL55" t="s">
        <v>26</v>
      </c>
      <c r="JN55" s="11">
        <f>+JN6</f>
        <v>83.883333333333368</v>
      </c>
      <c r="JO55" s="13" t="s">
        <v>30</v>
      </c>
      <c r="JP55">
        <v>13.08</v>
      </c>
      <c r="JQ55" t="s">
        <v>30</v>
      </c>
      <c r="JR55">
        <f>SUM(JN55*JP55)</f>
        <v>1097.1940000000004</v>
      </c>
      <c r="JZ55" t="s">
        <v>26</v>
      </c>
      <c r="KB55" s="11">
        <f>+KB6</f>
        <v>119.58333333333337</v>
      </c>
      <c r="KC55" s="13" t="s">
        <v>30</v>
      </c>
      <c r="KD55">
        <v>13.08</v>
      </c>
      <c r="KE55" t="s">
        <v>30</v>
      </c>
      <c r="KF55">
        <f>SUM(KB55*KD55)</f>
        <v>1564.1500000000005</v>
      </c>
    </row>
    <row r="56" spans="1:298" x14ac:dyDescent="0.35">
      <c r="A56" t="s">
        <v>27</v>
      </c>
      <c r="C56" s="10">
        <f>+G5</f>
        <v>0</v>
      </c>
      <c r="D56" s="13" t="s">
        <v>30</v>
      </c>
      <c r="E56">
        <v>17.43</v>
      </c>
      <c r="F56" t="s">
        <v>30</v>
      </c>
      <c r="G56">
        <f>SUM(C56*E56)</f>
        <v>0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B56" t="s">
        <v>27</v>
      </c>
      <c r="AD56" s="10">
        <f>+AH5</f>
        <v>0</v>
      </c>
      <c r="AE56" s="13" t="s">
        <v>30</v>
      </c>
      <c r="AF56">
        <v>17.43</v>
      </c>
      <c r="AG56" t="s">
        <v>30</v>
      </c>
      <c r="AH56">
        <f>SUM(AD56*AF56)</f>
        <v>0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  <c r="BC56" t="s">
        <v>27</v>
      </c>
      <c r="BE56" s="10">
        <f>+BI5</f>
        <v>0</v>
      </c>
      <c r="BF56" s="13" t="s">
        <v>30</v>
      </c>
      <c r="BG56">
        <v>17.43</v>
      </c>
      <c r="BH56" t="s">
        <v>30</v>
      </c>
      <c r="BI56">
        <f>SUM(BE56*BG56)</f>
        <v>0</v>
      </c>
      <c r="BQ56" t="s">
        <v>27</v>
      </c>
      <c r="BS56" s="10">
        <f>+BW5</f>
        <v>0</v>
      </c>
      <c r="BT56" s="13" t="s">
        <v>30</v>
      </c>
      <c r="BU56">
        <v>17.43</v>
      </c>
      <c r="BV56" t="s">
        <v>30</v>
      </c>
      <c r="BW56">
        <f>SUM(BS56*BU56)</f>
        <v>0</v>
      </c>
      <c r="CE56" t="s">
        <v>27</v>
      </c>
      <c r="CG56" s="10">
        <f>+CK5</f>
        <v>0</v>
      </c>
      <c r="CH56" s="13" t="s">
        <v>30</v>
      </c>
      <c r="CI56">
        <v>17.43</v>
      </c>
      <c r="CJ56" t="s">
        <v>30</v>
      </c>
      <c r="CK56">
        <f>SUM(CG56*CI56)</f>
        <v>0</v>
      </c>
      <c r="CR56" t="s">
        <v>27</v>
      </c>
      <c r="CT56" s="10">
        <f>+CX5</f>
        <v>0</v>
      </c>
      <c r="CU56" s="13" t="s">
        <v>30</v>
      </c>
      <c r="CV56">
        <v>17.43</v>
      </c>
      <c r="CW56" t="s">
        <v>30</v>
      </c>
      <c r="CX56">
        <f>SUM(CT56*CV56)</f>
        <v>0</v>
      </c>
      <c r="DF56" t="s">
        <v>27</v>
      </c>
      <c r="DH56" s="10">
        <f>+DL5</f>
        <v>0</v>
      </c>
      <c r="DI56" s="13" t="s">
        <v>30</v>
      </c>
      <c r="DJ56">
        <v>17.43</v>
      </c>
      <c r="DK56" t="s">
        <v>30</v>
      </c>
      <c r="DL56">
        <f>SUM(DH56*DJ56)</f>
        <v>0</v>
      </c>
      <c r="DT56" t="s">
        <v>27</v>
      </c>
      <c r="DV56" s="10">
        <f>+DZ5</f>
        <v>0</v>
      </c>
      <c r="DW56" s="13" t="s">
        <v>30</v>
      </c>
      <c r="DX56">
        <v>17.43</v>
      </c>
      <c r="DY56" t="s">
        <v>30</v>
      </c>
      <c r="DZ56">
        <f>SUM(DV56*DX56)</f>
        <v>0</v>
      </c>
      <c r="EG56" t="s">
        <v>27</v>
      </c>
      <c r="EI56" s="10">
        <f>+EM5</f>
        <v>0</v>
      </c>
      <c r="EJ56" s="13" t="s">
        <v>30</v>
      </c>
      <c r="EK56">
        <v>17.43</v>
      </c>
      <c r="EL56" t="s">
        <v>30</v>
      </c>
      <c r="EM56">
        <f>SUM(EI56*EK56)</f>
        <v>0</v>
      </c>
      <c r="EU56" t="s">
        <v>27</v>
      </c>
      <c r="EW56" s="10">
        <f>+FA5</f>
        <v>0</v>
      </c>
      <c r="EX56" s="13" t="s">
        <v>30</v>
      </c>
      <c r="EY56">
        <v>17.43</v>
      </c>
      <c r="EZ56" t="s">
        <v>30</v>
      </c>
      <c r="FA56">
        <f>SUM(EW56*EY56)</f>
        <v>0</v>
      </c>
      <c r="FH56" t="s">
        <v>27</v>
      </c>
      <c r="FJ56" s="10">
        <f>+FN5</f>
        <v>6.9000000000000012</v>
      </c>
      <c r="FK56" s="13" t="s">
        <v>30</v>
      </c>
      <c r="FL56">
        <v>17.43</v>
      </c>
      <c r="FM56" t="s">
        <v>30</v>
      </c>
      <c r="FN56">
        <f>SUM(FJ56*FL56)</f>
        <v>120.26700000000002</v>
      </c>
      <c r="FV56" t="s">
        <v>27</v>
      </c>
      <c r="FX56" s="10">
        <f>+GB5</f>
        <v>0</v>
      </c>
      <c r="FY56" s="13" t="s">
        <v>30</v>
      </c>
      <c r="FZ56">
        <v>17.43</v>
      </c>
      <c r="GA56" t="s">
        <v>30</v>
      </c>
      <c r="GB56">
        <f>SUM(FX56*FZ56)</f>
        <v>0</v>
      </c>
      <c r="GI56" t="s">
        <v>27</v>
      </c>
      <c r="GK56" s="10">
        <f>+GO5</f>
        <v>3.3833333333333342</v>
      </c>
      <c r="GL56" s="13" t="s">
        <v>30</v>
      </c>
      <c r="GM56">
        <v>17.43</v>
      </c>
      <c r="GN56" t="s">
        <v>30</v>
      </c>
      <c r="GO56">
        <f>SUM(GK56*GM56)</f>
        <v>58.971500000000013</v>
      </c>
      <c r="GW56" t="s">
        <v>27</v>
      </c>
      <c r="GY56" s="10">
        <f>+HC5</f>
        <v>4.5666666666666664</v>
      </c>
      <c r="GZ56" s="13" t="s">
        <v>30</v>
      </c>
      <c r="HA56">
        <v>17.43</v>
      </c>
      <c r="HB56" t="s">
        <v>30</v>
      </c>
      <c r="HC56">
        <f>SUM(GY56*HA56)</f>
        <v>79.596999999999994</v>
      </c>
      <c r="HJ56" t="s">
        <v>27</v>
      </c>
      <c r="HL56" s="10">
        <f>+HP5</f>
        <v>0</v>
      </c>
      <c r="HM56" s="13" t="s">
        <v>30</v>
      </c>
      <c r="HN56">
        <v>17.43</v>
      </c>
      <c r="HO56" t="s">
        <v>30</v>
      </c>
      <c r="HP56">
        <f>SUM(HL56*HN56)</f>
        <v>0</v>
      </c>
      <c r="HX56" t="s">
        <v>27</v>
      </c>
      <c r="HZ56" s="10">
        <f>+ID5</f>
        <v>0</v>
      </c>
      <c r="IA56" s="13" t="s">
        <v>30</v>
      </c>
      <c r="IB56">
        <v>17.43</v>
      </c>
      <c r="IC56" t="s">
        <v>30</v>
      </c>
      <c r="ID56">
        <f>SUM(HZ56*IB56)</f>
        <v>0</v>
      </c>
      <c r="IK56" t="s">
        <v>27</v>
      </c>
      <c r="IM56" s="10">
        <f>+IQ5</f>
        <v>0</v>
      </c>
      <c r="IN56" s="13" t="s">
        <v>30</v>
      </c>
      <c r="IO56">
        <v>17.43</v>
      </c>
      <c r="IP56" t="s">
        <v>30</v>
      </c>
      <c r="IQ56">
        <f>SUM(IM56*IO56)</f>
        <v>0</v>
      </c>
      <c r="IY56" t="s">
        <v>27</v>
      </c>
      <c r="JA56" s="10">
        <f>+JE5</f>
        <v>10.65</v>
      </c>
      <c r="JB56" s="13" t="s">
        <v>30</v>
      </c>
      <c r="JC56">
        <v>17.43</v>
      </c>
      <c r="JD56" t="s">
        <v>30</v>
      </c>
      <c r="JE56">
        <f>SUM(JA56*JC56)</f>
        <v>185.62950000000001</v>
      </c>
      <c r="JL56" t="s">
        <v>27</v>
      </c>
      <c r="JN56" s="10">
        <f>+JR5</f>
        <v>0</v>
      </c>
      <c r="JO56" s="13" t="s">
        <v>30</v>
      </c>
      <c r="JP56">
        <v>17.43</v>
      </c>
      <c r="JQ56" t="s">
        <v>30</v>
      </c>
      <c r="JR56">
        <f>SUM(JN56*JP56)</f>
        <v>0</v>
      </c>
      <c r="JZ56" t="s">
        <v>27</v>
      </c>
      <c r="KB56" s="10">
        <f>+KF5</f>
        <v>0</v>
      </c>
      <c r="KC56" s="13" t="s">
        <v>30</v>
      </c>
      <c r="KD56">
        <v>17.43</v>
      </c>
      <c r="KE56" t="s">
        <v>30</v>
      </c>
      <c r="KF56">
        <f>SUM(KB56*KD56)</f>
        <v>0</v>
      </c>
    </row>
    <row r="57" spans="1:298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C57" t="s">
        <v>28</v>
      </c>
      <c r="BE57" s="10">
        <f>+BN5</f>
        <v>0</v>
      </c>
      <c r="BF57" s="13" t="s">
        <v>30</v>
      </c>
      <c r="BG57">
        <v>65.38</v>
      </c>
      <c r="BH57" t="s">
        <v>30</v>
      </c>
      <c r="BI57">
        <f>SUM(BE57*BG57)</f>
        <v>0</v>
      </c>
      <c r="BQ57" t="s">
        <v>28</v>
      </c>
      <c r="BS57" s="10">
        <f>+CB5</f>
        <v>1</v>
      </c>
      <c r="BT57" s="13" t="s">
        <v>30</v>
      </c>
      <c r="BU57">
        <v>65.38</v>
      </c>
      <c r="BV57" t="s">
        <v>30</v>
      </c>
      <c r="BW57">
        <f>SUM(BS57*BU57)</f>
        <v>65.38</v>
      </c>
      <c r="CE57" t="s">
        <v>28</v>
      </c>
      <c r="CG57" s="10">
        <f>+CP5</f>
        <v>1</v>
      </c>
      <c r="CH57" s="13" t="s">
        <v>30</v>
      </c>
      <c r="CI57">
        <v>65.38</v>
      </c>
      <c r="CJ57" t="s">
        <v>30</v>
      </c>
      <c r="CK57">
        <f>SUM(CG57*CI57)</f>
        <v>65.38</v>
      </c>
      <c r="CR57" t="s">
        <v>28</v>
      </c>
      <c r="CT57" s="10">
        <f>+DC5</f>
        <v>1</v>
      </c>
      <c r="CU57" s="13" t="s">
        <v>30</v>
      </c>
      <c r="CV57">
        <v>65.38</v>
      </c>
      <c r="CW57" t="s">
        <v>30</v>
      </c>
      <c r="CX57">
        <f>SUM(CT57*CV57)</f>
        <v>65.38</v>
      </c>
      <c r="DF57" t="s">
        <v>28</v>
      </c>
      <c r="DH57" s="10">
        <f>+DQ5</f>
        <v>1</v>
      </c>
      <c r="DI57" s="13" t="s">
        <v>30</v>
      </c>
      <c r="DJ57">
        <v>65.38</v>
      </c>
      <c r="DK57" t="s">
        <v>30</v>
      </c>
      <c r="DL57">
        <f>SUM(DH57*DJ57)</f>
        <v>65.38</v>
      </c>
      <c r="DT57" t="s">
        <v>28</v>
      </c>
      <c r="DV57" s="10">
        <f>+EE5</f>
        <v>1</v>
      </c>
      <c r="DW57" s="13" t="s">
        <v>30</v>
      </c>
      <c r="DX57">
        <v>65.38</v>
      </c>
      <c r="DY57" t="s">
        <v>30</v>
      </c>
      <c r="DZ57">
        <f>SUM(DV57*DX57)</f>
        <v>65.38</v>
      </c>
      <c r="EG57" t="s">
        <v>28</v>
      </c>
      <c r="EI57" s="10">
        <f>+ER5</f>
        <v>1</v>
      </c>
      <c r="EJ57" s="13" t="s">
        <v>30</v>
      </c>
      <c r="EK57">
        <v>65.38</v>
      </c>
      <c r="EL57" t="s">
        <v>30</v>
      </c>
      <c r="EM57">
        <f>SUM(EI57*EK57)</f>
        <v>65.38</v>
      </c>
      <c r="EU57" t="s">
        <v>28</v>
      </c>
      <c r="EW57" s="10">
        <f>+FF5</f>
        <v>1</v>
      </c>
      <c r="EX57" s="13" t="s">
        <v>30</v>
      </c>
      <c r="EY57">
        <v>65.38</v>
      </c>
      <c r="EZ57" t="s">
        <v>30</v>
      </c>
      <c r="FA57">
        <f>SUM(EW57*EY57)</f>
        <v>65.38</v>
      </c>
      <c r="FH57" t="s">
        <v>28</v>
      </c>
      <c r="FJ57" s="10">
        <f>+FS5</f>
        <v>1</v>
      </c>
      <c r="FK57" s="13" t="s">
        <v>30</v>
      </c>
      <c r="FL57">
        <v>65.38</v>
      </c>
      <c r="FM57" t="s">
        <v>30</v>
      </c>
      <c r="FN57">
        <f>SUM(FJ57*FL57)</f>
        <v>65.38</v>
      </c>
      <c r="FV57" t="s">
        <v>28</v>
      </c>
      <c r="FX57" s="10">
        <f>+GG5</f>
        <v>1</v>
      </c>
      <c r="FY57" s="13" t="s">
        <v>30</v>
      </c>
      <c r="FZ57">
        <v>65.38</v>
      </c>
      <c r="GA57" t="s">
        <v>30</v>
      </c>
      <c r="GB57">
        <f>SUM(FX57*FZ57)</f>
        <v>65.38</v>
      </c>
      <c r="GI57" t="s">
        <v>28</v>
      </c>
      <c r="GK57" s="10">
        <f>+GT5</f>
        <v>1</v>
      </c>
      <c r="GL57" s="13" t="s">
        <v>30</v>
      </c>
      <c r="GM57">
        <v>65.38</v>
      </c>
      <c r="GN57" t="s">
        <v>30</v>
      </c>
      <c r="GO57">
        <f>SUM(GK57*GM57)</f>
        <v>65.38</v>
      </c>
      <c r="GW57" t="s">
        <v>28</v>
      </c>
      <c r="GY57" s="10">
        <f>+HH5</f>
        <v>1</v>
      </c>
      <c r="GZ57" s="13" t="s">
        <v>30</v>
      </c>
      <c r="HA57">
        <v>65.38</v>
      </c>
      <c r="HB57" t="s">
        <v>30</v>
      </c>
      <c r="HC57">
        <f>SUM(GY57*HA57)</f>
        <v>65.38</v>
      </c>
      <c r="HJ57" t="s">
        <v>28</v>
      </c>
      <c r="HL57" s="10">
        <f>+HU5</f>
        <v>1</v>
      </c>
      <c r="HM57" s="13" t="s">
        <v>30</v>
      </c>
      <c r="HN57">
        <v>65.38</v>
      </c>
      <c r="HO57" t="s">
        <v>30</v>
      </c>
      <c r="HP57">
        <f>SUM(HL57*HN57)</f>
        <v>65.38</v>
      </c>
      <c r="HX57" t="s">
        <v>28</v>
      </c>
      <c r="HZ57" s="10">
        <f>+II5</f>
        <v>0</v>
      </c>
      <c r="IA57" s="13" t="s">
        <v>30</v>
      </c>
      <c r="IB57">
        <v>65.38</v>
      </c>
      <c r="IC57" t="s">
        <v>30</v>
      </c>
      <c r="ID57">
        <f>SUM(HZ57*IB57)</f>
        <v>0</v>
      </c>
      <c r="IK57" t="s">
        <v>28</v>
      </c>
      <c r="IM57" s="10">
        <f>+IV5</f>
        <v>1</v>
      </c>
      <c r="IN57" s="13" t="s">
        <v>30</v>
      </c>
      <c r="IO57">
        <v>65.38</v>
      </c>
      <c r="IP57" t="s">
        <v>30</v>
      </c>
      <c r="IQ57">
        <f>SUM(IM57*IO57)</f>
        <v>65.38</v>
      </c>
      <c r="IY57" t="s">
        <v>28</v>
      </c>
      <c r="JA57" s="10">
        <f>+JJ5</f>
        <v>1</v>
      </c>
      <c r="JB57" s="13" t="s">
        <v>30</v>
      </c>
      <c r="JC57">
        <v>65.38</v>
      </c>
      <c r="JD57" t="s">
        <v>30</v>
      </c>
      <c r="JE57">
        <f>SUM(JA57*JC57)</f>
        <v>65.38</v>
      </c>
      <c r="JL57" t="s">
        <v>28</v>
      </c>
      <c r="JN57" s="10">
        <f>+JW5</f>
        <v>1</v>
      </c>
      <c r="JO57" s="13" t="s">
        <v>30</v>
      </c>
      <c r="JP57">
        <v>65.38</v>
      </c>
      <c r="JQ57" t="s">
        <v>30</v>
      </c>
      <c r="JR57">
        <f>SUM(JN57*JP57)</f>
        <v>65.38</v>
      </c>
      <c r="JZ57" t="s">
        <v>28</v>
      </c>
      <c r="KB57" s="10">
        <f>+KK5</f>
        <v>1</v>
      </c>
      <c r="KC57" s="13" t="s">
        <v>30</v>
      </c>
      <c r="KD57">
        <v>65.38</v>
      </c>
      <c r="KE57" t="s">
        <v>30</v>
      </c>
      <c r="KF57">
        <f>SUM(KB57*KD57)</f>
        <v>65.38</v>
      </c>
    </row>
    <row r="58" spans="1:298" x14ac:dyDescent="0.35">
      <c r="A58" t="s">
        <v>29</v>
      </c>
      <c r="C58" s="10">
        <f>+L6</f>
        <v>0</v>
      </c>
      <c r="D58" s="13" t="s">
        <v>30</v>
      </c>
      <c r="E58">
        <v>17.43</v>
      </c>
      <c r="F58" t="s">
        <v>30</v>
      </c>
      <c r="G58">
        <f>SUM(C58*E58)</f>
        <v>0</v>
      </c>
      <c r="O58" t="s">
        <v>29</v>
      </c>
      <c r="Q58" s="10">
        <f>+Z6</f>
        <v>0</v>
      </c>
      <c r="R58" s="13" t="s">
        <v>30</v>
      </c>
      <c r="S58">
        <v>17.43</v>
      </c>
      <c r="T58" t="s">
        <v>30</v>
      </c>
      <c r="U58">
        <f>SUM(Q58*S58)</f>
        <v>0</v>
      </c>
      <c r="AB58" t="s">
        <v>29</v>
      </c>
      <c r="AD58" s="10">
        <f>+AM6</f>
        <v>4.633333333333332</v>
      </c>
      <c r="AE58" s="13" t="s">
        <v>30</v>
      </c>
      <c r="AF58">
        <v>17.43</v>
      </c>
      <c r="AG58" t="s">
        <v>30</v>
      </c>
      <c r="AH58">
        <f>SUM(AD58*AF58)</f>
        <v>80.758999999999972</v>
      </c>
      <c r="AP58" t="s">
        <v>29</v>
      </c>
      <c r="AR58" s="10">
        <f>+BA6</f>
        <v>0</v>
      </c>
      <c r="AS58" s="13" t="s">
        <v>30</v>
      </c>
      <c r="AT58">
        <v>17.43</v>
      </c>
      <c r="AU58" t="s">
        <v>30</v>
      </c>
      <c r="AV58">
        <f>SUM(AR58*AT58)</f>
        <v>0</v>
      </c>
      <c r="BC58" t="s">
        <v>29</v>
      </c>
      <c r="BE58" s="10">
        <f>+BN6</f>
        <v>0</v>
      </c>
      <c r="BF58" s="13" t="s">
        <v>30</v>
      </c>
      <c r="BG58">
        <v>17.43</v>
      </c>
      <c r="BH58" t="s">
        <v>30</v>
      </c>
      <c r="BI58">
        <f>SUM(BE58*BG58)</f>
        <v>0</v>
      </c>
      <c r="BQ58" t="s">
        <v>29</v>
      </c>
      <c r="BS58" s="10">
        <f>+CB6</f>
        <v>0</v>
      </c>
      <c r="BT58" s="13" t="s">
        <v>30</v>
      </c>
      <c r="BU58">
        <v>17.43</v>
      </c>
      <c r="BV58" t="s">
        <v>30</v>
      </c>
      <c r="BW58">
        <f>SUM(BS58*BU58)</f>
        <v>0</v>
      </c>
      <c r="CE58" t="s">
        <v>29</v>
      </c>
      <c r="CG58" s="10">
        <f>+CP6</f>
        <v>0</v>
      </c>
      <c r="CH58" s="13" t="s">
        <v>30</v>
      </c>
      <c r="CI58">
        <v>17.43</v>
      </c>
      <c r="CJ58" t="s">
        <v>30</v>
      </c>
      <c r="CK58">
        <f>SUM(CG58*CI58)</f>
        <v>0</v>
      </c>
      <c r="CR58" t="s">
        <v>29</v>
      </c>
      <c r="CT58" s="10">
        <f>+DC6</f>
        <v>0</v>
      </c>
      <c r="CU58" s="13" t="s">
        <v>30</v>
      </c>
      <c r="CV58">
        <v>17.43</v>
      </c>
      <c r="CW58" t="s">
        <v>30</v>
      </c>
      <c r="CX58">
        <f>SUM(CT58*CV58)</f>
        <v>0</v>
      </c>
      <c r="DF58" t="s">
        <v>29</v>
      </c>
      <c r="DH58" s="10">
        <f>+DQ6</f>
        <v>0</v>
      </c>
      <c r="DI58" s="13" t="s">
        <v>30</v>
      </c>
      <c r="DJ58">
        <v>17.43</v>
      </c>
      <c r="DK58" t="s">
        <v>30</v>
      </c>
      <c r="DL58">
        <f>SUM(DH58*DJ58)</f>
        <v>0</v>
      </c>
      <c r="DT58" t="s">
        <v>29</v>
      </c>
      <c r="DV58" s="10">
        <f>+EE6</f>
        <v>0</v>
      </c>
      <c r="DW58" s="13" t="s">
        <v>30</v>
      </c>
      <c r="DX58">
        <v>17.43</v>
      </c>
      <c r="DY58" t="s">
        <v>30</v>
      </c>
      <c r="DZ58">
        <f>SUM(DV58*DX58)</f>
        <v>0</v>
      </c>
      <c r="EG58" t="s">
        <v>29</v>
      </c>
      <c r="EI58" s="10">
        <f>+ER6</f>
        <v>0</v>
      </c>
      <c r="EJ58" s="13" t="s">
        <v>30</v>
      </c>
      <c r="EK58">
        <v>17.43</v>
      </c>
      <c r="EL58" t="s">
        <v>30</v>
      </c>
      <c r="EM58">
        <f>SUM(EI58*EK58)</f>
        <v>0</v>
      </c>
      <c r="EU58" t="s">
        <v>29</v>
      </c>
      <c r="EW58" s="10">
        <f>+FF6</f>
        <v>0</v>
      </c>
      <c r="EX58" s="13" t="s">
        <v>30</v>
      </c>
      <c r="EY58">
        <v>17.43</v>
      </c>
      <c r="EZ58" t="s">
        <v>30</v>
      </c>
      <c r="FA58">
        <f>SUM(EW58*EY58)</f>
        <v>0</v>
      </c>
      <c r="FH58" t="s">
        <v>29</v>
      </c>
      <c r="FJ58" s="10">
        <f>+FS6</f>
        <v>0</v>
      </c>
      <c r="FK58" s="13" t="s">
        <v>30</v>
      </c>
      <c r="FL58">
        <v>17.43</v>
      </c>
      <c r="FM58" t="s">
        <v>30</v>
      </c>
      <c r="FN58">
        <f>SUM(FJ58*FL58)</f>
        <v>0</v>
      </c>
      <c r="FV58" t="s">
        <v>29</v>
      </c>
      <c r="FX58" s="10">
        <f>+GG6</f>
        <v>0</v>
      </c>
      <c r="FY58" s="13" t="s">
        <v>30</v>
      </c>
      <c r="FZ58">
        <v>17.43</v>
      </c>
      <c r="GA58" t="s">
        <v>30</v>
      </c>
      <c r="GB58">
        <f>SUM(FX58*FZ58)</f>
        <v>0</v>
      </c>
      <c r="GI58" t="s">
        <v>29</v>
      </c>
      <c r="GK58" s="10">
        <f>+GT6</f>
        <v>0</v>
      </c>
      <c r="GL58" s="13" t="s">
        <v>30</v>
      </c>
      <c r="GM58">
        <v>17.43</v>
      </c>
      <c r="GN58" t="s">
        <v>30</v>
      </c>
      <c r="GO58">
        <f>SUM(GK58*GM58)</f>
        <v>0</v>
      </c>
      <c r="GW58" t="s">
        <v>29</v>
      </c>
      <c r="GY58" s="10">
        <f>+HH6</f>
        <v>2.6666666666666643</v>
      </c>
      <c r="GZ58" s="13" t="s">
        <v>30</v>
      </c>
      <c r="HA58">
        <v>17.43</v>
      </c>
      <c r="HB58" t="s">
        <v>30</v>
      </c>
      <c r="HC58">
        <f>SUM(GY58*HA58)</f>
        <v>46.479999999999961</v>
      </c>
      <c r="HJ58" t="s">
        <v>29</v>
      </c>
      <c r="HL58" s="10">
        <f>+HU6</f>
        <v>0</v>
      </c>
      <c r="HM58" s="13" t="s">
        <v>30</v>
      </c>
      <c r="HN58">
        <v>17.43</v>
      </c>
      <c r="HO58" t="s">
        <v>30</v>
      </c>
      <c r="HP58">
        <f>SUM(HL58*HN58)</f>
        <v>0</v>
      </c>
      <c r="HX58" t="s">
        <v>29</v>
      </c>
      <c r="HZ58" s="10">
        <f>+II6</f>
        <v>0</v>
      </c>
      <c r="IA58" s="13" t="s">
        <v>30</v>
      </c>
      <c r="IB58">
        <v>17.43</v>
      </c>
      <c r="IC58" t="s">
        <v>30</v>
      </c>
      <c r="ID58">
        <f>SUM(HZ58*IB58)</f>
        <v>0</v>
      </c>
      <c r="IK58" t="s">
        <v>29</v>
      </c>
      <c r="IM58" s="10">
        <f>+IV6</f>
        <v>0</v>
      </c>
      <c r="IN58" s="13" t="s">
        <v>30</v>
      </c>
      <c r="IO58">
        <v>17.43</v>
      </c>
      <c r="IP58" t="s">
        <v>30</v>
      </c>
      <c r="IQ58">
        <f>SUM(IM58*IO58)</f>
        <v>0</v>
      </c>
      <c r="IY58" t="s">
        <v>29</v>
      </c>
      <c r="JA58" s="10">
        <f>+JJ6</f>
        <v>0</v>
      </c>
      <c r="JB58" s="13" t="s">
        <v>30</v>
      </c>
      <c r="JC58">
        <v>17.43</v>
      </c>
      <c r="JD58" t="s">
        <v>30</v>
      </c>
      <c r="JE58">
        <f>SUM(JA58*JC58)</f>
        <v>0</v>
      </c>
      <c r="JL58" t="s">
        <v>29</v>
      </c>
      <c r="JN58" s="10">
        <f>+JW6</f>
        <v>0</v>
      </c>
      <c r="JO58" s="13" t="s">
        <v>30</v>
      </c>
      <c r="JP58">
        <v>17.43</v>
      </c>
      <c r="JQ58" t="s">
        <v>30</v>
      </c>
      <c r="JR58">
        <f>SUM(JN58*JP58)</f>
        <v>0</v>
      </c>
      <c r="JZ58" t="s">
        <v>29</v>
      </c>
      <c r="KB58" s="10">
        <f>+KK6</f>
        <v>0</v>
      </c>
      <c r="KC58" s="13" t="s">
        <v>30</v>
      </c>
      <c r="KD58">
        <v>17.43</v>
      </c>
      <c r="KE58" t="s">
        <v>30</v>
      </c>
      <c r="KF58">
        <f>SUM(KB58*KD58)</f>
        <v>0</v>
      </c>
    </row>
    <row r="59" spans="1:298" x14ac:dyDescent="0.35">
      <c r="D59" s="13"/>
      <c r="E59" s="14"/>
      <c r="F59" s="14" t="s">
        <v>30</v>
      </c>
      <c r="G59" s="14">
        <f>SUM(G54:G58)</f>
        <v>3230.24</v>
      </c>
      <c r="R59" s="13"/>
      <c r="S59" s="14"/>
      <c r="T59" s="14" t="s">
        <v>30</v>
      </c>
      <c r="U59" s="14">
        <f>SUM(U54:U58)</f>
        <v>3330.9560000000001</v>
      </c>
      <c r="AE59" s="13"/>
      <c r="AF59" s="14"/>
      <c r="AG59" s="14" t="s">
        <v>30</v>
      </c>
      <c r="AH59" s="14">
        <f>SUM(AH54:AH58)</f>
        <v>2892.6570000000002</v>
      </c>
      <c r="AS59" s="13"/>
      <c r="AT59" s="14"/>
      <c r="AU59" s="14" t="s">
        <v>30</v>
      </c>
      <c r="AV59" s="14">
        <f>SUM(AV54:AV58)</f>
        <v>3282.7780000000002</v>
      </c>
      <c r="BF59" s="13"/>
      <c r="BG59" s="14"/>
      <c r="BH59" s="14" t="s">
        <v>30</v>
      </c>
      <c r="BI59" s="14">
        <f>SUM(BI54:BI58)</f>
        <v>0</v>
      </c>
      <c r="BT59" s="13"/>
      <c r="BU59" s="14"/>
      <c r="BV59" s="14" t="s">
        <v>30</v>
      </c>
      <c r="BW59" s="14">
        <f>SUM(BW54:BW58)</f>
        <v>3357.1160000000004</v>
      </c>
      <c r="CH59" s="13"/>
      <c r="CI59" s="14"/>
      <c r="CJ59" s="14" t="s">
        <v>30</v>
      </c>
      <c r="CK59" s="14">
        <f>SUM(CK54:CK58)</f>
        <v>3014.0039999999999</v>
      </c>
      <c r="CU59" s="13"/>
      <c r="CV59" s="14"/>
      <c r="CW59" s="14" t="s">
        <v>30</v>
      </c>
      <c r="CX59" s="14">
        <f>SUM(CX54:CX58)</f>
        <v>3314.6060000000002</v>
      </c>
      <c r="DI59" s="13"/>
      <c r="DJ59" s="14"/>
      <c r="DK59" s="14" t="s">
        <v>30</v>
      </c>
      <c r="DL59" s="14">
        <f>SUM(DL54:DL58)</f>
        <v>2829.3580000000002</v>
      </c>
      <c r="DW59" s="13"/>
      <c r="DX59" s="14"/>
      <c r="DY59" s="14" t="s">
        <v>30</v>
      </c>
      <c r="DZ59" s="14">
        <f>SUM(DZ54:DZ58)</f>
        <v>2800.8199999999997</v>
      </c>
      <c r="EJ59" s="13"/>
      <c r="EK59" s="14"/>
      <c r="EL59" s="14" t="s">
        <v>30</v>
      </c>
      <c r="EM59" s="14">
        <f>SUM(EM54:EM58)</f>
        <v>3215.6340000000009</v>
      </c>
      <c r="EX59" s="13"/>
      <c r="EY59" s="14"/>
      <c r="EZ59" s="14" t="s">
        <v>30</v>
      </c>
      <c r="FA59" s="14">
        <f>SUM(FA54:FA58)</f>
        <v>3326.8140000000003</v>
      </c>
      <c r="FK59" s="13"/>
      <c r="FL59" s="14"/>
      <c r="FM59" s="14" t="s">
        <v>30</v>
      </c>
      <c r="FN59" s="14">
        <f>SUM(FN54:FN58)</f>
        <v>3172.4210000000003</v>
      </c>
      <c r="FY59" s="13"/>
      <c r="FZ59" s="14"/>
      <c r="GA59" s="14" t="s">
        <v>30</v>
      </c>
      <c r="GB59" s="14">
        <f>SUM(GB54:GB58)</f>
        <v>2812.5720000000001</v>
      </c>
      <c r="GL59" s="13"/>
      <c r="GM59" s="14"/>
      <c r="GN59" s="14" t="s">
        <v>30</v>
      </c>
      <c r="GO59" s="14">
        <f>SUM(GO54:GO58)</f>
        <v>3125.9495000000006</v>
      </c>
      <c r="GZ59" s="13"/>
      <c r="HA59" s="14"/>
      <c r="HB59" s="14" t="s">
        <v>30</v>
      </c>
      <c r="HC59" s="14">
        <f>SUM(HC54:HC58)</f>
        <v>3171.0170000000012</v>
      </c>
      <c r="HM59" s="13"/>
      <c r="HN59" s="14"/>
      <c r="HO59" s="14" t="s">
        <v>30</v>
      </c>
      <c r="HP59" s="14">
        <f>SUM(HP54:HP58)</f>
        <v>3316.7860000000005</v>
      </c>
      <c r="IA59" s="13"/>
      <c r="IB59" s="14"/>
      <c r="IC59" s="14" t="s">
        <v>30</v>
      </c>
      <c r="ID59" s="14">
        <f>SUM(ID54:ID58)</f>
        <v>0</v>
      </c>
      <c r="IN59" s="13"/>
      <c r="IO59" s="14"/>
      <c r="IP59" s="14" t="s">
        <v>30</v>
      </c>
      <c r="IQ59" s="14">
        <f>SUM(IQ54:IQ58)</f>
        <v>3256.1819999999998</v>
      </c>
      <c r="JB59" s="13"/>
      <c r="JC59" s="14"/>
      <c r="JD59" s="14" t="s">
        <v>30</v>
      </c>
      <c r="JE59" s="14">
        <f>SUM(JE54:JE58)</f>
        <v>3561.2755000000006</v>
      </c>
      <c r="JO59" s="13"/>
      <c r="JP59" s="14"/>
      <c r="JQ59" s="14" t="s">
        <v>30</v>
      </c>
      <c r="JR59" s="14">
        <f>SUM(JR54:JR58)</f>
        <v>2731.6940000000004</v>
      </c>
      <c r="KC59" s="13"/>
      <c r="KD59" s="14"/>
      <c r="KE59" s="14" t="s">
        <v>30</v>
      </c>
      <c r="KF59" s="14">
        <f>SUM(KF54:KF58)</f>
        <v>3264.0300000000007</v>
      </c>
    </row>
    <row r="60" spans="1:298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  <c r="BF60" s="13"/>
      <c r="BG60" t="s">
        <v>31</v>
      </c>
      <c r="BH60" t="s">
        <v>30</v>
      </c>
      <c r="BI60">
        <v>200</v>
      </c>
      <c r="BT60" s="13"/>
      <c r="BU60" t="s">
        <v>31</v>
      </c>
      <c r="BV60" t="s">
        <v>30</v>
      </c>
      <c r="BW60">
        <v>200</v>
      </c>
      <c r="CH60" s="13"/>
      <c r="CI60" t="s">
        <v>31</v>
      </c>
      <c r="CJ60" t="s">
        <v>30</v>
      </c>
      <c r="CK60">
        <v>200</v>
      </c>
      <c r="CU60" s="13"/>
      <c r="CV60" t="s">
        <v>31</v>
      </c>
      <c r="CW60" t="s">
        <v>30</v>
      </c>
      <c r="CX60">
        <v>200</v>
      </c>
      <c r="DI60" s="13"/>
      <c r="DJ60" t="s">
        <v>31</v>
      </c>
      <c r="DK60" t="s">
        <v>30</v>
      </c>
      <c r="DL60">
        <v>200</v>
      </c>
      <c r="DW60" s="13"/>
      <c r="DX60" t="s">
        <v>31</v>
      </c>
      <c r="DY60" t="s">
        <v>30</v>
      </c>
      <c r="DZ60">
        <v>200</v>
      </c>
      <c r="EJ60" s="13"/>
      <c r="EK60" t="s">
        <v>31</v>
      </c>
      <c r="EL60" t="s">
        <v>30</v>
      </c>
      <c r="EM60">
        <v>200</v>
      </c>
      <c r="EX60" s="13"/>
      <c r="EY60" t="s">
        <v>31</v>
      </c>
      <c r="EZ60" t="s">
        <v>30</v>
      </c>
      <c r="FA60">
        <v>200</v>
      </c>
      <c r="FK60" s="13"/>
      <c r="FL60" t="s">
        <v>31</v>
      </c>
      <c r="FM60" t="s">
        <v>30</v>
      </c>
      <c r="FN60">
        <v>200</v>
      </c>
      <c r="FY60" s="13"/>
      <c r="FZ60" t="s">
        <v>31</v>
      </c>
      <c r="GA60" t="s">
        <v>30</v>
      </c>
      <c r="GB60">
        <v>200</v>
      </c>
      <c r="GL60" s="13"/>
      <c r="GM60" t="s">
        <v>31</v>
      </c>
      <c r="GN60" t="s">
        <v>30</v>
      </c>
      <c r="GO60">
        <v>200</v>
      </c>
      <c r="GZ60" s="13"/>
      <c r="HA60" t="s">
        <v>31</v>
      </c>
      <c r="HB60" t="s">
        <v>30</v>
      </c>
      <c r="HC60">
        <v>200</v>
      </c>
      <c r="HM60" s="13"/>
      <c r="HN60" t="s">
        <v>31</v>
      </c>
      <c r="HO60" t="s">
        <v>30</v>
      </c>
      <c r="HP60">
        <v>200</v>
      </c>
      <c r="IA60" s="13"/>
      <c r="IB60" t="s">
        <v>31</v>
      </c>
      <c r="IC60" t="s">
        <v>30</v>
      </c>
      <c r="ID60">
        <v>200</v>
      </c>
      <c r="IN60" s="13"/>
      <c r="IO60" t="s">
        <v>31</v>
      </c>
      <c r="IP60" t="s">
        <v>30</v>
      </c>
      <c r="IQ60">
        <v>200</v>
      </c>
      <c r="JB60" s="13"/>
      <c r="JC60" t="s">
        <v>31</v>
      </c>
      <c r="JD60" t="s">
        <v>30</v>
      </c>
      <c r="JE60">
        <v>200</v>
      </c>
      <c r="JO60" s="13"/>
      <c r="JP60" t="s">
        <v>31</v>
      </c>
      <c r="JQ60" t="s">
        <v>30</v>
      </c>
      <c r="JR60">
        <v>200</v>
      </c>
      <c r="KC60" s="13"/>
      <c r="KD60" t="s">
        <v>31</v>
      </c>
      <c r="KE60" t="s">
        <v>30</v>
      </c>
      <c r="KF60">
        <v>200</v>
      </c>
    </row>
    <row r="62" spans="1:298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G62" s="15" t="s">
        <v>32</v>
      </c>
      <c r="BH62" s="15" t="s">
        <v>30</v>
      </c>
      <c r="BI62" s="15">
        <v>550</v>
      </c>
      <c r="BJ62" s="16"/>
      <c r="BK62" s="16"/>
      <c r="BL62" s="17"/>
      <c r="BO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I62" s="15" t="s">
        <v>32</v>
      </c>
      <c r="CJ62" s="15" t="s">
        <v>30</v>
      </c>
      <c r="CK62" s="15">
        <v>550</v>
      </c>
      <c r="CL62" s="16"/>
      <c r="CM62" s="16"/>
      <c r="CN62" s="17"/>
      <c r="CQ62" s="18"/>
      <c r="CV62" s="15" t="s">
        <v>32</v>
      </c>
      <c r="CW62" s="15" t="s">
        <v>30</v>
      </c>
      <c r="CX62" s="15">
        <v>550</v>
      </c>
      <c r="CY62" s="16"/>
      <c r="CZ62" s="16"/>
      <c r="DA62" s="17"/>
      <c r="DD62" s="18"/>
      <c r="DJ62" s="15" t="s">
        <v>32</v>
      </c>
      <c r="DK62" s="15" t="s">
        <v>30</v>
      </c>
      <c r="DL62" s="15">
        <v>550</v>
      </c>
      <c r="DM62" s="16"/>
      <c r="DN62" s="16"/>
      <c r="DO62" s="17"/>
      <c r="DR62" s="18"/>
      <c r="DX62" s="15" t="s">
        <v>32</v>
      </c>
      <c r="DY62" s="15" t="s">
        <v>30</v>
      </c>
      <c r="DZ62" s="15">
        <v>550</v>
      </c>
      <c r="EA62" s="16"/>
      <c r="EB62" s="16"/>
      <c r="EC62" s="17"/>
      <c r="EF62" s="18"/>
      <c r="EK62" s="15" t="s">
        <v>32</v>
      </c>
      <c r="EL62" s="15" t="s">
        <v>30</v>
      </c>
      <c r="EM62" s="15">
        <v>550</v>
      </c>
      <c r="EN62" s="16"/>
      <c r="EO62" s="16"/>
      <c r="EP62" s="17"/>
      <c r="ES62" s="18"/>
      <c r="EY62" s="15" t="s">
        <v>32</v>
      </c>
      <c r="EZ62" s="15" t="s">
        <v>30</v>
      </c>
      <c r="FA62" s="15">
        <v>550</v>
      </c>
      <c r="FB62" s="16"/>
      <c r="FC62" s="16"/>
      <c r="FD62" s="17"/>
      <c r="FG62" s="18"/>
      <c r="FL62" s="15" t="s">
        <v>32</v>
      </c>
      <c r="FM62" s="15" t="s">
        <v>30</v>
      </c>
      <c r="FN62" s="15">
        <v>550</v>
      </c>
      <c r="FO62" s="16"/>
      <c r="FP62" s="16"/>
      <c r="FQ62" s="17"/>
      <c r="FT62" s="18"/>
      <c r="FZ62" s="15" t="s">
        <v>32</v>
      </c>
      <c r="GA62" s="15" t="s">
        <v>30</v>
      </c>
      <c r="GB62" s="15">
        <v>550</v>
      </c>
      <c r="GC62" s="16"/>
      <c r="GD62" s="16"/>
      <c r="GE62" s="17"/>
      <c r="GH62" s="18"/>
      <c r="GM62" s="15" t="s">
        <v>32</v>
      </c>
      <c r="GN62" s="15" t="s">
        <v>30</v>
      </c>
      <c r="GO62" s="15">
        <v>550</v>
      </c>
      <c r="GP62" s="16"/>
      <c r="GQ62" s="16"/>
      <c r="GR62" s="17"/>
      <c r="GU62" s="18"/>
      <c r="HA62" s="15" t="s">
        <v>32</v>
      </c>
      <c r="HB62" s="15" t="s">
        <v>30</v>
      </c>
      <c r="HC62" s="15">
        <v>550</v>
      </c>
      <c r="HD62" s="16"/>
      <c r="HE62" s="16"/>
      <c r="HF62" s="17"/>
      <c r="HI62" s="18"/>
      <c r="HN62" s="15" t="s">
        <v>32</v>
      </c>
      <c r="HO62" s="15" t="s">
        <v>30</v>
      </c>
      <c r="HP62" s="15">
        <v>550</v>
      </c>
      <c r="HQ62" s="16"/>
      <c r="HR62" s="16"/>
      <c r="HS62" s="17"/>
      <c r="HV62" s="18"/>
      <c r="IB62" s="15" t="s">
        <v>32</v>
      </c>
      <c r="IC62" s="15" t="s">
        <v>30</v>
      </c>
      <c r="ID62" s="15">
        <v>550</v>
      </c>
      <c r="IE62" s="16"/>
      <c r="IF62" s="16"/>
      <c r="IG62" s="17"/>
      <c r="IJ62" s="18"/>
      <c r="IO62" s="15" t="s">
        <v>32</v>
      </c>
      <c r="IP62" s="15" t="s">
        <v>30</v>
      </c>
      <c r="IQ62" s="15">
        <v>550</v>
      </c>
      <c r="IR62" s="16"/>
      <c r="IS62" s="16"/>
      <c r="IT62" s="17"/>
      <c r="IW62" s="18"/>
      <c r="JC62" s="15" t="s">
        <v>32</v>
      </c>
      <c r="JD62" s="15" t="s">
        <v>30</v>
      </c>
      <c r="JE62" s="15">
        <v>550</v>
      </c>
      <c r="JF62" s="16"/>
      <c r="JG62" s="16"/>
      <c r="JH62" s="17"/>
      <c r="JK62" s="18"/>
      <c r="JP62" s="15" t="s">
        <v>32</v>
      </c>
      <c r="JQ62" s="15" t="s">
        <v>30</v>
      </c>
      <c r="JR62" s="15">
        <v>550</v>
      </c>
      <c r="JS62" s="16"/>
      <c r="JT62" s="16"/>
      <c r="JU62" s="17"/>
      <c r="JX62" s="18"/>
      <c r="KD62" s="15" t="s">
        <v>32</v>
      </c>
      <c r="KE62" s="15" t="s">
        <v>30</v>
      </c>
      <c r="KF62" s="15">
        <v>550</v>
      </c>
      <c r="KG62" s="16"/>
      <c r="KH62" s="16"/>
      <c r="KI62" s="17"/>
      <c r="KL62" s="18"/>
    </row>
    <row r="63" spans="1:298" ht="15" thickBot="1" x14ac:dyDescent="0.4">
      <c r="E63" t="s">
        <v>33</v>
      </c>
      <c r="F63" s="19" t="s">
        <v>30</v>
      </c>
      <c r="G63" s="19">
        <f>SUM(G59+G60+G61-G62)</f>
        <v>2880.24</v>
      </c>
      <c r="S63" t="s">
        <v>33</v>
      </c>
      <c r="T63" s="19" t="s">
        <v>30</v>
      </c>
      <c r="U63" s="19">
        <f>SUM(U59+U60+U61-U62)</f>
        <v>2980.9560000000001</v>
      </c>
      <c r="AF63" t="s">
        <v>33</v>
      </c>
      <c r="AG63" s="19" t="s">
        <v>30</v>
      </c>
      <c r="AH63" s="19">
        <f>SUM(AH59+AH60+AH61-AH62)</f>
        <v>2542.6570000000002</v>
      </c>
      <c r="AT63" t="s">
        <v>33</v>
      </c>
      <c r="AU63" s="19" t="s">
        <v>30</v>
      </c>
      <c r="AV63" s="19">
        <f>SUM(AV59+AV60+AV61-AV62)</f>
        <v>2932.7780000000002</v>
      </c>
      <c r="BG63" t="s">
        <v>33</v>
      </c>
      <c r="BH63" s="19" t="s">
        <v>30</v>
      </c>
      <c r="BI63" s="19">
        <f>SUM(BI59+BI60+BI61-BI62)</f>
        <v>-350</v>
      </c>
      <c r="BU63" t="s">
        <v>33</v>
      </c>
      <c r="BV63" s="19" t="s">
        <v>30</v>
      </c>
      <c r="BW63" s="19">
        <f>SUM(BW59+BW60+BW61-BW62)</f>
        <v>3007.1160000000004</v>
      </c>
      <c r="CI63" t="s">
        <v>33</v>
      </c>
      <c r="CJ63" s="19" t="s">
        <v>30</v>
      </c>
      <c r="CK63" s="19">
        <f>SUM(CK59+CK60+CK61-CK62)</f>
        <v>2664.0039999999999</v>
      </c>
      <c r="CV63" t="s">
        <v>33</v>
      </c>
      <c r="CW63" s="19" t="s">
        <v>30</v>
      </c>
      <c r="CX63" s="19">
        <f>SUM(CX59+CX60+CX61-CX62)</f>
        <v>2964.6060000000002</v>
      </c>
      <c r="DJ63" t="s">
        <v>33</v>
      </c>
      <c r="DK63" s="19" t="s">
        <v>30</v>
      </c>
      <c r="DL63" s="19">
        <f>SUM(DL59+DL60+DL61-DL62)</f>
        <v>2479.3580000000002</v>
      </c>
      <c r="DX63" t="s">
        <v>33</v>
      </c>
      <c r="DY63" s="19" t="s">
        <v>30</v>
      </c>
      <c r="DZ63" s="19">
        <f>SUM(DZ59+DZ60+DZ61-DZ62)</f>
        <v>2450.8199999999997</v>
      </c>
      <c r="EK63" t="s">
        <v>33</v>
      </c>
      <c r="EL63" s="19" t="s">
        <v>30</v>
      </c>
      <c r="EM63" s="19">
        <f>SUM(EM59+EM60+EM61-EM62)</f>
        <v>2865.6340000000009</v>
      </c>
      <c r="EY63" t="s">
        <v>33</v>
      </c>
      <c r="EZ63" s="19" t="s">
        <v>30</v>
      </c>
      <c r="FA63" s="19">
        <f>SUM(FA59+FA60+FA61-FA62)</f>
        <v>2976.8140000000003</v>
      </c>
      <c r="FL63" t="s">
        <v>33</v>
      </c>
      <c r="FM63" s="19" t="s">
        <v>30</v>
      </c>
      <c r="FN63" s="19">
        <f>SUM(FN59+FN60+FN61-FN62)</f>
        <v>2822.4210000000003</v>
      </c>
      <c r="FZ63" t="s">
        <v>33</v>
      </c>
      <c r="GA63" s="19" t="s">
        <v>30</v>
      </c>
      <c r="GB63" s="19">
        <f>SUM(GB59+GB60+GB61-GB62)</f>
        <v>2462.5720000000001</v>
      </c>
      <c r="GM63" t="s">
        <v>33</v>
      </c>
      <c r="GN63" s="19" t="s">
        <v>30</v>
      </c>
      <c r="GO63" s="19">
        <f>SUM(GO59+GO60+GO61-GO62)</f>
        <v>2775.9495000000006</v>
      </c>
      <c r="HA63" t="s">
        <v>33</v>
      </c>
      <c r="HB63" s="19" t="s">
        <v>30</v>
      </c>
      <c r="HC63" s="19">
        <f>SUM(HC59+HC60+HC61-HC62)</f>
        <v>2821.0170000000012</v>
      </c>
      <c r="HN63" t="s">
        <v>33</v>
      </c>
      <c r="HO63" s="19" t="s">
        <v>30</v>
      </c>
      <c r="HP63" s="19">
        <f>SUM(HP59+HP60+HP61-HP62)</f>
        <v>2966.7860000000005</v>
      </c>
      <c r="IB63" t="s">
        <v>33</v>
      </c>
      <c r="IC63" s="19" t="s">
        <v>30</v>
      </c>
      <c r="ID63" s="19">
        <f>SUM(ID59+ID60+ID61-ID62)</f>
        <v>-350</v>
      </c>
      <c r="IO63" t="s">
        <v>33</v>
      </c>
      <c r="IP63" s="19" t="s">
        <v>30</v>
      </c>
      <c r="IQ63" s="19">
        <f>SUM(IQ59+IQ60+IQ61-IQ62)</f>
        <v>2906.1819999999998</v>
      </c>
      <c r="JC63" t="s">
        <v>33</v>
      </c>
      <c r="JD63" s="19" t="s">
        <v>30</v>
      </c>
      <c r="JE63" s="19">
        <f>SUM(JE59+JE60+JE61-JE62)</f>
        <v>3211.2755000000006</v>
      </c>
      <c r="JP63" t="s">
        <v>33</v>
      </c>
      <c r="JQ63" s="19" t="s">
        <v>30</v>
      </c>
      <c r="JR63" s="19">
        <f>SUM(JR59+JR60+JR61-JR62)</f>
        <v>2381.6940000000004</v>
      </c>
      <c r="KD63" t="s">
        <v>33</v>
      </c>
      <c r="KE63" s="19" t="s">
        <v>30</v>
      </c>
      <c r="KF63" s="19">
        <f>SUM(KF59+KF60+KF61-KF62)</f>
        <v>2914.0300000000007</v>
      </c>
    </row>
    <row r="64" spans="1:298" ht="15" thickTop="1" x14ac:dyDescent="0.35">
      <c r="IY64" s="112"/>
      <c r="IZ64" s="112"/>
      <c r="JA64" s="112"/>
      <c r="JB64" s="112"/>
      <c r="JC64" s="113"/>
      <c r="JD64" s="22"/>
      <c r="JE64" s="22"/>
      <c r="JF64" s="106"/>
      <c r="JG64" s="38"/>
      <c r="JH64" s="107"/>
      <c r="JI64" s="108"/>
      <c r="JZ64" s="112"/>
      <c r="KA64" s="112"/>
      <c r="KB64" s="112"/>
      <c r="KC64" s="112"/>
      <c r="KD64" s="113"/>
      <c r="KE64" s="22"/>
      <c r="KF64" s="22"/>
      <c r="KG64" s="106"/>
      <c r="KH64" s="38"/>
      <c r="KI64" s="107"/>
      <c r="KJ64" s="108"/>
    </row>
    <row r="65" spans="206:296" x14ac:dyDescent="0.35">
      <c r="IY65" s="112"/>
      <c r="IZ65" s="112"/>
      <c r="JA65" s="112"/>
      <c r="JB65" s="112"/>
      <c r="JC65" s="113"/>
      <c r="JD65" s="22"/>
      <c r="JE65" s="22"/>
      <c r="JF65" s="106"/>
      <c r="JG65" s="38"/>
      <c r="JH65" s="107"/>
      <c r="JI65" s="108"/>
      <c r="JZ65" s="112"/>
      <c r="KA65" s="112"/>
      <c r="KB65" s="112"/>
      <c r="KC65" s="112"/>
      <c r="KD65" s="113"/>
      <c r="KE65" s="22"/>
      <c r="KF65" s="22"/>
      <c r="KG65" s="106"/>
      <c r="KH65" s="38"/>
      <c r="KI65" s="107"/>
      <c r="KJ65" s="108"/>
    </row>
    <row r="66" spans="206:296" x14ac:dyDescent="0.35">
      <c r="IY66" s="112"/>
      <c r="IZ66" s="112"/>
      <c r="JA66" s="112"/>
      <c r="JB66" s="112"/>
      <c r="JC66" s="113"/>
      <c r="JD66" s="22"/>
      <c r="JE66" s="22"/>
      <c r="JF66" s="106"/>
      <c r="JG66" s="38"/>
      <c r="JH66" s="107"/>
      <c r="JI66" s="108"/>
      <c r="JZ66" s="112"/>
      <c r="KA66" s="112"/>
      <c r="KB66" s="112"/>
      <c r="KC66" s="112"/>
      <c r="KD66" s="113"/>
      <c r="KE66" s="22"/>
      <c r="KF66" s="22"/>
      <c r="KG66" s="106"/>
      <c r="KH66" s="38"/>
      <c r="KI66" s="107"/>
      <c r="KJ66" s="108"/>
    </row>
    <row r="67" spans="206:296" x14ac:dyDescent="0.35">
      <c r="IY67" s="114"/>
      <c r="IZ67" s="114"/>
      <c r="JA67" s="114"/>
      <c r="JB67" s="114"/>
      <c r="JC67" s="115"/>
      <c r="JD67" s="116"/>
      <c r="JE67" s="116"/>
      <c r="JF67" s="109"/>
      <c r="JG67" s="110"/>
      <c r="JH67" s="110"/>
      <c r="JI67" s="111"/>
      <c r="JZ67" s="114"/>
      <c r="KA67" s="114"/>
      <c r="KB67" s="114"/>
      <c r="KC67" s="114"/>
      <c r="KD67" s="115"/>
      <c r="KE67" s="116"/>
      <c r="KF67" s="116"/>
      <c r="KG67" s="109"/>
      <c r="KH67" s="110"/>
      <c r="KI67" s="110"/>
      <c r="KJ67" s="111"/>
    </row>
    <row r="68" spans="206:296" x14ac:dyDescent="0.35">
      <c r="IY68" s="112"/>
      <c r="IZ68" s="112"/>
      <c r="JA68" s="112"/>
      <c r="JB68" s="112"/>
      <c r="JC68" s="113"/>
      <c r="JD68" s="22"/>
      <c r="JE68" s="22"/>
      <c r="JF68" s="106"/>
      <c r="JG68" s="38"/>
      <c r="JH68" s="107"/>
      <c r="JI68" s="108"/>
      <c r="JZ68" s="112"/>
      <c r="KA68" s="112"/>
      <c r="KB68" s="112"/>
      <c r="KC68" s="112"/>
      <c r="KD68" s="113"/>
      <c r="KE68" s="22"/>
      <c r="KF68" s="22"/>
      <c r="KG68" s="106"/>
      <c r="KH68" s="38"/>
      <c r="KI68" s="107"/>
      <c r="KJ68" s="108"/>
    </row>
    <row r="69" spans="206:296" x14ac:dyDescent="0.35">
      <c r="IY69" s="112"/>
      <c r="IZ69" s="112"/>
      <c r="JA69" s="112"/>
      <c r="JB69" s="112"/>
      <c r="JC69" s="113"/>
      <c r="JD69" s="22"/>
      <c r="JE69" s="22"/>
      <c r="JF69" s="106"/>
      <c r="JG69" s="38"/>
      <c r="JH69" s="107"/>
      <c r="JI69" s="108"/>
      <c r="JZ69" s="112"/>
      <c r="KA69" s="112"/>
      <c r="KB69" s="112"/>
      <c r="KC69" s="112"/>
      <c r="KD69" s="113"/>
      <c r="KE69" s="22"/>
      <c r="KF69" s="22"/>
      <c r="KG69" s="106"/>
      <c r="KH69" s="38"/>
      <c r="KI69" s="107"/>
      <c r="KJ69" s="108"/>
    </row>
    <row r="70" spans="206:296" x14ac:dyDescent="0.35">
      <c r="IY70" s="112"/>
      <c r="IZ70" s="112"/>
      <c r="JA70" s="112"/>
      <c r="JB70" s="112"/>
      <c r="JC70" s="113"/>
      <c r="JD70" s="22"/>
      <c r="JE70" s="22"/>
      <c r="JF70" s="106"/>
      <c r="JG70" s="38"/>
      <c r="JH70" s="107"/>
      <c r="JI70" s="108"/>
      <c r="JZ70" s="112"/>
      <c r="KA70" s="112"/>
      <c r="KB70" s="112"/>
      <c r="KC70" s="112"/>
      <c r="KD70" s="113"/>
      <c r="KE70" s="22"/>
      <c r="KF70" s="22"/>
      <c r="KG70" s="106"/>
      <c r="KH70" s="38"/>
      <c r="KI70" s="107"/>
      <c r="KJ70" s="108"/>
    </row>
    <row r="71" spans="206:296" x14ac:dyDescent="0.35">
      <c r="IY71" s="112"/>
      <c r="IZ71" s="112"/>
      <c r="JA71" s="112"/>
      <c r="JB71" s="112"/>
      <c r="JC71" s="113"/>
      <c r="JD71" s="22"/>
      <c r="JE71" s="22"/>
      <c r="JF71" s="106"/>
      <c r="JG71" s="38"/>
      <c r="JH71" s="107"/>
      <c r="JI71" s="108"/>
      <c r="JZ71" s="112"/>
      <c r="KA71" s="112"/>
      <c r="KB71" s="112"/>
      <c r="KC71" s="112"/>
      <c r="KD71" s="113"/>
      <c r="KE71" s="22"/>
      <c r="KF71" s="22"/>
      <c r="KG71" s="106"/>
      <c r="KH71" s="38"/>
      <c r="KI71" s="107"/>
      <c r="KJ71" s="108"/>
    </row>
    <row r="72" spans="206:296" x14ac:dyDescent="0.35">
      <c r="IY72" s="112"/>
      <c r="IZ72" s="112"/>
      <c r="JA72" s="112"/>
      <c r="JB72" s="112"/>
      <c r="JC72" s="113"/>
      <c r="JD72" s="22"/>
      <c r="JE72" s="22"/>
      <c r="JF72" s="106"/>
      <c r="JG72" s="38"/>
      <c r="JH72" s="107"/>
      <c r="JI72" s="108"/>
      <c r="JZ72" s="112"/>
      <c r="KA72" s="112"/>
      <c r="KB72" s="112"/>
      <c r="KC72" s="112"/>
      <c r="KD72" s="113"/>
      <c r="KE72" s="22"/>
      <c r="KF72" s="22"/>
      <c r="KG72" s="106"/>
      <c r="KH72" s="38"/>
      <c r="KI72" s="107"/>
      <c r="KJ72" s="108"/>
    </row>
    <row r="73" spans="206:296" x14ac:dyDescent="0.35">
      <c r="IY73" s="112"/>
      <c r="IZ73" s="112"/>
      <c r="JA73" s="112"/>
      <c r="JB73" s="112"/>
      <c r="JC73" s="113"/>
      <c r="JD73" s="22"/>
      <c r="JE73" s="22"/>
      <c r="JF73" s="106"/>
      <c r="JG73" s="38"/>
      <c r="JH73" s="107"/>
      <c r="JI73" s="108"/>
      <c r="JZ73" s="112"/>
      <c r="KA73" s="112"/>
      <c r="KB73" s="112"/>
      <c r="KC73" s="112"/>
      <c r="KD73" s="113"/>
      <c r="KE73" s="22"/>
      <c r="KF73" s="22"/>
      <c r="KG73" s="106"/>
      <c r="KH73" s="38"/>
      <c r="KI73" s="107"/>
      <c r="KJ73" s="108"/>
    </row>
    <row r="74" spans="206:296" x14ac:dyDescent="0.35">
      <c r="IY74" s="114"/>
      <c r="IZ74" s="114"/>
      <c r="JA74" s="114"/>
      <c r="JB74" s="114"/>
      <c r="JC74" s="115"/>
      <c r="JD74" s="116"/>
      <c r="JE74" s="116"/>
      <c r="JF74" s="109"/>
      <c r="JG74" s="110"/>
      <c r="JH74" s="110"/>
      <c r="JI74" s="111"/>
      <c r="JZ74" s="114"/>
      <c r="KA74" s="114"/>
      <c r="KB74" s="114"/>
      <c r="KC74" s="114"/>
      <c r="KD74" s="115"/>
      <c r="KE74" s="116"/>
      <c r="KF74" s="116"/>
      <c r="KG74" s="109"/>
      <c r="KH74" s="110"/>
      <c r="KI74" s="110"/>
      <c r="KJ74" s="111"/>
    </row>
    <row r="75" spans="206:296" x14ac:dyDescent="0.35">
      <c r="IY75" s="112"/>
      <c r="IZ75" s="112"/>
      <c r="JA75" s="112"/>
      <c r="JB75" s="112"/>
      <c r="JC75" s="113"/>
      <c r="JD75" s="22"/>
      <c r="JE75" s="22"/>
      <c r="JF75" s="106"/>
      <c r="JG75" s="38"/>
      <c r="JH75" s="107"/>
      <c r="JI75" s="108"/>
      <c r="JZ75" s="112"/>
      <c r="KA75" s="112"/>
      <c r="KB75" s="112"/>
      <c r="KC75" s="112"/>
      <c r="KD75" s="113"/>
      <c r="KE75" s="22"/>
      <c r="KF75" s="22"/>
      <c r="KG75" s="106"/>
      <c r="KH75" s="38"/>
      <c r="KI75" s="107"/>
      <c r="KJ75" s="108"/>
    </row>
    <row r="76" spans="206:296" x14ac:dyDescent="0.35">
      <c r="IY76" s="112"/>
      <c r="IZ76" s="112"/>
      <c r="JA76" s="112"/>
      <c r="JB76" s="112"/>
      <c r="JC76" s="113"/>
      <c r="JD76" s="22"/>
      <c r="JE76" s="22"/>
      <c r="JF76" s="106"/>
      <c r="JG76" s="38"/>
      <c r="JH76" s="107"/>
      <c r="JI76" s="108"/>
      <c r="JZ76" s="112"/>
      <c r="KA76" s="112"/>
      <c r="KB76" s="112"/>
      <c r="KC76" s="112"/>
      <c r="KD76" s="113"/>
      <c r="KE76" s="22"/>
      <c r="KF76" s="22"/>
      <c r="KG76" s="106"/>
      <c r="KH76" s="38"/>
      <c r="KI76" s="107"/>
      <c r="KJ76" s="108"/>
    </row>
    <row r="77" spans="206:296" x14ac:dyDescent="0.35">
      <c r="GX77" s="11">
        <v>19.350000000000001</v>
      </c>
      <c r="IY77" s="112"/>
      <c r="IZ77" s="112"/>
      <c r="JA77" s="112"/>
      <c r="JB77" s="112"/>
      <c r="JC77" s="113"/>
      <c r="JD77" s="22"/>
      <c r="JE77" s="22"/>
      <c r="JF77" s="106"/>
      <c r="JG77" s="38"/>
      <c r="JH77" s="107"/>
      <c r="JI77" s="108"/>
      <c r="JZ77" s="112"/>
      <c r="KA77" s="112"/>
      <c r="KB77" s="112"/>
      <c r="KC77" s="112"/>
      <c r="KD77" s="113"/>
      <c r="KE77" s="22"/>
      <c r="KF77" s="22"/>
      <c r="KG77" s="106"/>
      <c r="KH77" s="38"/>
      <c r="KI77" s="107"/>
      <c r="KJ77" s="108"/>
    </row>
    <row r="78" spans="206:296" x14ac:dyDescent="0.35">
      <c r="GX78" s="11">
        <v>18.95</v>
      </c>
      <c r="IY78" s="112"/>
      <c r="IZ78" s="112"/>
      <c r="JA78" s="112"/>
      <c r="JB78" s="112"/>
      <c r="JC78" s="113"/>
      <c r="JD78" s="22"/>
      <c r="JE78" s="22"/>
      <c r="JF78" s="106"/>
      <c r="JG78" s="38"/>
      <c r="JH78" s="107"/>
      <c r="JI78" s="108"/>
      <c r="JZ78" s="112"/>
      <c r="KA78" s="112"/>
      <c r="KB78" s="112"/>
      <c r="KC78" s="112"/>
      <c r="KD78" s="113"/>
      <c r="KE78" s="22"/>
      <c r="KF78" s="22"/>
      <c r="KG78" s="106"/>
      <c r="KH78" s="38"/>
      <c r="KI78" s="107"/>
      <c r="KJ78" s="108"/>
    </row>
    <row r="79" spans="206:296" x14ac:dyDescent="0.35">
      <c r="IY79" s="112"/>
      <c r="IZ79" s="112"/>
      <c r="JA79" s="112"/>
      <c r="JB79" s="112"/>
      <c r="JC79" s="113"/>
      <c r="JD79" s="22"/>
      <c r="JE79" s="22"/>
      <c r="JF79" s="106"/>
      <c r="JG79" s="38"/>
      <c r="JH79" s="107"/>
      <c r="JI79" s="108"/>
      <c r="JZ79" s="112"/>
      <c r="KA79" s="112"/>
      <c r="KB79" s="112"/>
      <c r="KC79" s="112"/>
      <c r="KD79" s="113"/>
      <c r="KE79" s="22"/>
      <c r="KF79" s="22"/>
      <c r="KG79" s="106"/>
      <c r="KH79" s="38"/>
      <c r="KI79" s="107"/>
      <c r="KJ79" s="108"/>
    </row>
    <row r="80" spans="206:296" x14ac:dyDescent="0.35">
      <c r="GX80" s="11">
        <v>18.39</v>
      </c>
      <c r="IY80" s="112"/>
      <c r="IZ80" s="112"/>
      <c r="JA80" s="112"/>
      <c r="JB80" s="112"/>
      <c r="JC80" s="113"/>
      <c r="JD80" s="22"/>
      <c r="JE80" s="22"/>
      <c r="JF80" s="106"/>
      <c r="JG80" s="38"/>
      <c r="JH80" s="107"/>
      <c r="JI80" s="108"/>
      <c r="JZ80" s="112"/>
      <c r="KA80" s="112"/>
      <c r="KB80" s="112"/>
      <c r="KC80" s="112"/>
      <c r="KD80" s="113"/>
      <c r="KE80" s="22"/>
      <c r="KF80" s="22"/>
      <c r="KG80" s="106"/>
      <c r="KH80" s="38"/>
      <c r="KI80" s="107"/>
      <c r="KJ80" s="108"/>
    </row>
    <row r="81" spans="206:296" x14ac:dyDescent="0.35">
      <c r="GX81" s="11">
        <v>17.989999999999998</v>
      </c>
      <c r="IY81" s="114"/>
      <c r="IZ81" s="114"/>
      <c r="JA81" s="114"/>
      <c r="JB81" s="114"/>
      <c r="JC81" s="115"/>
      <c r="JD81" s="116"/>
      <c r="JE81" s="116"/>
      <c r="JF81" s="109"/>
      <c r="JG81" s="110"/>
      <c r="JH81" s="110"/>
      <c r="JI81" s="111"/>
      <c r="JZ81" s="114"/>
      <c r="KA81" s="114"/>
      <c r="KB81" s="114"/>
      <c r="KC81" s="114"/>
      <c r="KD81" s="115"/>
      <c r="KE81" s="116"/>
      <c r="KF81" s="116"/>
      <c r="KG81" s="109"/>
      <c r="KH81" s="110"/>
      <c r="KI81" s="110"/>
      <c r="KJ81" s="111"/>
    </row>
    <row r="82" spans="206:296" x14ac:dyDescent="0.35">
      <c r="IY82" s="112"/>
      <c r="IZ82" s="112"/>
      <c r="JA82" s="112"/>
      <c r="JB82" s="112"/>
      <c r="JC82" s="113"/>
      <c r="JD82" s="22"/>
      <c r="JE82" s="22"/>
      <c r="JF82" s="106"/>
      <c r="JG82" s="38"/>
      <c r="JH82" s="107"/>
      <c r="JI82" s="108"/>
      <c r="JZ82" s="112"/>
      <c r="KA82" s="112"/>
      <c r="KB82" s="112"/>
      <c r="KC82" s="112"/>
      <c r="KD82" s="113"/>
      <c r="KE82" s="22"/>
      <c r="KF82" s="22"/>
      <c r="KG82" s="106"/>
      <c r="KH82" s="38"/>
      <c r="KI82" s="107"/>
      <c r="KJ82" s="108"/>
    </row>
    <row r="83" spans="206:296" x14ac:dyDescent="0.35">
      <c r="GX83" s="11">
        <v>18.41</v>
      </c>
      <c r="IY83" s="112"/>
      <c r="IZ83" s="112"/>
      <c r="JA83" s="112"/>
      <c r="JB83" s="112"/>
      <c r="JC83" s="113"/>
      <c r="JD83" s="22"/>
      <c r="JE83" s="22"/>
      <c r="JF83" s="106"/>
      <c r="JG83" s="38"/>
      <c r="JH83" s="107"/>
      <c r="JI83" s="108"/>
      <c r="JZ83" s="112"/>
      <c r="KA83" s="112"/>
      <c r="KB83" s="112"/>
      <c r="KC83" s="112"/>
      <c r="KD83" s="113"/>
      <c r="KE83" s="22"/>
      <c r="KF83" s="22"/>
      <c r="KG83" s="106"/>
      <c r="KH83" s="38"/>
      <c r="KI83" s="107"/>
      <c r="KJ83" s="108"/>
    </row>
    <row r="84" spans="206:296" x14ac:dyDescent="0.35">
      <c r="GX84" s="128">
        <v>17.100999999999999</v>
      </c>
      <c r="IY84" s="112"/>
      <c r="IZ84" s="112"/>
      <c r="JA84" s="112"/>
      <c r="JB84" s="112"/>
      <c r="JC84" s="113"/>
      <c r="JD84" s="22"/>
      <c r="JE84" s="22"/>
      <c r="JF84" s="106"/>
      <c r="JG84" s="38"/>
      <c r="JH84" s="107"/>
      <c r="JI84" s="108"/>
      <c r="JZ84" s="112"/>
      <c r="KA84" s="112"/>
      <c r="KB84" s="112"/>
      <c r="KC84" s="112"/>
      <c r="KD84" s="113"/>
      <c r="KE84" s="22"/>
      <c r="KF84" s="22"/>
      <c r="KG84" s="106"/>
      <c r="KH84" s="38"/>
      <c r="KI84" s="107"/>
      <c r="KJ84" s="108"/>
    </row>
    <row r="85" spans="206:296" x14ac:dyDescent="0.35">
      <c r="IY85" s="112"/>
      <c r="IZ85" s="112"/>
      <c r="JA85" s="112"/>
      <c r="JB85" s="112"/>
      <c r="JC85" s="113"/>
      <c r="JD85" s="22"/>
      <c r="JE85" s="22"/>
      <c r="JF85" s="106"/>
      <c r="JG85" s="38"/>
      <c r="JH85" s="107"/>
      <c r="JI85" s="108"/>
      <c r="JZ85" s="112"/>
      <c r="KA85" s="112"/>
      <c r="KB85" s="112"/>
      <c r="KC85" s="112"/>
      <c r="KD85" s="113"/>
      <c r="KE85" s="22"/>
      <c r="KF85" s="22"/>
      <c r="KG85" s="106"/>
      <c r="KH85" s="38"/>
      <c r="KI85" s="107"/>
      <c r="KJ85" s="108"/>
    </row>
    <row r="86" spans="206:296" x14ac:dyDescent="0.35">
      <c r="IY86" s="117"/>
      <c r="IZ86" s="117"/>
      <c r="JA86" s="117"/>
      <c r="JB86" s="117"/>
      <c r="JC86" s="117"/>
      <c r="JD86" s="118"/>
      <c r="JE86" s="118"/>
      <c r="JF86" s="119"/>
      <c r="JG86" s="119"/>
      <c r="JH86" s="119"/>
      <c r="JI86" s="108"/>
      <c r="JZ86" s="117"/>
      <c r="KA86" s="117"/>
      <c r="KB86" s="117"/>
      <c r="KC86" s="117"/>
      <c r="KD86" s="117"/>
      <c r="KE86" s="118"/>
      <c r="KF86" s="118"/>
      <c r="KG86" s="119"/>
      <c r="KH86" s="119"/>
      <c r="KI86" s="119"/>
      <c r="KJ86" s="108"/>
    </row>
    <row r="87" spans="206:296" x14ac:dyDescent="0.35">
      <c r="IY87" s="117"/>
      <c r="IZ87" s="117"/>
      <c r="JA87" s="117"/>
      <c r="JB87" s="117"/>
      <c r="JC87" s="117"/>
      <c r="JD87" s="118"/>
      <c r="JE87" s="118"/>
      <c r="JF87" s="119"/>
      <c r="JG87" s="119"/>
      <c r="JH87" s="119"/>
      <c r="JI87" s="108"/>
      <c r="JZ87" s="117"/>
      <c r="KA87" s="117"/>
      <c r="KB87" s="117"/>
      <c r="KC87" s="117"/>
      <c r="KD87" s="117"/>
      <c r="KE87" s="118"/>
      <c r="KF87" s="118"/>
      <c r="KG87" s="119"/>
      <c r="KH87" s="119"/>
      <c r="KI87" s="119"/>
      <c r="KJ87" s="108"/>
    </row>
    <row r="88" spans="206:296" x14ac:dyDescent="0.35">
      <c r="IY88" s="117"/>
      <c r="IZ88" s="117"/>
      <c r="JA88" s="117"/>
      <c r="JB88" s="117"/>
      <c r="JC88" s="117"/>
      <c r="JD88" s="118"/>
      <c r="JE88" s="118"/>
      <c r="JF88" s="119"/>
      <c r="JG88" s="119"/>
      <c r="JH88" s="119"/>
      <c r="JI88" s="108"/>
      <c r="JZ88" s="117"/>
      <c r="KA88" s="117"/>
      <c r="KB88" s="117"/>
      <c r="KC88" s="117"/>
      <c r="KD88" s="117"/>
      <c r="KE88" s="118"/>
      <c r="KF88" s="118"/>
      <c r="KG88" s="119"/>
      <c r="KH88" s="119"/>
      <c r="KI88" s="119"/>
      <c r="KJ88" s="108"/>
    </row>
    <row r="89" spans="206:296" x14ac:dyDescent="0.35">
      <c r="IY89" s="117"/>
      <c r="IZ89" s="117"/>
      <c r="JA89" s="117"/>
      <c r="JB89" s="117"/>
      <c r="JC89" s="117"/>
      <c r="JD89" s="118"/>
      <c r="JE89" s="118"/>
      <c r="JF89" s="119"/>
      <c r="JG89" s="119"/>
      <c r="JH89" s="119"/>
      <c r="JI89" s="108"/>
      <c r="JZ89" s="117"/>
      <c r="KA89" s="117"/>
      <c r="KB89" s="117"/>
      <c r="KC89" s="117"/>
      <c r="KD89" s="117"/>
      <c r="KE89" s="118"/>
      <c r="KF89" s="118"/>
      <c r="KG89" s="119"/>
      <c r="KH89" s="119"/>
      <c r="KI89" s="119"/>
      <c r="KJ89" s="108"/>
    </row>
    <row r="90" spans="206:296" x14ac:dyDescent="0.35">
      <c r="IY90" s="120"/>
      <c r="IZ90" s="120"/>
      <c r="JA90" s="120"/>
      <c r="JB90" s="120"/>
      <c r="JC90" s="120"/>
      <c r="JD90" s="118"/>
      <c r="JE90" s="118"/>
      <c r="JF90" s="119"/>
      <c r="JG90" s="119"/>
      <c r="JH90" s="119"/>
      <c r="JI90" s="108"/>
      <c r="JZ90" s="120"/>
      <c r="KA90" s="120"/>
      <c r="KB90" s="120"/>
      <c r="KC90" s="120"/>
      <c r="KD90" s="120"/>
      <c r="KE90" s="118"/>
      <c r="KF90" s="118"/>
      <c r="KG90" s="119"/>
      <c r="KH90" s="119"/>
      <c r="KI90" s="119"/>
      <c r="KJ90" s="108"/>
    </row>
    <row r="91" spans="206:296" x14ac:dyDescent="0.35">
      <c r="IY91" s="24"/>
      <c r="IZ91" s="24"/>
      <c r="JA91" s="24"/>
      <c r="JB91" s="24"/>
      <c r="JC91" s="24"/>
      <c r="JD91" s="22"/>
      <c r="JE91" s="22"/>
      <c r="JF91" s="38"/>
      <c r="JG91" s="24"/>
      <c r="JH91" s="24"/>
      <c r="JI91" s="25"/>
      <c r="JZ91" s="24"/>
      <c r="KA91" s="24"/>
      <c r="KB91" s="24"/>
      <c r="KC91" s="24"/>
      <c r="KD91" s="24"/>
      <c r="KE91" s="22"/>
      <c r="KF91" s="22"/>
      <c r="KG91" s="38"/>
      <c r="KH91" s="24"/>
      <c r="KI91" s="24"/>
      <c r="KJ91" s="25"/>
    </row>
    <row r="92" spans="206:296" x14ac:dyDescent="0.35">
      <c r="IY92" s="167"/>
      <c r="IZ92" s="167"/>
      <c r="JA92" s="167"/>
      <c r="JB92" s="167"/>
      <c r="JC92" s="168"/>
      <c r="JD92" s="168"/>
      <c r="JE92" s="121"/>
      <c r="JF92" s="169"/>
      <c r="JG92" s="169"/>
      <c r="JH92" s="169"/>
      <c r="JI92" s="169"/>
      <c r="JZ92" s="167"/>
      <c r="KA92" s="167"/>
      <c r="KB92" s="167"/>
      <c r="KC92" s="167"/>
      <c r="KD92" s="168"/>
      <c r="KE92" s="168"/>
      <c r="KF92" s="121"/>
      <c r="KG92" s="169"/>
      <c r="KH92" s="169"/>
      <c r="KI92" s="169"/>
      <c r="KJ92" s="169"/>
    </row>
    <row r="93" spans="206:296" x14ac:dyDescent="0.35">
      <c r="IY93" s="170"/>
      <c r="IZ93" s="167"/>
      <c r="JA93" s="171"/>
      <c r="JB93" s="167"/>
      <c r="JC93" s="172"/>
      <c r="JD93" s="168"/>
      <c r="JE93" s="121"/>
      <c r="JF93" s="173"/>
      <c r="JG93" s="169"/>
      <c r="JH93" s="173"/>
      <c r="JI93" s="173"/>
      <c r="JZ93" s="170"/>
      <c r="KA93" s="167"/>
      <c r="KB93" s="171"/>
      <c r="KC93" s="167"/>
      <c r="KD93" s="172"/>
      <c r="KE93" s="168"/>
      <c r="KF93" s="121"/>
      <c r="KG93" s="173"/>
      <c r="KH93" s="169"/>
      <c r="KI93" s="173"/>
      <c r="KJ93" s="173"/>
    </row>
    <row r="94" spans="206:296" x14ac:dyDescent="0.35">
      <c r="IY94" s="24"/>
      <c r="IZ94" s="24"/>
      <c r="JA94" s="24"/>
      <c r="JB94" s="24"/>
      <c r="JC94" s="24"/>
      <c r="JD94" s="22"/>
      <c r="JE94" s="22"/>
      <c r="JF94" s="38"/>
      <c r="JG94" s="24"/>
      <c r="JH94" s="24"/>
      <c r="JI94" s="25"/>
      <c r="JZ94" s="24"/>
      <c r="KA94" s="24"/>
      <c r="KB94" s="24"/>
      <c r="KC94" s="24"/>
      <c r="KD94" s="24"/>
      <c r="KE94" s="22"/>
      <c r="KF94" s="22"/>
      <c r="KG94" s="38"/>
      <c r="KH94" s="24"/>
      <c r="KI94" s="24"/>
      <c r="KJ94" s="25"/>
    </row>
    <row r="95" spans="206:296" x14ac:dyDescent="0.35">
      <c r="IY95" s="24"/>
      <c r="IZ95" s="24"/>
      <c r="JA95" s="24"/>
      <c r="JB95" s="24"/>
      <c r="JC95" s="24"/>
      <c r="JD95" s="22"/>
      <c r="JE95" s="22"/>
      <c r="JF95" s="38"/>
      <c r="JG95" s="24"/>
      <c r="JH95" s="24"/>
      <c r="JI95" s="25"/>
      <c r="JZ95" s="24"/>
      <c r="KA95" s="24"/>
      <c r="KB95" s="24"/>
      <c r="KC95" s="24"/>
      <c r="KD95" s="24"/>
      <c r="KE95" s="22"/>
      <c r="KF95" s="22"/>
      <c r="KG95" s="38"/>
      <c r="KH95" s="24"/>
      <c r="KI95" s="24"/>
      <c r="KJ95" s="25"/>
    </row>
    <row r="96" spans="206:296" x14ac:dyDescent="0.35">
      <c r="IY96" s="39"/>
      <c r="IZ96" s="39"/>
      <c r="JA96" s="124"/>
      <c r="JB96" s="121"/>
      <c r="JC96" s="121"/>
      <c r="JD96" s="123"/>
      <c r="JE96" s="123"/>
      <c r="JF96" s="122"/>
      <c r="JG96" s="122"/>
      <c r="JH96" s="122"/>
      <c r="JI96" s="39"/>
      <c r="JZ96" s="39"/>
      <c r="KA96" s="39"/>
      <c r="KB96" s="124"/>
      <c r="KC96" s="121"/>
      <c r="KD96" s="121"/>
      <c r="KE96" s="123"/>
      <c r="KF96" s="123"/>
      <c r="KG96" s="122"/>
      <c r="KH96" s="122"/>
      <c r="KI96" s="122"/>
      <c r="KJ96" s="39"/>
    </row>
    <row r="97" spans="259:296" x14ac:dyDescent="0.35">
      <c r="IY97" s="22"/>
      <c r="IZ97" s="22"/>
      <c r="JA97" s="125"/>
      <c r="JB97" s="116"/>
      <c r="JC97" s="116"/>
      <c r="JD97" s="116"/>
      <c r="JE97" s="116"/>
      <c r="JF97" s="126"/>
      <c r="JG97" s="126"/>
      <c r="JH97" s="126"/>
      <c r="JI97" s="38"/>
      <c r="JZ97" s="22"/>
      <c r="KA97" s="22"/>
      <c r="KB97" s="125"/>
      <c r="KC97" s="116"/>
      <c r="KD97" s="116"/>
      <c r="KE97" s="116"/>
      <c r="KF97" s="116"/>
      <c r="KG97" s="126"/>
      <c r="KH97" s="126"/>
      <c r="KI97" s="126"/>
      <c r="KJ97" s="38"/>
    </row>
  </sheetData>
  <mergeCells count="385">
    <mergeCell ref="DT50:DU50"/>
    <mergeCell ref="EB50:EB51"/>
    <mergeCell ref="DT51:DU51"/>
    <mergeCell ref="DT46:DU47"/>
    <mergeCell ref="DV46:DW46"/>
    <mergeCell ref="DX46:DY46"/>
    <mergeCell ref="DZ46:EA46"/>
    <mergeCell ref="EC46:ED46"/>
    <mergeCell ref="EE46:EF46"/>
    <mergeCell ref="DV47:DW47"/>
    <mergeCell ref="DX47:DY47"/>
    <mergeCell ref="DZ47:EA47"/>
    <mergeCell ref="EC47:ED47"/>
    <mergeCell ref="EE47:EF47"/>
    <mergeCell ref="EG50:EH50"/>
    <mergeCell ref="EO50:EO51"/>
    <mergeCell ref="EU50:EV50"/>
    <mergeCell ref="EI47:EJ47"/>
    <mergeCell ref="EK47:EL47"/>
    <mergeCell ref="DF50:DG50"/>
    <mergeCell ref="DN50:DN51"/>
    <mergeCell ref="DF51:DG51"/>
    <mergeCell ref="DF1:DR1"/>
    <mergeCell ref="DF8:DG8"/>
    <mergeCell ref="DF46:DG47"/>
    <mergeCell ref="DH46:DI46"/>
    <mergeCell ref="DJ46:DK46"/>
    <mergeCell ref="DL46:DM46"/>
    <mergeCell ref="DO46:DP46"/>
    <mergeCell ref="DQ46:DR46"/>
    <mergeCell ref="DH47:DI47"/>
    <mergeCell ref="DJ47:DK47"/>
    <mergeCell ref="DL47:DM47"/>
    <mergeCell ref="DO47:DP47"/>
    <mergeCell ref="DQ47:DR47"/>
    <mergeCell ref="EM47:EN47"/>
    <mergeCell ref="EP47:EQ47"/>
    <mergeCell ref="ER47:ES47"/>
    <mergeCell ref="BQ8:BR8"/>
    <mergeCell ref="CE8:CF8"/>
    <mergeCell ref="CO2:CQ2"/>
    <mergeCell ref="BM2:BO2"/>
    <mergeCell ref="AL2:AN2"/>
    <mergeCell ref="CA2:CC2"/>
    <mergeCell ref="DB2:DD2"/>
    <mergeCell ref="FH1:FT1"/>
    <mergeCell ref="FV1:GH1"/>
    <mergeCell ref="FH8:FI8"/>
    <mergeCell ref="DT1:EF1"/>
    <mergeCell ref="DT8:DU8"/>
    <mergeCell ref="A8:B8"/>
    <mergeCell ref="O8:P8"/>
    <mergeCell ref="AB8:AC8"/>
    <mergeCell ref="AP8:AQ8"/>
    <mergeCell ref="BC8:BD8"/>
    <mergeCell ref="A1:M1"/>
    <mergeCell ref="O1:AA1"/>
    <mergeCell ref="AB1:AN1"/>
    <mergeCell ref="AP1:BB1"/>
    <mergeCell ref="BC1:BO1"/>
    <mergeCell ref="A46:B47"/>
    <mergeCell ref="C46:D46"/>
    <mergeCell ref="E46:F46"/>
    <mergeCell ref="G46:H46"/>
    <mergeCell ref="J46:K46"/>
    <mergeCell ref="L46:M46"/>
    <mergeCell ref="BQ1:CC1"/>
    <mergeCell ref="CE1:CQ1"/>
    <mergeCell ref="AD47:AE47"/>
    <mergeCell ref="AF47:AG47"/>
    <mergeCell ref="AH47:AI47"/>
    <mergeCell ref="AK47:AL47"/>
    <mergeCell ref="O46:P47"/>
    <mergeCell ref="Q46:R46"/>
    <mergeCell ref="S46:T46"/>
    <mergeCell ref="U46:V46"/>
    <mergeCell ref="X46:Y46"/>
    <mergeCell ref="Z46:AA46"/>
    <mergeCell ref="S47:T47"/>
    <mergeCell ref="U47:V47"/>
    <mergeCell ref="X47:Y47"/>
    <mergeCell ref="Z47:AA47"/>
    <mergeCell ref="BC46:BD47"/>
    <mergeCell ref="BE46:BF46"/>
    <mergeCell ref="BG46:BH46"/>
    <mergeCell ref="BI46:BJ46"/>
    <mergeCell ref="BL46:BM46"/>
    <mergeCell ref="BN46:BO46"/>
    <mergeCell ref="BE47:BF47"/>
    <mergeCell ref="BG47:BH47"/>
    <mergeCell ref="BI47:BJ47"/>
    <mergeCell ref="BL47:BM47"/>
    <mergeCell ref="CP46:CQ46"/>
    <mergeCell ref="BQ46:BR47"/>
    <mergeCell ref="BS46:BT46"/>
    <mergeCell ref="BU46:BV46"/>
    <mergeCell ref="BW46:BX46"/>
    <mergeCell ref="BZ46:CA46"/>
    <mergeCell ref="CB46:CC46"/>
    <mergeCell ref="BS47:BT47"/>
    <mergeCell ref="BU47:BV47"/>
    <mergeCell ref="BW47:BX47"/>
    <mergeCell ref="BZ47:CA47"/>
    <mergeCell ref="CB47:CC47"/>
    <mergeCell ref="CG47:CH47"/>
    <mergeCell ref="CI47:CJ47"/>
    <mergeCell ref="CK47:CL47"/>
    <mergeCell ref="CN47:CO47"/>
    <mergeCell ref="AM47:AN47"/>
    <mergeCell ref="AR47:AS47"/>
    <mergeCell ref="AT47:AU47"/>
    <mergeCell ref="AV47:AW47"/>
    <mergeCell ref="AY47:AZ47"/>
    <mergeCell ref="BA47:BB47"/>
    <mergeCell ref="C47:D47"/>
    <mergeCell ref="E47:F47"/>
    <mergeCell ref="G47:H47"/>
    <mergeCell ref="J47:K47"/>
    <mergeCell ref="L47:M47"/>
    <mergeCell ref="Q47:R47"/>
    <mergeCell ref="AP46:AQ47"/>
    <mergeCell ref="AR46:AS46"/>
    <mergeCell ref="AT46:AU46"/>
    <mergeCell ref="AV46:AW46"/>
    <mergeCell ref="AY46:AZ46"/>
    <mergeCell ref="BA46:BB46"/>
    <mergeCell ref="AB46:AC47"/>
    <mergeCell ref="AD46:AE46"/>
    <mergeCell ref="AF46:AG46"/>
    <mergeCell ref="AH46:AI46"/>
    <mergeCell ref="AK46:AL46"/>
    <mergeCell ref="AM46:AN46"/>
    <mergeCell ref="CP47:CQ47"/>
    <mergeCell ref="BN47:BO47"/>
    <mergeCell ref="CR46:CS47"/>
    <mergeCell ref="CT46:CU46"/>
    <mergeCell ref="CT47:CU47"/>
    <mergeCell ref="CE46:CF47"/>
    <mergeCell ref="CG46:CH46"/>
    <mergeCell ref="CI46:CJ46"/>
    <mergeCell ref="CK46:CL46"/>
    <mergeCell ref="CN46:CO46"/>
    <mergeCell ref="CM50:CM51"/>
    <mergeCell ref="AP50:AQ50"/>
    <mergeCell ref="AX50:AX51"/>
    <mergeCell ref="BC50:BD50"/>
    <mergeCell ref="BK50:BK51"/>
    <mergeCell ref="A50:B50"/>
    <mergeCell ref="I50:I51"/>
    <mergeCell ref="O50:P50"/>
    <mergeCell ref="W50:W51"/>
    <mergeCell ref="AB50:AC50"/>
    <mergeCell ref="AJ50:AJ51"/>
    <mergeCell ref="A51:B51"/>
    <mergeCell ref="O51:P51"/>
    <mergeCell ref="AB51:AC51"/>
    <mergeCell ref="AP51:AQ51"/>
    <mergeCell ref="BC51:BD51"/>
    <mergeCell ref="BQ51:BR51"/>
    <mergeCell ref="CE51:CF51"/>
    <mergeCell ref="BQ50:BR50"/>
    <mergeCell ref="BY50:BY51"/>
    <mergeCell ref="CE50:CF50"/>
    <mergeCell ref="CR50:CS50"/>
    <mergeCell ref="CZ50:CZ51"/>
    <mergeCell ref="CR51:CS51"/>
    <mergeCell ref="EG1:ES1"/>
    <mergeCell ref="EU1:FG1"/>
    <mergeCell ref="EG8:EH8"/>
    <mergeCell ref="EU8:EV8"/>
    <mergeCell ref="EG46:EH47"/>
    <mergeCell ref="CR8:CS8"/>
    <mergeCell ref="DC47:DD47"/>
    <mergeCell ref="CV46:CW46"/>
    <mergeCell ref="CX46:CY46"/>
    <mergeCell ref="DA46:DB46"/>
    <mergeCell ref="DC46:DD46"/>
    <mergeCell ref="CV47:CW47"/>
    <mergeCell ref="CX47:CY47"/>
    <mergeCell ref="DA47:DB47"/>
    <mergeCell ref="CR1:DD1"/>
    <mergeCell ref="FC50:FC51"/>
    <mergeCell ref="EG51:EH51"/>
    <mergeCell ref="EW46:EX46"/>
    <mergeCell ref="EY46:EZ46"/>
    <mergeCell ref="FA46:FB46"/>
    <mergeCell ref="FD46:FE46"/>
    <mergeCell ref="ID46:IE46"/>
    <mergeCell ref="HJ1:HV1"/>
    <mergeCell ref="EI46:EJ46"/>
    <mergeCell ref="EK46:EL46"/>
    <mergeCell ref="EM46:EN46"/>
    <mergeCell ref="EP46:EQ46"/>
    <mergeCell ref="ER46:ES46"/>
    <mergeCell ref="EU46:EV47"/>
    <mergeCell ref="EU51:EV51"/>
    <mergeCell ref="FV8:FW8"/>
    <mergeCell ref="GI8:GJ8"/>
    <mergeCell ref="EW47:EX47"/>
    <mergeCell ref="EY47:EZ47"/>
    <mergeCell ref="FA47:FB47"/>
    <mergeCell ref="FD47:FE47"/>
    <mergeCell ref="FF47:FG47"/>
    <mergeCell ref="FF46:FG46"/>
    <mergeCell ref="FH46:FI47"/>
    <mergeCell ref="FJ46:FK46"/>
    <mergeCell ref="FL46:FM46"/>
    <mergeCell ref="FN46:FO46"/>
    <mergeCell ref="FQ46:FR46"/>
    <mergeCell ref="FS46:FT46"/>
    <mergeCell ref="FV46:FW47"/>
    <mergeCell ref="GI1:GU1"/>
    <mergeCell ref="GW1:HI1"/>
    <mergeCell ref="IY1:JK1"/>
    <mergeCell ref="HJ8:HK8"/>
    <mergeCell ref="HX8:HY8"/>
    <mergeCell ref="IK8:IL8"/>
    <mergeCell ref="IY8:IZ8"/>
    <mergeCell ref="JJ46:JK46"/>
    <mergeCell ref="HZ47:IA47"/>
    <mergeCell ref="IB47:IC47"/>
    <mergeCell ref="ID47:IE47"/>
    <mergeCell ref="IT46:IU46"/>
    <mergeCell ref="IV46:IW46"/>
    <mergeCell ref="IY46:IZ47"/>
    <mergeCell ref="JA46:JB46"/>
    <mergeCell ref="JC46:JD46"/>
    <mergeCell ref="JE46:JF46"/>
    <mergeCell ref="IG46:IH46"/>
    <mergeCell ref="JJ47:JK47"/>
    <mergeCell ref="HX1:IJ1"/>
    <mergeCell ref="IK1:IW1"/>
    <mergeCell ref="HX46:HY47"/>
    <mergeCell ref="HZ46:IA46"/>
    <mergeCell ref="IB46:IC46"/>
    <mergeCell ref="FH50:FI50"/>
    <mergeCell ref="FP50:FP51"/>
    <mergeCell ref="FV50:FW50"/>
    <mergeCell ref="GD50:GD51"/>
    <mergeCell ref="HL47:HM47"/>
    <mergeCell ref="HN47:HO47"/>
    <mergeCell ref="HP47:HQ47"/>
    <mergeCell ref="GW8:GX8"/>
    <mergeCell ref="GT46:GU46"/>
    <mergeCell ref="GO46:GP46"/>
    <mergeCell ref="GR46:GS46"/>
    <mergeCell ref="GB46:GC46"/>
    <mergeCell ref="GE46:GF46"/>
    <mergeCell ref="GG46:GH46"/>
    <mergeCell ref="GI46:GJ47"/>
    <mergeCell ref="FX46:FY46"/>
    <mergeCell ref="FZ46:GA46"/>
    <mergeCell ref="HU47:HV47"/>
    <mergeCell ref="HJ50:HK50"/>
    <mergeCell ref="HJ51:HK51"/>
    <mergeCell ref="HR50:HR51"/>
    <mergeCell ref="GK46:GL46"/>
    <mergeCell ref="GM46:GN46"/>
    <mergeCell ref="GB47:GC47"/>
    <mergeCell ref="GE47:GF47"/>
    <mergeCell ref="HJ46:HK47"/>
    <mergeCell ref="HL46:HM46"/>
    <mergeCell ref="HN46:HO46"/>
    <mergeCell ref="HP46:HQ46"/>
    <mergeCell ref="HC47:HD47"/>
    <mergeCell ref="HF47:HG47"/>
    <mergeCell ref="HH47:HI47"/>
    <mergeCell ref="IK51:IL51"/>
    <mergeCell ref="IY51:IZ51"/>
    <mergeCell ref="IG47:IH47"/>
    <mergeCell ref="II47:IJ47"/>
    <mergeCell ref="IM47:IN47"/>
    <mergeCell ref="IF50:IF51"/>
    <mergeCell ref="IK50:IL50"/>
    <mergeCell ref="IO47:IP47"/>
    <mergeCell ref="FH51:FI51"/>
    <mergeCell ref="FV51:FW51"/>
    <mergeCell ref="GI51:GJ51"/>
    <mergeCell ref="GW51:GX51"/>
    <mergeCell ref="GG47:GH47"/>
    <mergeCell ref="GK47:GL47"/>
    <mergeCell ref="HE50:HE51"/>
    <mergeCell ref="FJ47:FK47"/>
    <mergeCell ref="FL47:FM47"/>
    <mergeCell ref="FN47:FO47"/>
    <mergeCell ref="FQ47:FR47"/>
    <mergeCell ref="FS47:FT47"/>
    <mergeCell ref="FX47:FY47"/>
    <mergeCell ref="FZ47:GA47"/>
    <mergeCell ref="HX51:HY51"/>
    <mergeCell ref="HS47:HT47"/>
    <mergeCell ref="IT47:IU47"/>
    <mergeCell ref="IV47:IW47"/>
    <mergeCell ref="JA47:JB47"/>
    <mergeCell ref="JC47:JD47"/>
    <mergeCell ref="JE47:JF47"/>
    <mergeCell ref="II46:IJ46"/>
    <mergeCell ref="IK46:IL47"/>
    <mergeCell ref="IM46:IN46"/>
    <mergeCell ref="IO46:IP46"/>
    <mergeCell ref="IQ46:IR46"/>
    <mergeCell ref="JH47:JI47"/>
    <mergeCell ref="JH46:JI46"/>
    <mergeCell ref="HS46:HT46"/>
    <mergeCell ref="HU46:HV46"/>
    <mergeCell ref="GI50:GJ50"/>
    <mergeCell ref="GQ50:GQ51"/>
    <mergeCell ref="GW50:GX50"/>
    <mergeCell ref="GM47:GN47"/>
    <mergeCell ref="GO47:GP47"/>
    <mergeCell ref="GR47:GS47"/>
    <mergeCell ref="GT47:GU47"/>
    <mergeCell ref="GY47:GZ47"/>
    <mergeCell ref="HA47:HB47"/>
    <mergeCell ref="HC46:HD46"/>
    <mergeCell ref="HF46:HG46"/>
    <mergeCell ref="HH46:HI46"/>
    <mergeCell ref="GW46:GX47"/>
    <mergeCell ref="GY46:GZ46"/>
    <mergeCell ref="HA46:HB46"/>
    <mergeCell ref="HX50:HY50"/>
    <mergeCell ref="IS50:IS51"/>
    <mergeCell ref="IY50:IZ50"/>
    <mergeCell ref="JG50:JG51"/>
    <mergeCell ref="IQ47:IR47"/>
    <mergeCell ref="IY92:IZ92"/>
    <mergeCell ref="JA92:JB92"/>
    <mergeCell ref="JC92:JD92"/>
    <mergeCell ref="JF92:JG92"/>
    <mergeCell ref="JH92:JI92"/>
    <mergeCell ref="IY93:IZ93"/>
    <mergeCell ref="JA93:JB93"/>
    <mergeCell ref="JC93:JD93"/>
    <mergeCell ref="JF93:JG93"/>
    <mergeCell ref="JH93:JI93"/>
    <mergeCell ref="KK46:KL46"/>
    <mergeCell ref="KD47:KE47"/>
    <mergeCell ref="KF47:KG47"/>
    <mergeCell ref="KI47:KJ47"/>
    <mergeCell ref="KK47:KL47"/>
    <mergeCell ref="JL1:JX1"/>
    <mergeCell ref="JZ1:KL1"/>
    <mergeCell ref="JL8:JM8"/>
    <mergeCell ref="JZ8:KA8"/>
    <mergeCell ref="JL46:JM47"/>
    <mergeCell ref="JN46:JO46"/>
    <mergeCell ref="JP46:JQ46"/>
    <mergeCell ref="JR46:JS46"/>
    <mergeCell ref="JU46:JV46"/>
    <mergeCell ref="JW46:JX46"/>
    <mergeCell ref="JZ93:KA93"/>
    <mergeCell ref="KB93:KC93"/>
    <mergeCell ref="KD93:KE93"/>
    <mergeCell ref="KG93:KH93"/>
    <mergeCell ref="KI93:KJ93"/>
    <mergeCell ref="JL50:JM50"/>
    <mergeCell ref="JT50:JT51"/>
    <mergeCell ref="JZ50:KA50"/>
    <mergeCell ref="KH50:KH51"/>
    <mergeCell ref="JL51:JM51"/>
    <mergeCell ref="JZ51:KA51"/>
    <mergeCell ref="JI2:JK2"/>
    <mergeCell ref="JV2:JX2"/>
    <mergeCell ref="KJ2:KL2"/>
    <mergeCell ref="Y2:AA2"/>
    <mergeCell ref="AZ2:BB2"/>
    <mergeCell ref="EQ2:ES2"/>
    <mergeCell ref="HT2:HV2"/>
    <mergeCell ref="IG2:IJ2"/>
    <mergeCell ref="JZ92:KA92"/>
    <mergeCell ref="KB92:KC92"/>
    <mergeCell ref="KD92:KE92"/>
    <mergeCell ref="KG92:KH92"/>
    <mergeCell ref="KI92:KJ92"/>
    <mergeCell ref="JN47:JO47"/>
    <mergeCell ref="JP47:JQ47"/>
    <mergeCell ref="JR47:JS47"/>
    <mergeCell ref="JU47:JV47"/>
    <mergeCell ref="JW47:JX47"/>
    <mergeCell ref="KB47:KC47"/>
    <mergeCell ref="JZ46:KA47"/>
    <mergeCell ref="KB46:KC46"/>
    <mergeCell ref="KD46:KE46"/>
    <mergeCell ref="KF46:KG46"/>
    <mergeCell ref="KI46:KJ46"/>
  </mergeCells>
  <printOptions verticalCentered="1"/>
  <pageMargins left="0.23622047244094491" right="0" top="0" bottom="0" header="0" footer="0"/>
  <pageSetup paperSize="9" scale="54" orientation="landscape" r:id="rId1"/>
  <colBreaks count="11" manualBreakCount="11">
    <brk id="27" max="62" man="1"/>
    <brk id="54" max="62" man="1"/>
    <brk id="68" max="62" man="1"/>
    <brk id="95" max="62" man="1"/>
    <brk id="109" max="62" man="1"/>
    <brk id="136" max="62" man="1"/>
    <brk id="163" max="62" man="1"/>
    <brk id="190" max="62" man="1"/>
    <brk id="217" max="62" man="1"/>
    <brk id="244" max="62" man="1"/>
    <brk id="271" max="6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13ED-87C3-4B32-9382-14E8D4848F7D}">
  <sheetPr>
    <tabColor rgb="FF00B0F0"/>
  </sheetPr>
  <dimension ref="A1:EI97"/>
  <sheetViews>
    <sheetView view="pageBreakPreview" topLeftCell="CD1" zoomScale="72" zoomScaleNormal="85" zoomScaleSheetLayoutView="85" workbookViewId="0">
      <selection activeCell="BC33" sqref="AL33:BC37"/>
    </sheetView>
  </sheetViews>
  <sheetFormatPr defaultColWidth="8.81640625" defaultRowHeight="14.5" x14ac:dyDescent="0.35"/>
  <cols>
    <col min="1" max="2" width="5.7265625" customWidth="1"/>
    <col min="3" max="3" width="9.453125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9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10.81640625" bestFit="1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453125" style="3" customWidth="1"/>
    <col min="24" max="24" width="8.81640625" style="2"/>
    <col min="25" max="25" width="10.26953125" customWidth="1"/>
    <col min="26" max="26" width="9.1796875" bestFit="1" customWidth="1"/>
    <col min="27" max="27" width="13.81640625" style="1" customWidth="1"/>
    <col min="28" max="29" width="5.7265625" customWidth="1"/>
    <col min="30" max="30" width="9.7265625" customWidth="1"/>
    <col min="31" max="31" width="8.7265625" customWidth="1"/>
    <col min="33" max="33" width="7.7265625" customWidth="1"/>
    <col min="34" max="34" width="8.81640625" customWidth="1"/>
    <col min="35" max="35" width="8.453125" style="3" customWidth="1"/>
    <col min="36" max="36" width="7.453125" style="3" customWidth="1"/>
    <col min="37" max="37" width="8.81640625" style="2"/>
    <col min="38" max="38" width="9" customWidth="1"/>
    <col min="39" max="39" width="8.81640625" customWidth="1"/>
    <col min="40" max="40" width="13.81640625" style="1" customWidth="1"/>
    <col min="41" max="41" width="7.7265625" customWidth="1"/>
    <col min="42" max="43" width="5.7265625" customWidth="1"/>
    <col min="44" max="44" width="9.453125" bestFit="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453125" style="3" customWidth="1"/>
    <col min="51" max="51" width="8.81640625" style="2"/>
    <col min="52" max="52" width="7" customWidth="1"/>
    <col min="53" max="53" width="9" bestFit="1" customWidth="1"/>
    <col min="54" max="54" width="13.81640625" style="1" customWidth="1"/>
    <col min="55" max="56" width="5.7265625" customWidth="1"/>
    <col min="57" max="57" width="9.453125" bestFit="1" customWidth="1"/>
    <col min="58" max="58" width="8.7265625" customWidth="1"/>
    <col min="60" max="60" width="7.7265625" customWidth="1"/>
    <col min="61" max="61" width="9" bestFit="1" customWidth="1"/>
    <col min="62" max="62" width="8.453125" style="3" customWidth="1"/>
    <col min="63" max="63" width="7.453125" style="3" customWidth="1"/>
    <col min="64" max="64" width="8.81640625" style="2"/>
    <col min="65" max="65" width="7" customWidth="1"/>
    <col min="66" max="66" width="9" bestFit="1" customWidth="1"/>
    <col min="67" max="67" width="13.81640625" style="1" customWidth="1"/>
    <col min="68" max="68" width="7.7265625" customWidth="1"/>
    <col min="69" max="70" width="5.7265625" customWidth="1"/>
    <col min="71" max="71" width="9.453125" bestFit="1" customWidth="1"/>
    <col min="72" max="72" width="8.7265625" customWidth="1"/>
    <col min="74" max="74" width="7.7265625" customWidth="1"/>
    <col min="75" max="75" width="9" bestFit="1" customWidth="1"/>
    <col min="76" max="76" width="8.453125" style="3" customWidth="1"/>
    <col min="77" max="77" width="7.453125" style="3" customWidth="1"/>
    <col min="78" max="78" width="8.81640625" style="2"/>
    <col min="79" max="79" width="9.54296875" customWidth="1"/>
    <col min="80" max="80" width="9" bestFit="1" customWidth="1"/>
    <col min="81" max="81" width="13.81640625" style="1" customWidth="1"/>
    <col min="82" max="82" width="7.7265625" customWidth="1"/>
    <col min="83" max="84" width="5.7265625" customWidth="1"/>
    <col min="85" max="85" width="9.1796875" customWidth="1"/>
    <col min="86" max="86" width="8.7265625" customWidth="1"/>
    <col min="88" max="88" width="7.7265625" customWidth="1"/>
    <col min="89" max="89" width="8.81640625" customWidth="1"/>
    <col min="90" max="90" width="8.453125" style="3" customWidth="1"/>
    <col min="91" max="91" width="7.26953125" style="3" customWidth="1"/>
    <col min="92" max="92" width="8.81640625" style="2"/>
    <col min="93" max="93" width="7" customWidth="1"/>
    <col min="94" max="94" width="8.81640625" customWidth="1"/>
    <col min="95" max="95" width="17" style="1" customWidth="1"/>
    <col min="96" max="96" width="7.7265625" customWidth="1"/>
    <col min="97" max="98" width="5.7265625" customWidth="1"/>
    <col min="99" max="99" width="8.81640625" customWidth="1"/>
    <col min="100" max="100" width="8.7265625" customWidth="1"/>
    <col min="102" max="102" width="8.26953125" customWidth="1"/>
    <col min="103" max="103" width="8.81640625" customWidth="1"/>
    <col min="104" max="104" width="8.453125" style="3" customWidth="1"/>
    <col min="105" max="105" width="7.26953125" style="3" customWidth="1"/>
    <col min="106" max="106" width="8.81640625" style="2"/>
    <col min="107" max="107" width="7" customWidth="1"/>
    <col min="108" max="108" width="8.81640625" customWidth="1"/>
    <col min="109" max="109" width="13.81640625" style="1" customWidth="1"/>
    <col min="110" max="110" width="4.6328125" customWidth="1"/>
    <col min="111" max="112" width="5.7265625" customWidth="1"/>
    <col min="113" max="113" width="11" customWidth="1"/>
    <col min="114" max="114" width="8.7265625" customWidth="1"/>
    <col min="116" max="116" width="7.7265625" customWidth="1"/>
    <col min="117" max="117" width="9" bestFit="1" customWidth="1"/>
    <col min="118" max="118" width="8.453125" style="3" customWidth="1"/>
    <col min="119" max="119" width="7.54296875" style="3" customWidth="1"/>
    <col min="120" max="120" width="8.81640625" style="2"/>
    <col min="121" max="121" width="7" customWidth="1"/>
    <col min="122" max="122" width="9" bestFit="1" customWidth="1"/>
    <col min="123" max="123" width="15.453125" style="1" customWidth="1"/>
    <col min="124" max="124" width="7.7265625" customWidth="1"/>
    <col min="125" max="126" width="5.7265625" customWidth="1"/>
    <col min="127" max="127" width="9.453125" bestFit="1" customWidth="1"/>
    <col min="128" max="128" width="8.7265625" customWidth="1"/>
    <col min="130" max="130" width="7.7265625" customWidth="1"/>
    <col min="131" max="131" width="9" bestFit="1" customWidth="1"/>
    <col min="132" max="132" width="8.453125" style="3" customWidth="1"/>
    <col min="133" max="133" width="7.26953125" style="3" customWidth="1"/>
    <col min="134" max="134" width="8.81640625" style="2"/>
    <col min="135" max="135" width="7" customWidth="1"/>
    <col min="136" max="136" width="9" bestFit="1" customWidth="1"/>
    <col min="137" max="137" width="13.81640625" style="1" customWidth="1"/>
    <col min="138" max="138" width="3.26953125" customWidth="1"/>
    <col min="139" max="139" width="7.7265625" customWidth="1"/>
  </cols>
  <sheetData>
    <row r="1" spans="1:139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$A$1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$A$1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tr">
        <f>$A$1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 t="str">
        <f>$A$1</f>
        <v>WORKER WAGES - JUNE 26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50"/>
      <c r="BQ1" s="164" t="str">
        <f>$A$1</f>
        <v>WORKER WAGES - 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50"/>
      <c r="CE1" s="164" t="str">
        <f>$A$1</f>
        <v>WORKER WAGES - JUNE 26</v>
      </c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50"/>
      <c r="CS1" s="164" t="str">
        <f>$A$1</f>
        <v>WORKER WAGES - JUNE 26</v>
      </c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164"/>
      <c r="DF1" s="50"/>
      <c r="DG1" s="164" t="str">
        <f>$A$1</f>
        <v>WORKER WAGES - JUNE 26</v>
      </c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  <c r="DS1" s="164"/>
      <c r="DT1" s="50"/>
      <c r="DU1" s="164" t="str">
        <f>$A$1</f>
        <v>WORKER WAGES - JUNE 26</v>
      </c>
      <c r="DV1" s="164"/>
      <c r="DW1" s="164"/>
      <c r="DX1" s="164"/>
      <c r="DY1" s="164"/>
      <c r="DZ1" s="164"/>
      <c r="EA1" s="164"/>
      <c r="EB1" s="164"/>
      <c r="EC1" s="164"/>
      <c r="ED1" s="164"/>
      <c r="EE1" s="164"/>
      <c r="EF1" s="164"/>
      <c r="EG1" s="164"/>
      <c r="EH1" s="50"/>
      <c r="EI1" s="50"/>
    </row>
    <row r="2" spans="1:139" s="78" customFormat="1" ht="39.75" customHeight="1" x14ac:dyDescent="0.35">
      <c r="A2" s="78" t="s">
        <v>20</v>
      </c>
      <c r="C2" s="79" t="s">
        <v>110</v>
      </c>
      <c r="D2" s="79"/>
      <c r="E2" s="79"/>
      <c r="F2" s="79"/>
      <c r="G2" s="79" t="s">
        <v>111</v>
      </c>
      <c r="H2" s="80"/>
      <c r="I2" s="80"/>
      <c r="J2" s="80"/>
      <c r="K2" s="80"/>
      <c r="L2" s="80"/>
      <c r="M2" s="80"/>
      <c r="O2" s="78" t="s">
        <v>20</v>
      </c>
      <c r="Q2" s="79" t="s">
        <v>112</v>
      </c>
      <c r="R2" s="79"/>
      <c r="S2" s="79"/>
      <c r="T2" s="79" t="s">
        <v>113</v>
      </c>
      <c r="U2" s="79"/>
      <c r="V2" s="80"/>
      <c r="W2" s="80"/>
      <c r="X2" s="80"/>
      <c r="Y2" s="80"/>
      <c r="Z2" s="80"/>
      <c r="AA2" s="80"/>
      <c r="AB2" s="78" t="s">
        <v>20</v>
      </c>
      <c r="AD2" s="79" t="s">
        <v>114</v>
      </c>
      <c r="AE2" s="79"/>
      <c r="AF2" s="79"/>
      <c r="AG2" s="79"/>
      <c r="AH2" s="79" t="s">
        <v>115</v>
      </c>
      <c r="AI2" s="80"/>
      <c r="AJ2" s="80"/>
      <c r="AK2" s="80"/>
      <c r="AL2" s="80"/>
      <c r="AM2" s="80"/>
      <c r="AN2" s="80"/>
      <c r="AP2" s="78" t="s">
        <v>20</v>
      </c>
      <c r="AR2" s="79" t="s">
        <v>116</v>
      </c>
      <c r="AS2" s="79"/>
      <c r="AT2" s="79"/>
      <c r="AU2" s="79"/>
      <c r="AV2" s="79" t="s">
        <v>117</v>
      </c>
      <c r="AW2" s="80"/>
      <c r="AX2" s="80"/>
      <c r="AY2" s="80"/>
      <c r="AZ2" s="80"/>
      <c r="BA2" s="80"/>
      <c r="BB2" s="80"/>
      <c r="BC2" s="78" t="s">
        <v>20</v>
      </c>
      <c r="BE2" s="79" t="s">
        <v>118</v>
      </c>
      <c r="BF2" s="79"/>
      <c r="BG2" s="79"/>
      <c r="BH2" s="79"/>
      <c r="BI2" s="79" t="s">
        <v>119</v>
      </c>
      <c r="BJ2" s="80"/>
      <c r="BK2" s="80"/>
      <c r="BL2" s="80"/>
      <c r="BM2" s="80"/>
      <c r="BN2" s="80"/>
      <c r="BO2" s="80"/>
      <c r="BQ2" s="78" t="s">
        <v>20</v>
      </c>
      <c r="BS2" s="79" t="s">
        <v>120</v>
      </c>
      <c r="BT2" s="79"/>
      <c r="BU2" s="79"/>
      <c r="BV2" s="79"/>
      <c r="BW2" s="79" t="s">
        <v>121</v>
      </c>
      <c r="BX2" s="80"/>
      <c r="BY2" s="79"/>
      <c r="BZ2" s="79"/>
      <c r="CA2" s="79"/>
      <c r="CB2" s="79"/>
      <c r="CC2" s="127"/>
      <c r="CE2" s="78" t="s">
        <v>20</v>
      </c>
      <c r="CG2" s="79" t="s">
        <v>123</v>
      </c>
      <c r="CH2" s="79"/>
      <c r="CI2" s="79"/>
      <c r="CJ2" s="79"/>
      <c r="CK2" s="79" t="s">
        <v>124</v>
      </c>
      <c r="CL2" s="80"/>
      <c r="CM2" s="80"/>
      <c r="CN2" s="79"/>
      <c r="CO2" s="79"/>
      <c r="CP2" s="79"/>
      <c r="CQ2" s="79"/>
      <c r="CS2" s="131" t="s">
        <v>20</v>
      </c>
      <c r="CT2" s="131"/>
      <c r="CU2" s="132" t="s">
        <v>125</v>
      </c>
      <c r="CV2" s="132"/>
      <c r="CW2" s="132"/>
      <c r="CX2" s="132"/>
      <c r="CY2" s="132" t="s">
        <v>126</v>
      </c>
      <c r="CZ2" s="133"/>
      <c r="DA2" s="80"/>
      <c r="DB2" s="179" t="s">
        <v>122</v>
      </c>
      <c r="DC2" s="179"/>
      <c r="DD2" s="179"/>
      <c r="DE2" s="179"/>
      <c r="DG2" s="78" t="s">
        <v>20</v>
      </c>
      <c r="DI2" s="81" t="s">
        <v>127</v>
      </c>
      <c r="DJ2" s="79"/>
      <c r="DK2" s="79"/>
      <c r="DL2" s="79"/>
      <c r="DM2" s="79" t="s">
        <v>128</v>
      </c>
      <c r="DN2" s="80"/>
      <c r="DO2" s="80"/>
      <c r="DP2" s="79"/>
      <c r="DQ2" s="79"/>
      <c r="DR2" s="79"/>
      <c r="DS2" s="79"/>
      <c r="DU2" s="78" t="s">
        <v>20</v>
      </c>
      <c r="DW2" s="79" t="s">
        <v>129</v>
      </c>
      <c r="DX2" s="79"/>
      <c r="DY2" s="79"/>
      <c r="DZ2" s="79"/>
      <c r="EA2" s="79" t="s">
        <v>130</v>
      </c>
      <c r="EB2" s="80"/>
      <c r="EC2" s="80"/>
      <c r="ED2" s="79"/>
      <c r="EE2" s="79"/>
      <c r="EF2" s="79"/>
      <c r="EG2" s="79"/>
    </row>
    <row r="3" spans="1:139" ht="3" customHeight="1" x14ac:dyDescent="0.35">
      <c r="DW3" t="s">
        <v>109</v>
      </c>
    </row>
    <row r="4" spans="1:139" x14ac:dyDescent="0.35">
      <c r="H4" s="6"/>
      <c r="I4" s="6"/>
      <c r="V4" s="6"/>
      <c r="W4" s="6"/>
      <c r="AI4" s="6"/>
      <c r="AJ4" s="6"/>
      <c r="AW4" s="6"/>
      <c r="AX4" s="6"/>
      <c r="BJ4" s="6"/>
      <c r="BK4" s="6"/>
      <c r="BX4" s="6"/>
      <c r="BY4" s="6"/>
      <c r="CL4" s="6"/>
      <c r="CM4" s="6"/>
      <c r="CZ4" s="6"/>
      <c r="DA4" s="6"/>
      <c r="DN4" s="6"/>
      <c r="DO4" s="6"/>
      <c r="EB4" s="6"/>
      <c r="EC4" s="6"/>
    </row>
    <row r="5" spans="1:139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10.633333333333335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17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24</v>
      </c>
      <c r="AE5" s="69" t="s">
        <v>22</v>
      </c>
      <c r="AF5" s="69"/>
      <c r="AG5" s="69" t="s">
        <v>23</v>
      </c>
      <c r="AH5" s="70">
        <f>SUM(AH47)</f>
        <v>4.0666666666666655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11.783333333333331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C5" s="69" t="s">
        <v>49</v>
      </c>
      <c r="BD5" s="69"/>
      <c r="BE5" s="70">
        <f>SUM(BE47)</f>
        <v>24</v>
      </c>
      <c r="BF5" s="69" t="s">
        <v>22</v>
      </c>
      <c r="BG5" s="69"/>
      <c r="BH5" s="69" t="s">
        <v>23</v>
      </c>
      <c r="BI5" s="70">
        <f>SUM(BI47)</f>
        <v>0</v>
      </c>
      <c r="BJ5" s="71" t="s">
        <v>12</v>
      </c>
      <c r="BK5" s="71"/>
      <c r="BL5" s="72"/>
      <c r="BM5" s="69" t="s">
        <v>37</v>
      </c>
      <c r="BN5" s="70">
        <f>SUM(BL47)</f>
        <v>1</v>
      </c>
      <c r="BO5" s="73" t="s">
        <v>22</v>
      </c>
      <c r="BQ5" s="69" t="s">
        <v>49</v>
      </c>
      <c r="BR5" s="69"/>
      <c r="BS5" s="70">
        <f>SUM(BS47)</f>
        <v>25</v>
      </c>
      <c r="BT5" s="69" t="s">
        <v>22</v>
      </c>
      <c r="BU5" s="69"/>
      <c r="BV5" s="69" t="s">
        <v>23</v>
      </c>
      <c r="BW5" s="70">
        <f>SUM(BW47)</f>
        <v>0</v>
      </c>
      <c r="BX5" s="71" t="s">
        <v>12</v>
      </c>
      <c r="BY5" s="71"/>
      <c r="BZ5" s="72"/>
      <c r="CA5" s="69" t="s">
        <v>37</v>
      </c>
      <c r="CB5" s="70">
        <f>SUM(BZ47)</f>
        <v>1</v>
      </c>
      <c r="CC5" s="73" t="s">
        <v>22</v>
      </c>
      <c r="CE5" s="69" t="s">
        <v>49</v>
      </c>
      <c r="CF5" s="69"/>
      <c r="CG5" s="70">
        <f>SUM(CG47)</f>
        <v>25</v>
      </c>
      <c r="CH5" s="69" t="s">
        <v>22</v>
      </c>
      <c r="CI5" s="69"/>
      <c r="CJ5" s="69" t="s">
        <v>23</v>
      </c>
      <c r="CK5" s="70">
        <f>SUM(CK47)</f>
        <v>16.783333333333328</v>
      </c>
      <c r="CL5" s="71" t="s">
        <v>12</v>
      </c>
      <c r="CM5" s="71"/>
      <c r="CN5" s="72"/>
      <c r="CO5" s="69" t="s">
        <v>37</v>
      </c>
      <c r="CP5" s="70">
        <f>SUM(CN47)</f>
        <v>1</v>
      </c>
      <c r="CQ5" s="73" t="s">
        <v>22</v>
      </c>
      <c r="CS5" s="69" t="s">
        <v>49</v>
      </c>
      <c r="CT5" s="69"/>
      <c r="CU5" s="70">
        <f>SUM(CU47)</f>
        <v>0</v>
      </c>
      <c r="CV5" s="69" t="s">
        <v>22</v>
      </c>
      <c r="CW5" s="69"/>
      <c r="CX5" s="69" t="s">
        <v>23</v>
      </c>
      <c r="CY5" s="70">
        <f>SUM(CY47)</f>
        <v>0</v>
      </c>
      <c r="CZ5" s="71" t="s">
        <v>12</v>
      </c>
      <c r="DA5" s="71"/>
      <c r="DB5" s="72"/>
      <c r="DC5" s="69" t="s">
        <v>37</v>
      </c>
      <c r="DD5" s="70">
        <f>SUM(DB47)</f>
        <v>0</v>
      </c>
      <c r="DE5" s="73" t="s">
        <v>22</v>
      </c>
      <c r="DG5" s="69" t="s">
        <v>49</v>
      </c>
      <c r="DH5" s="69"/>
      <c r="DI5" s="70">
        <f>SUM(DI47)</f>
        <v>24</v>
      </c>
      <c r="DJ5" s="69" t="s">
        <v>22</v>
      </c>
      <c r="DK5" s="69"/>
      <c r="DL5" s="69" t="s">
        <v>23</v>
      </c>
      <c r="DM5" s="70">
        <f>SUM(DM47)</f>
        <v>6.3333333333333321</v>
      </c>
      <c r="DN5" s="71" t="s">
        <v>12</v>
      </c>
      <c r="DO5" s="71"/>
      <c r="DP5" s="72"/>
      <c r="DQ5" s="69" t="s">
        <v>37</v>
      </c>
      <c r="DR5" s="70">
        <f>SUM(DP47)</f>
        <v>1</v>
      </c>
      <c r="DS5" s="73" t="s">
        <v>22</v>
      </c>
      <c r="DU5" s="69" t="s">
        <v>49</v>
      </c>
      <c r="DV5" s="69"/>
      <c r="DW5" s="70">
        <f>SUM(DW47)</f>
        <v>25</v>
      </c>
      <c r="DX5" s="69" t="s">
        <v>22</v>
      </c>
      <c r="DY5" s="69"/>
      <c r="DZ5" s="69" t="s">
        <v>23</v>
      </c>
      <c r="EA5" s="70">
        <f>SUM(EA47)</f>
        <v>10.933333333333332</v>
      </c>
      <c r="EB5" s="71" t="s">
        <v>12</v>
      </c>
      <c r="EC5" s="71"/>
      <c r="ED5" s="72"/>
      <c r="EE5" s="69" t="s">
        <v>37</v>
      </c>
      <c r="EF5" s="70">
        <f>SUM(ED47)</f>
        <v>1</v>
      </c>
      <c r="EG5" s="73" t="s">
        <v>22</v>
      </c>
    </row>
    <row r="6" spans="1:139" s="74" customFormat="1" ht="20.149999999999999" customHeight="1" x14ac:dyDescent="0.35">
      <c r="A6" s="69" t="s">
        <v>21</v>
      </c>
      <c r="B6" s="69"/>
      <c r="C6" s="75">
        <f>SUM(E47)</f>
        <v>118.75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0</v>
      </c>
      <c r="M6" s="73" t="s">
        <v>12</v>
      </c>
      <c r="O6" s="69" t="s">
        <v>21</v>
      </c>
      <c r="P6" s="69"/>
      <c r="Q6" s="75">
        <f>SUM(S47)</f>
        <v>118.75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0</v>
      </c>
      <c r="AA6" s="73" t="s">
        <v>12</v>
      </c>
      <c r="AB6" s="69" t="s">
        <v>21</v>
      </c>
      <c r="AC6" s="69"/>
      <c r="AD6" s="75">
        <f>SUM(AF47)</f>
        <v>113.61666666666667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0</v>
      </c>
      <c r="AN6" s="73" t="s">
        <v>12</v>
      </c>
      <c r="AP6" s="69" t="s">
        <v>21</v>
      </c>
      <c r="AQ6" s="69"/>
      <c r="AR6" s="75">
        <f>SUM(AT47)</f>
        <v>118.75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0</v>
      </c>
      <c r="BB6" s="73" t="s">
        <v>12</v>
      </c>
      <c r="BC6" s="69" t="s">
        <v>21</v>
      </c>
      <c r="BD6" s="69"/>
      <c r="BE6" s="75">
        <f>SUM(BG47)</f>
        <v>103.30000000000001</v>
      </c>
      <c r="BF6" s="69" t="s">
        <v>12</v>
      </c>
      <c r="BG6" s="69"/>
      <c r="BH6" s="69"/>
      <c r="BI6" s="69"/>
      <c r="BJ6" s="76"/>
      <c r="BK6" s="76"/>
      <c r="BL6" s="72"/>
      <c r="BM6" s="69" t="s">
        <v>36</v>
      </c>
      <c r="BN6" s="77">
        <f>SUM(BN47)</f>
        <v>0</v>
      </c>
      <c r="BO6" s="73" t="s">
        <v>12</v>
      </c>
      <c r="BQ6" s="69" t="s">
        <v>21</v>
      </c>
      <c r="BR6" s="69"/>
      <c r="BS6" s="75">
        <f>SUM(BU47)</f>
        <v>118.75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0</v>
      </c>
      <c r="CC6" s="73" t="s">
        <v>12</v>
      </c>
      <c r="CE6" s="69" t="s">
        <v>21</v>
      </c>
      <c r="CF6" s="69"/>
      <c r="CG6" s="75">
        <f>SUM(CI47)</f>
        <v>118.75</v>
      </c>
      <c r="CH6" s="69" t="s">
        <v>12</v>
      </c>
      <c r="CI6" s="69"/>
      <c r="CJ6" s="69"/>
      <c r="CK6" s="69"/>
      <c r="CL6" s="76"/>
      <c r="CM6" s="76"/>
      <c r="CN6" s="72"/>
      <c r="CO6" s="69" t="s">
        <v>36</v>
      </c>
      <c r="CP6" s="77">
        <f>SUM(CP47)</f>
        <v>0</v>
      </c>
      <c r="CQ6" s="73" t="s">
        <v>12</v>
      </c>
      <c r="CS6" s="69" t="s">
        <v>21</v>
      </c>
      <c r="CT6" s="69"/>
      <c r="CU6" s="75">
        <f>SUM(CW47)</f>
        <v>0</v>
      </c>
      <c r="CV6" s="69" t="s">
        <v>12</v>
      </c>
      <c r="CW6" s="69"/>
      <c r="CX6" s="69"/>
      <c r="CY6" s="69"/>
      <c r="CZ6" s="76"/>
      <c r="DA6" s="76"/>
      <c r="DB6" s="72"/>
      <c r="DC6" s="69" t="s">
        <v>36</v>
      </c>
      <c r="DD6" s="77">
        <f>SUM(DD47)</f>
        <v>0</v>
      </c>
      <c r="DE6" s="73" t="s">
        <v>12</v>
      </c>
      <c r="DG6" s="69" t="s">
        <v>21</v>
      </c>
      <c r="DH6" s="69"/>
      <c r="DI6" s="75">
        <f>SUM(DK47)</f>
        <v>113.91666666666667</v>
      </c>
      <c r="DJ6" s="69" t="s">
        <v>12</v>
      </c>
      <c r="DK6" s="69"/>
      <c r="DL6" s="69"/>
      <c r="DM6" s="69"/>
      <c r="DN6" s="76"/>
      <c r="DO6" s="76"/>
      <c r="DP6" s="72"/>
      <c r="DQ6" s="69" t="s">
        <v>36</v>
      </c>
      <c r="DR6" s="77">
        <f>SUM(DR47)</f>
        <v>0</v>
      </c>
      <c r="DS6" s="73" t="s">
        <v>12</v>
      </c>
      <c r="DU6" s="69" t="s">
        <v>21</v>
      </c>
      <c r="DV6" s="69"/>
      <c r="DW6" s="75">
        <f>SUM(DY47)</f>
        <v>117.5</v>
      </c>
      <c r="DX6" s="69" t="s">
        <v>12</v>
      </c>
      <c r="DY6" s="69"/>
      <c r="DZ6" s="69"/>
      <c r="EA6" s="69"/>
      <c r="EB6" s="76"/>
      <c r="EC6" s="76"/>
      <c r="ED6" s="72"/>
      <c r="EE6" s="69" t="s">
        <v>36</v>
      </c>
      <c r="EF6" s="77">
        <f>SUM(EF47)</f>
        <v>0</v>
      </c>
      <c r="EG6" s="73" t="s">
        <v>12</v>
      </c>
    </row>
    <row r="7" spans="1:139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C7" s="21"/>
      <c r="BD7" s="21"/>
      <c r="BE7" s="21"/>
      <c r="BF7" s="21"/>
      <c r="BG7" s="21"/>
      <c r="BH7" s="39" t="s">
        <v>59</v>
      </c>
      <c r="BI7" s="21"/>
      <c r="BJ7" s="22"/>
      <c r="BK7" s="33" t="s">
        <v>35</v>
      </c>
      <c r="BL7" s="38"/>
      <c r="BM7" s="21"/>
      <c r="BN7" s="39" t="s">
        <v>60</v>
      </c>
      <c r="BO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E7" s="21"/>
      <c r="CF7" s="21"/>
      <c r="CG7" s="21"/>
      <c r="CH7" s="21"/>
      <c r="CI7" s="21"/>
      <c r="CJ7" s="39" t="s">
        <v>59</v>
      </c>
      <c r="CK7" s="21"/>
      <c r="CL7" s="22"/>
      <c r="CM7" s="33" t="s">
        <v>35</v>
      </c>
      <c r="CN7" s="38"/>
      <c r="CO7" s="21"/>
      <c r="CP7" s="39" t="s">
        <v>60</v>
      </c>
      <c r="CQ7" s="38"/>
      <c r="CS7" s="21"/>
      <c r="CT7" s="21"/>
      <c r="CU7" s="21"/>
      <c r="CV7" s="21"/>
      <c r="CW7" s="21"/>
      <c r="CX7" s="39" t="s">
        <v>59</v>
      </c>
      <c r="CY7" s="21"/>
      <c r="CZ7" s="22"/>
      <c r="DA7" s="33" t="s">
        <v>35</v>
      </c>
      <c r="DB7" s="38"/>
      <c r="DC7" s="21"/>
      <c r="DD7" s="39" t="s">
        <v>60</v>
      </c>
      <c r="DE7" s="38"/>
      <c r="DG7" s="21"/>
      <c r="DH7" s="21"/>
      <c r="DI7" s="21"/>
      <c r="DJ7" s="21"/>
      <c r="DK7" s="21"/>
      <c r="DL7" s="39" t="s">
        <v>59</v>
      </c>
      <c r="DM7" s="21"/>
      <c r="DN7" s="22"/>
      <c r="DO7" s="33" t="s">
        <v>35</v>
      </c>
      <c r="DP7" s="38"/>
      <c r="DQ7" s="21"/>
      <c r="DR7" s="39" t="s">
        <v>60</v>
      </c>
      <c r="DS7" s="38"/>
      <c r="DU7" s="21"/>
      <c r="DV7" s="21"/>
      <c r="DW7" s="21"/>
      <c r="DX7" s="21"/>
      <c r="DY7" s="21"/>
      <c r="DZ7" s="39" t="s">
        <v>59</v>
      </c>
      <c r="EA7" s="21"/>
      <c r="EB7" s="22"/>
      <c r="EC7" s="33" t="s">
        <v>35</v>
      </c>
      <c r="ED7" s="38"/>
      <c r="EE7" s="21"/>
      <c r="EF7" s="39" t="s">
        <v>60</v>
      </c>
      <c r="EG7" s="38"/>
    </row>
    <row r="8" spans="1:139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C8" s="165" t="s">
        <v>0</v>
      </c>
      <c r="BD8" s="166"/>
      <c r="BE8" s="42" t="s">
        <v>7</v>
      </c>
      <c r="BF8" s="42" t="s">
        <v>8</v>
      </c>
      <c r="BG8" s="42" t="s">
        <v>7</v>
      </c>
      <c r="BH8" s="42" t="s">
        <v>8</v>
      </c>
      <c r="BI8" s="83" t="s">
        <v>9</v>
      </c>
      <c r="BJ8" s="23" t="s">
        <v>10</v>
      </c>
      <c r="BK8" s="34" t="s">
        <v>34</v>
      </c>
      <c r="BL8" s="83" t="s">
        <v>11</v>
      </c>
      <c r="BM8" s="42" t="s">
        <v>13</v>
      </c>
      <c r="BN8" s="83" t="s">
        <v>14</v>
      </c>
      <c r="BO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E8" s="165" t="s">
        <v>0</v>
      </c>
      <c r="CF8" s="166"/>
      <c r="CG8" s="42" t="s">
        <v>7</v>
      </c>
      <c r="CH8" s="42" t="s">
        <v>8</v>
      </c>
      <c r="CI8" s="42" t="s">
        <v>7</v>
      </c>
      <c r="CJ8" s="42" t="s">
        <v>8</v>
      </c>
      <c r="CK8" s="83" t="s">
        <v>9</v>
      </c>
      <c r="CL8" s="23" t="s">
        <v>10</v>
      </c>
      <c r="CM8" s="34" t="s">
        <v>34</v>
      </c>
      <c r="CN8" s="83" t="s">
        <v>11</v>
      </c>
      <c r="CO8" s="42" t="s">
        <v>13</v>
      </c>
      <c r="CP8" s="83" t="s">
        <v>14</v>
      </c>
      <c r="CQ8" s="42" t="s">
        <v>15</v>
      </c>
      <c r="CS8" s="165" t="s">
        <v>0</v>
      </c>
      <c r="CT8" s="166"/>
      <c r="CU8" s="42" t="s">
        <v>7</v>
      </c>
      <c r="CV8" s="42" t="s">
        <v>8</v>
      </c>
      <c r="CW8" s="42" t="s">
        <v>7</v>
      </c>
      <c r="CX8" s="42" t="s">
        <v>8</v>
      </c>
      <c r="CY8" s="83" t="s">
        <v>9</v>
      </c>
      <c r="CZ8" s="23" t="s">
        <v>10</v>
      </c>
      <c r="DA8" s="34" t="s">
        <v>34</v>
      </c>
      <c r="DB8" s="83" t="s">
        <v>11</v>
      </c>
      <c r="DC8" s="42" t="s">
        <v>13</v>
      </c>
      <c r="DD8" s="83" t="s">
        <v>14</v>
      </c>
      <c r="DE8" s="42" t="s">
        <v>15</v>
      </c>
      <c r="DG8" s="165" t="s">
        <v>0</v>
      </c>
      <c r="DH8" s="166"/>
      <c r="DI8" s="42" t="s">
        <v>7</v>
      </c>
      <c r="DJ8" s="42" t="s">
        <v>8</v>
      </c>
      <c r="DK8" s="42" t="s">
        <v>7</v>
      </c>
      <c r="DL8" s="42" t="s">
        <v>8</v>
      </c>
      <c r="DM8" s="83" t="s">
        <v>9</v>
      </c>
      <c r="DN8" s="23" t="s">
        <v>10</v>
      </c>
      <c r="DO8" s="34" t="s">
        <v>34</v>
      </c>
      <c r="DP8" s="83" t="s">
        <v>11</v>
      </c>
      <c r="DQ8" s="42" t="s">
        <v>13</v>
      </c>
      <c r="DR8" s="83" t="s">
        <v>14</v>
      </c>
      <c r="DS8" s="42" t="s">
        <v>15</v>
      </c>
      <c r="DU8" s="165" t="s">
        <v>0</v>
      </c>
      <c r="DV8" s="166"/>
      <c r="DW8" s="42" t="s">
        <v>7</v>
      </c>
      <c r="DX8" s="42" t="s">
        <v>8</v>
      </c>
      <c r="DY8" s="42" t="s">
        <v>7</v>
      </c>
      <c r="DZ8" s="42" t="s">
        <v>8</v>
      </c>
      <c r="EA8" s="83" t="s">
        <v>9</v>
      </c>
      <c r="EB8" s="23" t="s">
        <v>10</v>
      </c>
      <c r="EC8" s="34" t="s">
        <v>34</v>
      </c>
      <c r="ED8" s="83" t="s">
        <v>11</v>
      </c>
      <c r="EE8" s="42" t="s">
        <v>13</v>
      </c>
      <c r="EF8" s="83" t="s">
        <v>14</v>
      </c>
      <c r="EG8" s="42" t="s">
        <v>15</v>
      </c>
    </row>
    <row r="9" spans="1:139" ht="17.149999999999999" customHeight="1" x14ac:dyDescent="0.35">
      <c r="A9" s="88" t="s">
        <v>216</v>
      </c>
      <c r="B9" s="88">
        <v>1</v>
      </c>
      <c r="C9" s="89"/>
      <c r="D9" s="138"/>
      <c r="E9" s="138">
        <v>0</v>
      </c>
      <c r="F9" s="89"/>
      <c r="G9" s="89">
        <f t="shared" ref="G9:G38" si="0">SUM(D9-C9)+(F9-E9)</f>
        <v>0</v>
      </c>
      <c r="H9" s="90"/>
      <c r="I9" s="89"/>
      <c r="J9" s="91">
        <f t="shared" ref="J9:J38" si="1">SUM((G9-H9)-I9)</f>
        <v>0</v>
      </c>
      <c r="K9" s="88"/>
      <c r="L9" s="88">
        <f t="shared" ref="L9:L38" si="2">SUM(J9-K9)*100</f>
        <v>0</v>
      </c>
      <c r="M9" s="134"/>
      <c r="O9" s="88" t="s">
        <v>216</v>
      </c>
      <c r="P9" s="88">
        <v>1</v>
      </c>
      <c r="Q9" s="89"/>
      <c r="R9" s="138"/>
      <c r="S9" s="138">
        <v>0</v>
      </c>
      <c r="T9" s="89"/>
      <c r="U9" s="89">
        <f t="shared" ref="U9:U38" si="3">SUM(R9-Q9)+(T9-S9)</f>
        <v>0</v>
      </c>
      <c r="V9" s="90"/>
      <c r="W9" s="89"/>
      <c r="X9" s="91">
        <f t="shared" ref="X9:X38" si="4">SUM((U9-V9)-W9)</f>
        <v>0</v>
      </c>
      <c r="Y9" s="88"/>
      <c r="Z9" s="88">
        <f t="shared" ref="Z9:Z38" si="5">SUM(X9-Y9)*100</f>
        <v>0</v>
      </c>
      <c r="AA9" s="134"/>
      <c r="AB9" s="88" t="s">
        <v>216</v>
      </c>
      <c r="AC9" s="88">
        <v>1</v>
      </c>
      <c r="AD9" s="89"/>
      <c r="AE9" s="138"/>
      <c r="AF9" s="138">
        <v>0</v>
      </c>
      <c r="AG9" s="89"/>
      <c r="AH9" s="89">
        <f t="shared" ref="AH9:AH38" si="6">SUM(AE9-AD9)+(AG9-AF9)</f>
        <v>0</v>
      </c>
      <c r="AI9" s="90"/>
      <c r="AJ9" s="89"/>
      <c r="AK9" s="91">
        <f t="shared" ref="AK9:AK38" si="7">SUM((AH9-AI9)-AJ9)</f>
        <v>0</v>
      </c>
      <c r="AL9" s="88"/>
      <c r="AM9" s="88">
        <f t="shared" ref="AM9:AM38" si="8">SUM(AK9-AL9)*100</f>
        <v>0</v>
      </c>
      <c r="AN9" s="134"/>
      <c r="AP9" s="88" t="s">
        <v>216</v>
      </c>
      <c r="AQ9" s="88">
        <v>1</v>
      </c>
      <c r="AR9" s="89"/>
      <c r="AS9" s="138"/>
      <c r="AT9" s="138">
        <v>0</v>
      </c>
      <c r="AU9" s="89"/>
      <c r="AV9" s="89">
        <f t="shared" ref="AV9:AV38" si="9">SUM(AS9-AR9)+(AU9-AT9)</f>
        <v>0</v>
      </c>
      <c r="AW9" s="90"/>
      <c r="AX9" s="89"/>
      <c r="AY9" s="91">
        <f t="shared" ref="AY9:AY38" si="10">SUM((AV9-AW9)-AX9)</f>
        <v>0</v>
      </c>
      <c r="AZ9" s="88"/>
      <c r="BA9" s="88">
        <f t="shared" ref="BA9:BA38" si="11">SUM(AY9-AZ9)*100</f>
        <v>0</v>
      </c>
      <c r="BB9" s="134"/>
      <c r="BC9" s="88" t="s">
        <v>216</v>
      </c>
      <c r="BD9" s="88">
        <v>1</v>
      </c>
      <c r="BE9" s="89"/>
      <c r="BF9" s="138"/>
      <c r="BG9" s="138">
        <v>0</v>
      </c>
      <c r="BH9" s="89"/>
      <c r="BI9" s="89">
        <f t="shared" ref="BI9:BI38" si="12">SUM(BF9-BE9)+(BH9-BG9)</f>
        <v>0</v>
      </c>
      <c r="BJ9" s="90"/>
      <c r="BK9" s="89"/>
      <c r="BL9" s="91">
        <f t="shared" ref="BL9:BL38" si="13">SUM((BI9-BJ9)-BK9)</f>
        <v>0</v>
      </c>
      <c r="BM9" s="88"/>
      <c r="BN9" s="88">
        <f t="shared" ref="BN9:BN38" si="14">SUM(BL9-BM9)*100</f>
        <v>0</v>
      </c>
      <c r="BO9" s="134"/>
      <c r="BQ9" s="88" t="s">
        <v>216</v>
      </c>
      <c r="BR9" s="88">
        <v>1</v>
      </c>
      <c r="BS9" s="89"/>
      <c r="BT9" s="138"/>
      <c r="BU9" s="138">
        <v>0</v>
      </c>
      <c r="BV9" s="89"/>
      <c r="BW9" s="89">
        <f t="shared" ref="BW9:BW38" si="15">SUM(BT9-BS9)+(BV9-BU9)</f>
        <v>0</v>
      </c>
      <c r="BX9" s="90"/>
      <c r="BY9" s="89"/>
      <c r="BZ9" s="91">
        <f t="shared" ref="BZ9:BZ38" si="16">SUM((BW9-BX9)-BY9)</f>
        <v>0</v>
      </c>
      <c r="CA9" s="88"/>
      <c r="CB9" s="88">
        <f t="shared" ref="CB9:CB38" si="17">SUM(BZ9-CA9)*100</f>
        <v>0</v>
      </c>
      <c r="CC9" s="134"/>
      <c r="CE9" s="88" t="s">
        <v>216</v>
      </c>
      <c r="CF9" s="88">
        <v>1</v>
      </c>
      <c r="CG9" s="89"/>
      <c r="CH9" s="138"/>
      <c r="CI9" s="138">
        <v>0</v>
      </c>
      <c r="CJ9" s="89"/>
      <c r="CK9" s="89">
        <f t="shared" ref="CK9:CK38" si="18">SUM(CH9-CG9)+(CJ9-CI9)</f>
        <v>0</v>
      </c>
      <c r="CL9" s="90"/>
      <c r="CM9" s="89"/>
      <c r="CN9" s="91">
        <f t="shared" ref="CN9:CN38" si="19">SUM((CK9-CL9)-CM9)</f>
        <v>0</v>
      </c>
      <c r="CO9" s="88"/>
      <c r="CP9" s="88">
        <f t="shared" ref="CP9:CP38" si="20">SUM(CN9-CO9)*100</f>
        <v>0</v>
      </c>
      <c r="CQ9" s="134"/>
      <c r="CS9" s="88"/>
      <c r="CT9" s="88"/>
      <c r="CU9" s="89"/>
      <c r="CV9" s="89"/>
      <c r="CW9" s="89"/>
      <c r="CX9" s="89"/>
      <c r="CY9" s="89"/>
      <c r="CZ9" s="90"/>
      <c r="DA9" s="89"/>
      <c r="DB9" s="91"/>
      <c r="DC9" s="88"/>
      <c r="DD9" s="92"/>
      <c r="DE9" s="134"/>
      <c r="DG9" s="88" t="s">
        <v>216</v>
      </c>
      <c r="DH9" s="88">
        <v>1</v>
      </c>
      <c r="DI9" s="89"/>
      <c r="DJ9" s="138"/>
      <c r="DK9" s="138">
        <v>0</v>
      </c>
      <c r="DL9" s="89"/>
      <c r="DM9" s="89">
        <f t="shared" ref="DM9:DM38" si="21">SUM(DJ9-DI9)+(DL9-DK9)</f>
        <v>0</v>
      </c>
      <c r="DN9" s="90"/>
      <c r="DO9" s="89"/>
      <c r="DP9" s="91">
        <f t="shared" ref="DP9:DP38" si="22">SUM((DM9-DN9)-DO9)</f>
        <v>0</v>
      </c>
      <c r="DQ9" s="88"/>
      <c r="DR9" s="88">
        <f t="shared" ref="DR9:DR38" si="23">SUM(DP9-DQ9)*100</f>
        <v>0</v>
      </c>
      <c r="DS9" s="134"/>
      <c r="DU9" s="88" t="s">
        <v>216</v>
      </c>
      <c r="DV9" s="88">
        <v>1</v>
      </c>
      <c r="DW9" s="89"/>
      <c r="DX9" s="138"/>
      <c r="DY9" s="138">
        <v>0</v>
      </c>
      <c r="DZ9" s="89"/>
      <c r="EA9" s="89">
        <f t="shared" ref="EA9:EA38" si="24">SUM(DX9-DW9)+(DZ9-DY9)</f>
        <v>0</v>
      </c>
      <c r="EB9" s="90"/>
      <c r="EC9" s="89"/>
      <c r="ED9" s="91">
        <f t="shared" ref="ED9:ED38" si="25">SUM((EA9-EB9)-EC9)</f>
        <v>0</v>
      </c>
      <c r="EE9" s="88"/>
      <c r="EF9" s="88">
        <f t="shared" ref="EF9:EF38" si="26">SUM(ED9-EE9)*100</f>
        <v>0</v>
      </c>
      <c r="EG9" s="134"/>
    </row>
    <row r="10" spans="1:139" s="54" customFormat="1" ht="17.149999999999999" customHeight="1" x14ac:dyDescent="0.35">
      <c r="A10" s="86" t="s">
        <v>2</v>
      </c>
      <c r="B10" s="86">
        <v>2</v>
      </c>
      <c r="C10" s="58">
        <v>5.15</v>
      </c>
      <c r="D10" s="96"/>
      <c r="E10" s="96"/>
      <c r="F10" s="53">
        <v>19.510000000000002</v>
      </c>
      <c r="G10" s="58">
        <f t="shared" si="0"/>
        <v>14.360000000000001</v>
      </c>
      <c r="H10" s="97">
        <v>7.3</v>
      </c>
      <c r="I10" s="58">
        <v>1</v>
      </c>
      <c r="J10" s="59">
        <f t="shared" si="1"/>
        <v>6.0600000000000014</v>
      </c>
      <c r="K10" s="86">
        <v>6</v>
      </c>
      <c r="L10" s="86">
        <f t="shared" si="2"/>
        <v>6.0000000000001386</v>
      </c>
      <c r="M10" s="98"/>
      <c r="N10"/>
      <c r="O10" s="86" t="s">
        <v>2</v>
      </c>
      <c r="P10" s="86">
        <v>2</v>
      </c>
      <c r="Q10" s="58">
        <v>5.15</v>
      </c>
      <c r="R10" s="96"/>
      <c r="S10" s="96"/>
      <c r="T10" s="53">
        <v>19.510000000000002</v>
      </c>
      <c r="U10" s="58">
        <f t="shared" si="3"/>
        <v>14.360000000000001</v>
      </c>
      <c r="V10" s="97">
        <v>7.3</v>
      </c>
      <c r="W10" s="58">
        <v>1</v>
      </c>
      <c r="X10" s="59">
        <f t="shared" si="4"/>
        <v>6.0600000000000014</v>
      </c>
      <c r="Y10" s="86">
        <v>6</v>
      </c>
      <c r="Z10" s="86">
        <f t="shared" si="5"/>
        <v>6.0000000000001386</v>
      </c>
      <c r="AA10" s="98"/>
      <c r="AB10" s="86" t="s">
        <v>2</v>
      </c>
      <c r="AC10" s="86">
        <v>2</v>
      </c>
      <c r="AD10" s="58">
        <v>5.15</v>
      </c>
      <c r="AE10" s="96"/>
      <c r="AF10" s="96"/>
      <c r="AG10" s="53">
        <v>19.510000000000002</v>
      </c>
      <c r="AH10" s="58">
        <f t="shared" si="6"/>
        <v>14.360000000000001</v>
      </c>
      <c r="AI10" s="97">
        <v>7.3</v>
      </c>
      <c r="AJ10" s="58">
        <v>1</v>
      </c>
      <c r="AK10" s="59">
        <f t="shared" si="7"/>
        <v>6.0600000000000014</v>
      </c>
      <c r="AL10" s="86">
        <v>6</v>
      </c>
      <c r="AM10" s="86">
        <f t="shared" si="8"/>
        <v>6.0000000000001386</v>
      </c>
      <c r="AN10" s="98"/>
      <c r="AO10"/>
      <c r="AP10" s="86" t="s">
        <v>2</v>
      </c>
      <c r="AQ10" s="86">
        <v>2</v>
      </c>
      <c r="AR10" s="58">
        <v>5.15</v>
      </c>
      <c r="AS10" s="96"/>
      <c r="AT10" s="96"/>
      <c r="AU10" s="53">
        <v>19.510000000000002</v>
      </c>
      <c r="AV10" s="58">
        <f t="shared" si="9"/>
        <v>14.360000000000001</v>
      </c>
      <c r="AW10" s="97">
        <v>7.3</v>
      </c>
      <c r="AX10" s="58">
        <v>1</v>
      </c>
      <c r="AY10" s="59">
        <f t="shared" si="10"/>
        <v>6.0600000000000014</v>
      </c>
      <c r="AZ10" s="86">
        <v>6</v>
      </c>
      <c r="BA10" s="86">
        <f t="shared" si="11"/>
        <v>6.0000000000001386</v>
      </c>
      <c r="BB10" s="98"/>
      <c r="BC10" s="86" t="s">
        <v>2</v>
      </c>
      <c r="BD10" s="86">
        <v>2</v>
      </c>
      <c r="BE10" s="58">
        <v>5.15</v>
      </c>
      <c r="BF10" s="96"/>
      <c r="BG10" s="96"/>
      <c r="BH10" s="53">
        <v>19.510000000000002</v>
      </c>
      <c r="BI10" s="58">
        <f t="shared" si="12"/>
        <v>14.360000000000001</v>
      </c>
      <c r="BJ10" s="97">
        <v>7.3</v>
      </c>
      <c r="BK10" s="58">
        <v>1</v>
      </c>
      <c r="BL10" s="59">
        <f t="shared" si="13"/>
        <v>6.0600000000000014</v>
      </c>
      <c r="BM10" s="86">
        <v>6</v>
      </c>
      <c r="BN10" s="86">
        <f t="shared" si="14"/>
        <v>6.0000000000001386</v>
      </c>
      <c r="BO10" s="98"/>
      <c r="BP10"/>
      <c r="BQ10" s="86" t="s">
        <v>2</v>
      </c>
      <c r="BR10" s="86">
        <v>2</v>
      </c>
      <c r="BS10" s="58">
        <v>5.15</v>
      </c>
      <c r="BT10" s="96"/>
      <c r="BU10" s="96"/>
      <c r="BV10" s="53">
        <v>19.510000000000002</v>
      </c>
      <c r="BW10" s="58">
        <f t="shared" si="15"/>
        <v>14.360000000000001</v>
      </c>
      <c r="BX10" s="97">
        <v>7.3</v>
      </c>
      <c r="BY10" s="58">
        <v>1</v>
      </c>
      <c r="BZ10" s="59">
        <f t="shared" si="16"/>
        <v>6.0600000000000014</v>
      </c>
      <c r="CA10" s="86">
        <v>6</v>
      </c>
      <c r="CB10" s="86">
        <f t="shared" si="17"/>
        <v>6.0000000000001386</v>
      </c>
      <c r="CC10" s="98"/>
      <c r="CD10"/>
      <c r="CE10" s="86" t="s">
        <v>2</v>
      </c>
      <c r="CF10" s="86">
        <v>2</v>
      </c>
      <c r="CG10" s="58">
        <v>5.15</v>
      </c>
      <c r="CH10" s="96"/>
      <c r="CI10" s="96"/>
      <c r="CJ10" s="53">
        <v>19.510000000000002</v>
      </c>
      <c r="CK10" s="58">
        <f t="shared" si="18"/>
        <v>14.360000000000001</v>
      </c>
      <c r="CL10" s="97">
        <v>7.3</v>
      </c>
      <c r="CM10" s="58">
        <v>1</v>
      </c>
      <c r="CN10" s="59">
        <f t="shared" si="19"/>
        <v>6.0600000000000014</v>
      </c>
      <c r="CO10" s="86">
        <v>6</v>
      </c>
      <c r="CP10" s="86">
        <f t="shared" si="20"/>
        <v>6.0000000000001386</v>
      </c>
      <c r="CQ10" s="98"/>
      <c r="CR10"/>
      <c r="CS10" s="55"/>
      <c r="CT10" s="55"/>
      <c r="CU10" s="52"/>
      <c r="CV10" s="52"/>
      <c r="CW10" s="52"/>
      <c r="CX10" s="52"/>
      <c r="CY10" s="52"/>
      <c r="CZ10" s="56"/>
      <c r="DA10" s="52"/>
      <c r="DB10" s="57"/>
      <c r="DC10" s="55"/>
      <c r="DD10" s="82"/>
      <c r="DE10" s="95"/>
      <c r="DF10"/>
      <c r="DG10" s="86" t="s">
        <v>2</v>
      </c>
      <c r="DH10" s="86">
        <v>2</v>
      </c>
      <c r="DI10" s="58">
        <v>5.15</v>
      </c>
      <c r="DJ10" s="96"/>
      <c r="DK10" s="96"/>
      <c r="DL10" s="53">
        <v>19.510000000000002</v>
      </c>
      <c r="DM10" s="58">
        <f t="shared" si="21"/>
        <v>14.360000000000001</v>
      </c>
      <c r="DN10" s="97">
        <v>7.3</v>
      </c>
      <c r="DO10" s="58">
        <v>1</v>
      </c>
      <c r="DP10" s="59">
        <f t="shared" si="22"/>
        <v>6.0600000000000014</v>
      </c>
      <c r="DQ10" s="86">
        <v>6</v>
      </c>
      <c r="DR10" s="86">
        <f t="shared" si="23"/>
        <v>6.0000000000001386</v>
      </c>
      <c r="DS10" s="98"/>
      <c r="DT10"/>
      <c r="DU10" s="86" t="s">
        <v>2</v>
      </c>
      <c r="DV10" s="86">
        <v>2</v>
      </c>
      <c r="DW10" s="58">
        <v>5.15</v>
      </c>
      <c r="DX10" s="96"/>
      <c r="DY10" s="96"/>
      <c r="DZ10" s="53">
        <v>19.510000000000002</v>
      </c>
      <c r="EA10" s="58">
        <f t="shared" si="24"/>
        <v>14.360000000000001</v>
      </c>
      <c r="EB10" s="97">
        <v>7.3</v>
      </c>
      <c r="EC10" s="58">
        <v>1</v>
      </c>
      <c r="ED10" s="59">
        <f t="shared" si="25"/>
        <v>6.0600000000000014</v>
      </c>
      <c r="EE10" s="86">
        <v>6</v>
      </c>
      <c r="EF10" s="86">
        <f t="shared" si="26"/>
        <v>6.0000000000001386</v>
      </c>
      <c r="EG10" s="98"/>
      <c r="EH10"/>
      <c r="EI10"/>
    </row>
    <row r="11" spans="1:139" s="54" customFormat="1" ht="17.149999999999999" customHeight="1" x14ac:dyDescent="0.35">
      <c r="A11" s="86" t="s">
        <v>225</v>
      </c>
      <c r="B11" s="86">
        <v>3</v>
      </c>
      <c r="C11" s="58">
        <v>5.15</v>
      </c>
      <c r="D11" s="96"/>
      <c r="E11" s="96"/>
      <c r="F11" s="53">
        <v>19.54</v>
      </c>
      <c r="G11" s="58">
        <f t="shared" si="0"/>
        <v>14.389999999999999</v>
      </c>
      <c r="H11" s="97">
        <v>7.3</v>
      </c>
      <c r="I11" s="58">
        <v>1</v>
      </c>
      <c r="J11" s="59">
        <f t="shared" si="1"/>
        <v>6.089999999999999</v>
      </c>
      <c r="K11" s="86">
        <v>6</v>
      </c>
      <c r="L11" s="86">
        <f t="shared" si="2"/>
        <v>8.999999999999897</v>
      </c>
      <c r="M11" s="87"/>
      <c r="N11"/>
      <c r="O11" s="86" t="s">
        <v>225</v>
      </c>
      <c r="P11" s="86">
        <v>3</v>
      </c>
      <c r="Q11" s="58">
        <v>5.15</v>
      </c>
      <c r="R11" s="96"/>
      <c r="S11" s="96"/>
      <c r="T11" s="53">
        <v>19.54</v>
      </c>
      <c r="U11" s="58">
        <f t="shared" si="3"/>
        <v>14.389999999999999</v>
      </c>
      <c r="V11" s="97">
        <v>7.3</v>
      </c>
      <c r="W11" s="58">
        <v>1</v>
      </c>
      <c r="X11" s="59">
        <f t="shared" si="4"/>
        <v>6.089999999999999</v>
      </c>
      <c r="Y11" s="86">
        <v>6</v>
      </c>
      <c r="Z11" s="86">
        <f t="shared" si="5"/>
        <v>8.999999999999897</v>
      </c>
      <c r="AA11" s="87"/>
      <c r="AB11" s="86" t="s">
        <v>225</v>
      </c>
      <c r="AC11" s="86">
        <v>3</v>
      </c>
      <c r="AD11" s="58">
        <v>5.15</v>
      </c>
      <c r="AE11" s="96"/>
      <c r="AF11" s="96"/>
      <c r="AG11" s="53">
        <v>19.54</v>
      </c>
      <c r="AH11" s="58">
        <f t="shared" si="6"/>
        <v>14.389999999999999</v>
      </c>
      <c r="AI11" s="97">
        <v>7.3</v>
      </c>
      <c r="AJ11" s="58">
        <v>1</v>
      </c>
      <c r="AK11" s="59">
        <f t="shared" si="7"/>
        <v>6.089999999999999</v>
      </c>
      <c r="AL11" s="86">
        <v>6</v>
      </c>
      <c r="AM11" s="86">
        <f t="shared" si="8"/>
        <v>8.999999999999897</v>
      </c>
      <c r="AN11" s="87"/>
      <c r="AO11"/>
      <c r="AP11" s="86" t="s">
        <v>225</v>
      </c>
      <c r="AQ11" s="86">
        <v>3</v>
      </c>
      <c r="AR11" s="58">
        <v>5.15</v>
      </c>
      <c r="AS11" s="96"/>
      <c r="AT11" s="96"/>
      <c r="AU11" s="53">
        <v>19.54</v>
      </c>
      <c r="AV11" s="58">
        <f t="shared" si="9"/>
        <v>14.389999999999999</v>
      </c>
      <c r="AW11" s="97">
        <v>7.3</v>
      </c>
      <c r="AX11" s="58">
        <v>1</v>
      </c>
      <c r="AY11" s="59">
        <f t="shared" si="10"/>
        <v>6.089999999999999</v>
      </c>
      <c r="AZ11" s="86">
        <v>6</v>
      </c>
      <c r="BA11" s="86">
        <f t="shared" si="11"/>
        <v>8.999999999999897</v>
      </c>
      <c r="BB11" s="87"/>
      <c r="BC11" s="86" t="s">
        <v>225</v>
      </c>
      <c r="BD11" s="86">
        <v>3</v>
      </c>
      <c r="BE11" s="58">
        <v>5.15</v>
      </c>
      <c r="BF11" s="96"/>
      <c r="BG11" s="96"/>
      <c r="BH11" s="53">
        <v>19.54</v>
      </c>
      <c r="BI11" s="58">
        <f t="shared" si="12"/>
        <v>14.389999999999999</v>
      </c>
      <c r="BJ11" s="97">
        <v>7.3</v>
      </c>
      <c r="BK11" s="58">
        <v>1</v>
      </c>
      <c r="BL11" s="59">
        <f t="shared" si="13"/>
        <v>6.089999999999999</v>
      </c>
      <c r="BM11" s="86">
        <v>6</v>
      </c>
      <c r="BN11" s="86">
        <f t="shared" si="14"/>
        <v>8.999999999999897</v>
      </c>
      <c r="BO11" s="87"/>
      <c r="BP11"/>
      <c r="BQ11" s="86" t="s">
        <v>225</v>
      </c>
      <c r="BR11" s="86">
        <v>3</v>
      </c>
      <c r="BS11" s="58">
        <v>5.15</v>
      </c>
      <c r="BT11" s="96"/>
      <c r="BU11" s="96"/>
      <c r="BV11" s="53">
        <v>19.54</v>
      </c>
      <c r="BW11" s="58">
        <f t="shared" si="15"/>
        <v>14.389999999999999</v>
      </c>
      <c r="BX11" s="97">
        <v>7.3</v>
      </c>
      <c r="BY11" s="58">
        <v>1</v>
      </c>
      <c r="BZ11" s="59">
        <f t="shared" si="16"/>
        <v>6.089999999999999</v>
      </c>
      <c r="CA11" s="86">
        <v>6</v>
      </c>
      <c r="CB11" s="86">
        <f t="shared" si="17"/>
        <v>8.999999999999897</v>
      </c>
      <c r="CC11" s="87"/>
      <c r="CD11"/>
      <c r="CE11" s="86" t="s">
        <v>225</v>
      </c>
      <c r="CF11" s="86">
        <v>3</v>
      </c>
      <c r="CG11" s="58">
        <v>5.15</v>
      </c>
      <c r="CH11" s="96"/>
      <c r="CI11" s="96"/>
      <c r="CJ11" s="53">
        <v>19.54</v>
      </c>
      <c r="CK11" s="58">
        <f t="shared" si="18"/>
        <v>14.389999999999999</v>
      </c>
      <c r="CL11" s="97">
        <v>7.3</v>
      </c>
      <c r="CM11" s="58">
        <v>1</v>
      </c>
      <c r="CN11" s="59">
        <f t="shared" si="19"/>
        <v>6.089999999999999</v>
      </c>
      <c r="CO11" s="86">
        <v>6</v>
      </c>
      <c r="CP11" s="86">
        <f t="shared" si="20"/>
        <v>8.999999999999897</v>
      </c>
      <c r="CQ11" s="87"/>
      <c r="CR11"/>
      <c r="CS11" s="86"/>
      <c r="CT11" s="86"/>
      <c r="CU11" s="58"/>
      <c r="CV11" s="96"/>
      <c r="CW11" s="96"/>
      <c r="CX11" s="53"/>
      <c r="CY11" s="58"/>
      <c r="CZ11" s="97"/>
      <c r="DA11" s="58"/>
      <c r="DB11" s="59"/>
      <c r="DC11" s="86"/>
      <c r="DD11" s="86"/>
      <c r="DE11" s="87"/>
      <c r="DF11"/>
      <c r="DG11" s="86" t="s">
        <v>225</v>
      </c>
      <c r="DH11" s="86">
        <v>3</v>
      </c>
      <c r="DI11" s="58">
        <v>5.15</v>
      </c>
      <c r="DJ11" s="96"/>
      <c r="DK11" s="96"/>
      <c r="DL11" s="53">
        <v>19.54</v>
      </c>
      <c r="DM11" s="58">
        <f t="shared" si="21"/>
        <v>14.389999999999999</v>
      </c>
      <c r="DN11" s="97">
        <v>7.3</v>
      </c>
      <c r="DO11" s="58">
        <v>1</v>
      </c>
      <c r="DP11" s="59">
        <f t="shared" si="22"/>
        <v>6.089999999999999</v>
      </c>
      <c r="DQ11" s="86">
        <v>6</v>
      </c>
      <c r="DR11" s="86">
        <f t="shared" si="23"/>
        <v>8.999999999999897</v>
      </c>
      <c r="DS11" s="87"/>
      <c r="DT11"/>
      <c r="DU11" s="86" t="s">
        <v>225</v>
      </c>
      <c r="DV11" s="86">
        <v>3</v>
      </c>
      <c r="DW11" s="99">
        <v>5.4</v>
      </c>
      <c r="DX11" s="96"/>
      <c r="DY11" s="96"/>
      <c r="DZ11" s="53">
        <v>19.54</v>
      </c>
      <c r="EA11" s="58">
        <f t="shared" si="24"/>
        <v>14.139999999999999</v>
      </c>
      <c r="EB11" s="97">
        <v>7.3</v>
      </c>
      <c r="EC11" s="58">
        <v>1</v>
      </c>
      <c r="ED11" s="59">
        <f t="shared" si="25"/>
        <v>5.839999999999999</v>
      </c>
      <c r="EE11" s="86">
        <v>6</v>
      </c>
      <c r="EF11" s="86">
        <f t="shared" si="26"/>
        <v>-16.000000000000103</v>
      </c>
      <c r="EG11" s="87"/>
      <c r="EH11"/>
      <c r="EI11"/>
    </row>
    <row r="12" spans="1:139" ht="17.149999999999999" customHeight="1" x14ac:dyDescent="0.35">
      <c r="A12" s="86" t="s">
        <v>4</v>
      </c>
      <c r="B12" s="86">
        <v>4</v>
      </c>
      <c r="C12" s="58">
        <v>5.15</v>
      </c>
      <c r="D12" s="96"/>
      <c r="E12" s="96"/>
      <c r="F12" s="53">
        <v>18.649999999999999</v>
      </c>
      <c r="G12" s="58">
        <f t="shared" si="0"/>
        <v>13.499999999999998</v>
      </c>
      <c r="H12" s="97">
        <v>7.3</v>
      </c>
      <c r="I12" s="58">
        <v>1</v>
      </c>
      <c r="J12" s="59">
        <f t="shared" si="1"/>
        <v>5.1999999999999984</v>
      </c>
      <c r="K12" s="86">
        <v>5</v>
      </c>
      <c r="L12" s="86">
        <f t="shared" si="2"/>
        <v>19.99999999999984</v>
      </c>
      <c r="M12" s="98"/>
      <c r="O12" s="86" t="s">
        <v>4</v>
      </c>
      <c r="P12" s="86">
        <v>4</v>
      </c>
      <c r="Q12" s="58">
        <v>5.15</v>
      </c>
      <c r="R12" s="96"/>
      <c r="S12" s="96"/>
      <c r="T12" s="53">
        <v>18.649999999999999</v>
      </c>
      <c r="U12" s="58">
        <f t="shared" si="3"/>
        <v>13.499999999999998</v>
      </c>
      <c r="V12" s="97">
        <v>7.3</v>
      </c>
      <c r="W12" s="58">
        <v>1</v>
      </c>
      <c r="X12" s="59">
        <f t="shared" si="4"/>
        <v>5.1999999999999984</v>
      </c>
      <c r="Y12" s="86">
        <v>5</v>
      </c>
      <c r="Z12" s="86">
        <f t="shared" si="5"/>
        <v>19.99999999999984</v>
      </c>
      <c r="AA12" s="98"/>
      <c r="AB12" s="86" t="s">
        <v>4</v>
      </c>
      <c r="AC12" s="86">
        <v>4</v>
      </c>
      <c r="AD12" s="58">
        <v>5.15</v>
      </c>
      <c r="AE12" s="96"/>
      <c r="AF12" s="96"/>
      <c r="AG12" s="53">
        <v>18.649999999999999</v>
      </c>
      <c r="AH12" s="58">
        <f t="shared" si="6"/>
        <v>13.499999999999998</v>
      </c>
      <c r="AI12" s="97">
        <v>7.3</v>
      </c>
      <c r="AJ12" s="58">
        <v>1</v>
      </c>
      <c r="AK12" s="59">
        <f t="shared" si="7"/>
        <v>5.1999999999999984</v>
      </c>
      <c r="AL12" s="86">
        <v>5</v>
      </c>
      <c r="AM12" s="86">
        <f t="shared" si="8"/>
        <v>19.99999999999984</v>
      </c>
      <c r="AN12" s="98"/>
      <c r="AP12" s="86" t="s">
        <v>4</v>
      </c>
      <c r="AQ12" s="86">
        <v>4</v>
      </c>
      <c r="AR12" s="58">
        <v>5.15</v>
      </c>
      <c r="AS12" s="96"/>
      <c r="AT12" s="96"/>
      <c r="AU12" s="53">
        <v>18.649999999999999</v>
      </c>
      <c r="AV12" s="58">
        <f t="shared" si="9"/>
        <v>13.499999999999998</v>
      </c>
      <c r="AW12" s="97">
        <v>7.3</v>
      </c>
      <c r="AX12" s="58">
        <v>1</v>
      </c>
      <c r="AY12" s="59">
        <f t="shared" si="10"/>
        <v>5.1999999999999984</v>
      </c>
      <c r="AZ12" s="86">
        <v>5</v>
      </c>
      <c r="BA12" s="86">
        <f t="shared" si="11"/>
        <v>19.99999999999984</v>
      </c>
      <c r="BB12" s="98"/>
      <c r="BC12" s="86" t="s">
        <v>4</v>
      </c>
      <c r="BD12" s="86">
        <v>4</v>
      </c>
      <c r="BE12" s="99">
        <v>5.5</v>
      </c>
      <c r="BF12" s="96"/>
      <c r="BG12" s="96"/>
      <c r="BH12" s="53">
        <v>18.649999999999999</v>
      </c>
      <c r="BI12" s="58">
        <f t="shared" si="12"/>
        <v>13.149999999999999</v>
      </c>
      <c r="BJ12" s="97">
        <v>7.3</v>
      </c>
      <c r="BK12" s="58">
        <v>1.4</v>
      </c>
      <c r="BL12" s="59">
        <f t="shared" si="13"/>
        <v>4.4499999999999993</v>
      </c>
      <c r="BM12" s="86">
        <v>4</v>
      </c>
      <c r="BN12" s="86">
        <f t="shared" si="14"/>
        <v>44.999999999999929</v>
      </c>
      <c r="BO12" s="98"/>
      <c r="BQ12" s="86" t="s">
        <v>4</v>
      </c>
      <c r="BR12" s="86">
        <v>4</v>
      </c>
      <c r="BS12" s="58">
        <v>5.15</v>
      </c>
      <c r="BT12" s="96"/>
      <c r="BU12" s="96"/>
      <c r="BV12" s="53">
        <v>18.649999999999999</v>
      </c>
      <c r="BW12" s="58">
        <f t="shared" si="15"/>
        <v>13.499999999999998</v>
      </c>
      <c r="BX12" s="97">
        <v>7.3</v>
      </c>
      <c r="BY12" s="58">
        <v>1</v>
      </c>
      <c r="BZ12" s="59">
        <f t="shared" si="16"/>
        <v>5.1999999999999984</v>
      </c>
      <c r="CA12" s="86">
        <v>5</v>
      </c>
      <c r="CB12" s="86">
        <f t="shared" si="17"/>
        <v>19.99999999999984</v>
      </c>
      <c r="CC12" s="98"/>
      <c r="CE12" s="86" t="s">
        <v>4</v>
      </c>
      <c r="CF12" s="86">
        <v>4</v>
      </c>
      <c r="CG12" s="58">
        <v>5.15</v>
      </c>
      <c r="CH12" s="96"/>
      <c r="CI12" s="96"/>
      <c r="CJ12" s="53">
        <v>18.649999999999999</v>
      </c>
      <c r="CK12" s="58">
        <f t="shared" si="18"/>
        <v>13.499999999999998</v>
      </c>
      <c r="CL12" s="97">
        <v>7.3</v>
      </c>
      <c r="CM12" s="58">
        <v>1</v>
      </c>
      <c r="CN12" s="59">
        <f t="shared" si="19"/>
        <v>5.1999999999999984</v>
      </c>
      <c r="CO12" s="86">
        <v>5</v>
      </c>
      <c r="CP12" s="86">
        <f t="shared" si="20"/>
        <v>19.99999999999984</v>
      </c>
      <c r="CQ12" s="98"/>
      <c r="CS12" s="86"/>
      <c r="CT12" s="86"/>
      <c r="CU12" s="58"/>
      <c r="CV12" s="96"/>
      <c r="CW12" s="96"/>
      <c r="CX12" s="58"/>
      <c r="CY12" s="58"/>
      <c r="CZ12" s="97"/>
      <c r="DA12" s="58"/>
      <c r="DB12" s="59"/>
      <c r="DC12" s="86"/>
      <c r="DD12" s="86"/>
      <c r="DE12" s="98"/>
      <c r="DG12" s="86" t="s">
        <v>4</v>
      </c>
      <c r="DH12" s="86">
        <v>4</v>
      </c>
      <c r="DI12" s="58">
        <v>5.15</v>
      </c>
      <c r="DJ12" s="96"/>
      <c r="DK12" s="96"/>
      <c r="DL12" s="53">
        <v>18.649999999999999</v>
      </c>
      <c r="DM12" s="58">
        <f t="shared" si="21"/>
        <v>13.499999999999998</v>
      </c>
      <c r="DN12" s="97">
        <v>7.3</v>
      </c>
      <c r="DO12" s="58">
        <v>1</v>
      </c>
      <c r="DP12" s="59">
        <f t="shared" si="22"/>
        <v>5.1999999999999984</v>
      </c>
      <c r="DQ12" s="86">
        <v>5</v>
      </c>
      <c r="DR12" s="86">
        <f t="shared" si="23"/>
        <v>19.99999999999984</v>
      </c>
      <c r="DS12" s="98"/>
      <c r="DU12" s="86" t="s">
        <v>4</v>
      </c>
      <c r="DV12" s="86">
        <v>4</v>
      </c>
      <c r="DW12" s="58">
        <v>5.15</v>
      </c>
      <c r="DX12" s="96"/>
      <c r="DY12" s="96"/>
      <c r="DZ12" s="53">
        <v>18.649999999999999</v>
      </c>
      <c r="EA12" s="58">
        <f t="shared" si="24"/>
        <v>13.499999999999998</v>
      </c>
      <c r="EB12" s="97">
        <v>7.3</v>
      </c>
      <c r="EC12" s="58">
        <v>1</v>
      </c>
      <c r="ED12" s="59">
        <f t="shared" si="25"/>
        <v>5.1999999999999984</v>
      </c>
      <c r="EE12" s="86">
        <v>5</v>
      </c>
      <c r="EF12" s="86">
        <f t="shared" si="26"/>
        <v>19.99999999999984</v>
      </c>
      <c r="EG12" s="98"/>
    </row>
    <row r="13" spans="1:139" ht="17.149999999999999" customHeight="1" x14ac:dyDescent="0.35">
      <c r="A13" s="86" t="s">
        <v>5</v>
      </c>
      <c r="B13" s="86">
        <v>5</v>
      </c>
      <c r="C13" s="58">
        <v>5.15</v>
      </c>
      <c r="D13" s="96"/>
      <c r="E13" s="96"/>
      <c r="F13" s="53">
        <v>18.62</v>
      </c>
      <c r="G13" s="58">
        <f t="shared" si="0"/>
        <v>13.47</v>
      </c>
      <c r="H13" s="97">
        <v>7.3</v>
      </c>
      <c r="I13" s="58">
        <v>1</v>
      </c>
      <c r="J13" s="59">
        <f t="shared" si="1"/>
        <v>5.1700000000000008</v>
      </c>
      <c r="K13" s="86">
        <v>5</v>
      </c>
      <c r="L13" s="86">
        <f t="shared" si="2"/>
        <v>17.000000000000082</v>
      </c>
      <c r="M13" s="98"/>
      <c r="O13" s="86" t="s">
        <v>5</v>
      </c>
      <c r="P13" s="86">
        <v>5</v>
      </c>
      <c r="Q13" s="58">
        <v>5.15</v>
      </c>
      <c r="R13" s="96"/>
      <c r="S13" s="96"/>
      <c r="T13" s="53">
        <v>18.62</v>
      </c>
      <c r="U13" s="58">
        <f t="shared" si="3"/>
        <v>13.47</v>
      </c>
      <c r="V13" s="97">
        <v>7.3</v>
      </c>
      <c r="W13" s="58">
        <v>1</v>
      </c>
      <c r="X13" s="59">
        <f t="shared" si="4"/>
        <v>5.1700000000000008</v>
      </c>
      <c r="Y13" s="86">
        <v>5</v>
      </c>
      <c r="Z13" s="86">
        <f t="shared" si="5"/>
        <v>17.000000000000082</v>
      </c>
      <c r="AA13" s="98"/>
      <c r="AB13" s="86" t="s">
        <v>5</v>
      </c>
      <c r="AC13" s="86">
        <v>5</v>
      </c>
      <c r="AD13" s="58"/>
      <c r="AE13" s="96"/>
      <c r="AF13" s="96"/>
      <c r="AG13" s="53"/>
      <c r="AH13" s="58"/>
      <c r="AI13" s="97"/>
      <c r="AJ13" s="58"/>
      <c r="AK13" s="59"/>
      <c r="AL13" s="86"/>
      <c r="AM13" s="86"/>
      <c r="AN13" s="98" t="s">
        <v>227</v>
      </c>
      <c r="AP13" s="86" t="s">
        <v>5</v>
      </c>
      <c r="AQ13" s="86">
        <v>5</v>
      </c>
      <c r="AR13" s="58">
        <v>5.15</v>
      </c>
      <c r="AS13" s="96"/>
      <c r="AT13" s="96"/>
      <c r="AU13" s="53">
        <v>18.62</v>
      </c>
      <c r="AV13" s="58">
        <f t="shared" si="9"/>
        <v>13.47</v>
      </c>
      <c r="AW13" s="97">
        <v>7.3</v>
      </c>
      <c r="AX13" s="58">
        <v>1</v>
      </c>
      <c r="AY13" s="59">
        <f t="shared" si="10"/>
        <v>5.1700000000000008</v>
      </c>
      <c r="AZ13" s="86">
        <v>5</v>
      </c>
      <c r="BA13" s="86">
        <f t="shared" si="11"/>
        <v>17.000000000000082</v>
      </c>
      <c r="BB13" s="98"/>
      <c r="BC13" s="86" t="s">
        <v>5</v>
      </c>
      <c r="BD13" s="86">
        <v>5</v>
      </c>
      <c r="BE13" s="58">
        <v>5.15</v>
      </c>
      <c r="BF13" s="96"/>
      <c r="BG13" s="96"/>
      <c r="BH13" s="53">
        <v>18.62</v>
      </c>
      <c r="BI13" s="58">
        <f t="shared" si="12"/>
        <v>13.47</v>
      </c>
      <c r="BJ13" s="97">
        <v>7.3</v>
      </c>
      <c r="BK13" s="58">
        <v>1</v>
      </c>
      <c r="BL13" s="59">
        <f t="shared" si="13"/>
        <v>5.1700000000000008</v>
      </c>
      <c r="BM13" s="86">
        <v>5</v>
      </c>
      <c r="BN13" s="86">
        <f t="shared" si="14"/>
        <v>17.000000000000082</v>
      </c>
      <c r="BO13" s="98"/>
      <c r="BQ13" s="86" t="s">
        <v>5</v>
      </c>
      <c r="BR13" s="86">
        <v>5</v>
      </c>
      <c r="BS13" s="58">
        <v>5.15</v>
      </c>
      <c r="BT13" s="96"/>
      <c r="BU13" s="96"/>
      <c r="BV13" s="53">
        <v>18.62</v>
      </c>
      <c r="BW13" s="58">
        <f t="shared" si="15"/>
        <v>13.47</v>
      </c>
      <c r="BX13" s="97">
        <v>7.3</v>
      </c>
      <c r="BY13" s="58">
        <v>1</v>
      </c>
      <c r="BZ13" s="59">
        <f t="shared" si="16"/>
        <v>5.1700000000000008</v>
      </c>
      <c r="CA13" s="86">
        <v>5</v>
      </c>
      <c r="CB13" s="86">
        <f t="shared" si="17"/>
        <v>17.000000000000082</v>
      </c>
      <c r="CC13" s="98"/>
      <c r="CE13" s="86" t="s">
        <v>5</v>
      </c>
      <c r="CF13" s="86">
        <v>5</v>
      </c>
      <c r="CG13" s="58">
        <v>5.15</v>
      </c>
      <c r="CH13" s="96"/>
      <c r="CI13" s="96"/>
      <c r="CJ13" s="53">
        <v>18.62</v>
      </c>
      <c r="CK13" s="58">
        <f t="shared" si="18"/>
        <v>13.47</v>
      </c>
      <c r="CL13" s="97">
        <v>7.3</v>
      </c>
      <c r="CM13" s="58">
        <v>1</v>
      </c>
      <c r="CN13" s="59">
        <f t="shared" si="19"/>
        <v>5.1700000000000008</v>
      </c>
      <c r="CO13" s="86">
        <v>5</v>
      </c>
      <c r="CP13" s="86">
        <f t="shared" si="20"/>
        <v>17.000000000000082</v>
      </c>
      <c r="CQ13" s="98"/>
      <c r="CS13" s="86"/>
      <c r="CT13" s="86"/>
      <c r="CU13" s="58"/>
      <c r="CV13" s="58"/>
      <c r="CW13" s="58"/>
      <c r="CX13" s="58"/>
      <c r="CY13" s="58"/>
      <c r="CZ13" s="97"/>
      <c r="DA13" s="58"/>
      <c r="DB13" s="59"/>
      <c r="DC13" s="86"/>
      <c r="DD13" s="86"/>
      <c r="DE13" s="98"/>
      <c r="DG13" s="86" t="s">
        <v>5</v>
      </c>
      <c r="DH13" s="86">
        <v>5</v>
      </c>
      <c r="DI13" s="58">
        <v>5.15</v>
      </c>
      <c r="DJ13" s="96"/>
      <c r="DK13" s="96"/>
      <c r="DL13" s="53">
        <v>18.62</v>
      </c>
      <c r="DM13" s="58">
        <f t="shared" si="21"/>
        <v>13.47</v>
      </c>
      <c r="DN13" s="97">
        <v>7.3</v>
      </c>
      <c r="DO13" s="58">
        <v>1</v>
      </c>
      <c r="DP13" s="59">
        <f t="shared" si="22"/>
        <v>5.1700000000000008</v>
      </c>
      <c r="DQ13" s="86">
        <v>5</v>
      </c>
      <c r="DR13" s="86">
        <f t="shared" si="23"/>
        <v>17.000000000000082</v>
      </c>
      <c r="DS13" s="98"/>
      <c r="DU13" s="86" t="s">
        <v>5</v>
      </c>
      <c r="DV13" s="86">
        <v>5</v>
      </c>
      <c r="DW13" s="58">
        <v>5.15</v>
      </c>
      <c r="DX13" s="96"/>
      <c r="DY13" s="96"/>
      <c r="DZ13" s="53">
        <v>18.62</v>
      </c>
      <c r="EA13" s="58">
        <f t="shared" si="24"/>
        <v>13.47</v>
      </c>
      <c r="EB13" s="97">
        <v>7.3</v>
      </c>
      <c r="EC13" s="58">
        <v>1</v>
      </c>
      <c r="ED13" s="59">
        <f t="shared" si="25"/>
        <v>5.1700000000000008</v>
      </c>
      <c r="EE13" s="86">
        <v>5</v>
      </c>
      <c r="EF13" s="86">
        <f t="shared" si="26"/>
        <v>17.000000000000082</v>
      </c>
      <c r="EG13" s="98"/>
    </row>
    <row r="14" spans="1:139" ht="17.149999999999999" customHeight="1" x14ac:dyDescent="0.35">
      <c r="A14" s="55" t="s">
        <v>6</v>
      </c>
      <c r="B14" s="55">
        <v>6</v>
      </c>
      <c r="C14" s="52"/>
      <c r="D14" s="52"/>
      <c r="E14" s="52">
        <v>9.4499999999999993</v>
      </c>
      <c r="F14" s="52">
        <v>12.93</v>
      </c>
      <c r="G14" s="52">
        <f t="shared" si="0"/>
        <v>3.4800000000000004</v>
      </c>
      <c r="H14" s="56"/>
      <c r="I14" s="52"/>
      <c r="J14" s="57">
        <f t="shared" si="1"/>
        <v>3.4800000000000004</v>
      </c>
      <c r="K14" s="55">
        <v>3</v>
      </c>
      <c r="L14" s="55">
        <f t="shared" si="2"/>
        <v>48.000000000000043</v>
      </c>
      <c r="M14" s="95"/>
      <c r="O14" s="55" t="s">
        <v>6</v>
      </c>
      <c r="P14" s="55">
        <v>6</v>
      </c>
      <c r="Q14" s="52"/>
      <c r="R14" s="52"/>
      <c r="S14" s="52">
        <v>13.09</v>
      </c>
      <c r="T14" s="52">
        <v>17.09</v>
      </c>
      <c r="U14" s="52">
        <f t="shared" si="3"/>
        <v>4</v>
      </c>
      <c r="V14" s="56"/>
      <c r="W14" s="52"/>
      <c r="X14" s="57">
        <f t="shared" si="4"/>
        <v>4</v>
      </c>
      <c r="Y14" s="55">
        <v>4</v>
      </c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>
        <f t="shared" si="6"/>
        <v>0</v>
      </c>
      <c r="AI14" s="56"/>
      <c r="AJ14" s="52"/>
      <c r="AK14" s="57">
        <f t="shared" si="7"/>
        <v>0</v>
      </c>
      <c r="AL14" s="55"/>
      <c r="AM14" s="55">
        <f t="shared" si="8"/>
        <v>0</v>
      </c>
      <c r="AN14" s="95"/>
      <c r="AP14" s="55" t="s">
        <v>6</v>
      </c>
      <c r="AQ14" s="55">
        <v>6</v>
      </c>
      <c r="AR14" s="52"/>
      <c r="AS14" s="52"/>
      <c r="AT14" s="52">
        <v>8.57</v>
      </c>
      <c r="AU14" s="52">
        <v>12.9</v>
      </c>
      <c r="AV14" s="52">
        <f t="shared" si="9"/>
        <v>4.33</v>
      </c>
      <c r="AW14" s="56"/>
      <c r="AX14" s="52"/>
      <c r="AY14" s="57">
        <f t="shared" si="10"/>
        <v>4.33</v>
      </c>
      <c r="AZ14" s="55">
        <v>4</v>
      </c>
      <c r="BA14" s="55">
        <f t="shared" si="11"/>
        <v>33.000000000000007</v>
      </c>
      <c r="BB14" s="95"/>
      <c r="BC14" s="55" t="s">
        <v>6</v>
      </c>
      <c r="BD14" s="55">
        <v>6</v>
      </c>
      <c r="BE14" s="52"/>
      <c r="BF14" s="52"/>
      <c r="BG14" s="52"/>
      <c r="BH14" s="52"/>
      <c r="BI14" s="52">
        <f t="shared" si="12"/>
        <v>0</v>
      </c>
      <c r="BJ14" s="56"/>
      <c r="BK14" s="52"/>
      <c r="BL14" s="57">
        <f t="shared" si="13"/>
        <v>0</v>
      </c>
      <c r="BM14" s="55"/>
      <c r="BN14" s="55">
        <f t="shared" si="14"/>
        <v>0</v>
      </c>
      <c r="BO14" s="95"/>
      <c r="BQ14" s="55" t="s">
        <v>6</v>
      </c>
      <c r="BR14" s="55">
        <v>6</v>
      </c>
      <c r="BS14" s="52"/>
      <c r="BT14" s="52"/>
      <c r="BU14" s="52"/>
      <c r="BV14" s="52"/>
      <c r="BW14" s="52">
        <f t="shared" si="15"/>
        <v>0</v>
      </c>
      <c r="BX14" s="56"/>
      <c r="BY14" s="52"/>
      <c r="BZ14" s="57">
        <f t="shared" si="16"/>
        <v>0</v>
      </c>
      <c r="CA14" s="55"/>
      <c r="CB14" s="55">
        <f t="shared" si="17"/>
        <v>0</v>
      </c>
      <c r="CC14" s="95"/>
      <c r="CE14" s="55" t="s">
        <v>6</v>
      </c>
      <c r="CF14" s="55">
        <v>6</v>
      </c>
      <c r="CG14" s="52"/>
      <c r="CH14" s="52"/>
      <c r="CI14" s="52">
        <v>13.05</v>
      </c>
      <c r="CJ14" s="52">
        <v>17.09</v>
      </c>
      <c r="CK14" s="52">
        <f t="shared" si="18"/>
        <v>4.0399999999999991</v>
      </c>
      <c r="CL14" s="56"/>
      <c r="CM14" s="52"/>
      <c r="CN14" s="57">
        <f t="shared" si="19"/>
        <v>4.0399999999999991</v>
      </c>
      <c r="CO14" s="55">
        <v>4</v>
      </c>
      <c r="CP14" s="55">
        <f t="shared" si="20"/>
        <v>3.9999999999999147</v>
      </c>
      <c r="CQ14" s="95"/>
      <c r="CS14" s="86"/>
      <c r="CT14" s="86"/>
      <c r="CU14" s="58"/>
      <c r="CV14" s="58"/>
      <c r="CW14" s="58"/>
      <c r="CX14" s="58"/>
      <c r="CY14" s="58"/>
      <c r="CZ14" s="97"/>
      <c r="DA14" s="58"/>
      <c r="DB14" s="59"/>
      <c r="DC14" s="86"/>
      <c r="DD14" s="86"/>
      <c r="DE14" s="98"/>
      <c r="DG14" s="55" t="s">
        <v>6</v>
      </c>
      <c r="DH14" s="55">
        <v>6</v>
      </c>
      <c r="DI14" s="52"/>
      <c r="DJ14" s="52"/>
      <c r="DK14" s="52"/>
      <c r="DL14" s="52"/>
      <c r="DM14" s="52">
        <f t="shared" si="21"/>
        <v>0</v>
      </c>
      <c r="DN14" s="56"/>
      <c r="DO14" s="52"/>
      <c r="DP14" s="57">
        <f t="shared" si="22"/>
        <v>0</v>
      </c>
      <c r="DQ14" s="55"/>
      <c r="DR14" s="55">
        <f t="shared" si="23"/>
        <v>0</v>
      </c>
      <c r="DS14" s="95"/>
      <c r="DU14" s="55" t="s">
        <v>6</v>
      </c>
      <c r="DV14" s="55">
        <v>6</v>
      </c>
      <c r="DW14" s="52"/>
      <c r="DX14" s="52"/>
      <c r="DY14" s="52">
        <v>9</v>
      </c>
      <c r="DZ14" s="52">
        <v>13.27</v>
      </c>
      <c r="EA14" s="52">
        <f t="shared" si="24"/>
        <v>4.2699999999999996</v>
      </c>
      <c r="EB14" s="56"/>
      <c r="EC14" s="52"/>
      <c r="ED14" s="57">
        <f t="shared" si="25"/>
        <v>4.2699999999999996</v>
      </c>
      <c r="EE14" s="55">
        <v>4</v>
      </c>
      <c r="EF14" s="55">
        <f t="shared" si="26"/>
        <v>26.999999999999957</v>
      </c>
      <c r="EG14" s="95"/>
    </row>
    <row r="15" spans="1:139" ht="17.149999999999999" customHeight="1" x14ac:dyDescent="0.35">
      <c r="A15" s="86" t="s">
        <v>1</v>
      </c>
      <c r="B15" s="94">
        <v>7</v>
      </c>
      <c r="C15" s="58">
        <v>5.15</v>
      </c>
      <c r="D15" s="96"/>
      <c r="E15" s="96"/>
      <c r="F15" s="53">
        <v>18.59</v>
      </c>
      <c r="G15" s="58">
        <f t="shared" si="0"/>
        <v>13.44</v>
      </c>
      <c r="H15" s="97">
        <v>7.3</v>
      </c>
      <c r="I15" s="58">
        <v>1</v>
      </c>
      <c r="J15" s="59">
        <f t="shared" si="1"/>
        <v>5.14</v>
      </c>
      <c r="K15" s="86">
        <v>5</v>
      </c>
      <c r="L15" s="86">
        <f t="shared" si="2"/>
        <v>13.999999999999968</v>
      </c>
      <c r="M15" s="98"/>
      <c r="O15" s="86" t="s">
        <v>1</v>
      </c>
      <c r="P15" s="94">
        <v>7</v>
      </c>
      <c r="Q15" s="58">
        <v>5.15</v>
      </c>
      <c r="R15" s="96"/>
      <c r="S15" s="96"/>
      <c r="T15" s="53">
        <v>18.59</v>
      </c>
      <c r="U15" s="58">
        <f t="shared" si="3"/>
        <v>13.44</v>
      </c>
      <c r="V15" s="97">
        <v>7.3</v>
      </c>
      <c r="W15" s="58">
        <v>1</v>
      </c>
      <c r="X15" s="59">
        <f t="shared" si="4"/>
        <v>5.14</v>
      </c>
      <c r="Y15" s="86">
        <v>5</v>
      </c>
      <c r="Z15" s="86">
        <f t="shared" si="5"/>
        <v>13.999999999999968</v>
      </c>
      <c r="AA15" s="98"/>
      <c r="AB15" s="86" t="s">
        <v>1</v>
      </c>
      <c r="AC15" s="94">
        <v>7</v>
      </c>
      <c r="AD15" s="58">
        <v>5.15</v>
      </c>
      <c r="AE15" s="96"/>
      <c r="AF15" s="96"/>
      <c r="AG15" s="53">
        <v>18.59</v>
      </c>
      <c r="AH15" s="58">
        <f t="shared" si="6"/>
        <v>13.44</v>
      </c>
      <c r="AI15" s="97">
        <v>7.3</v>
      </c>
      <c r="AJ15" s="58">
        <v>1</v>
      </c>
      <c r="AK15" s="59">
        <f t="shared" si="7"/>
        <v>5.14</v>
      </c>
      <c r="AL15" s="86">
        <v>5</v>
      </c>
      <c r="AM15" s="86">
        <f t="shared" si="8"/>
        <v>13.999999999999968</v>
      </c>
      <c r="AN15" s="98"/>
      <c r="AP15" s="86" t="s">
        <v>1</v>
      </c>
      <c r="AQ15" s="94">
        <v>7</v>
      </c>
      <c r="AR15" s="58">
        <v>5.15</v>
      </c>
      <c r="AS15" s="96"/>
      <c r="AT15" s="96"/>
      <c r="AU15" s="53">
        <v>18.59</v>
      </c>
      <c r="AV15" s="58">
        <f t="shared" si="9"/>
        <v>13.44</v>
      </c>
      <c r="AW15" s="97">
        <v>7.3</v>
      </c>
      <c r="AX15" s="58">
        <v>1</v>
      </c>
      <c r="AY15" s="59">
        <f t="shared" si="10"/>
        <v>5.14</v>
      </c>
      <c r="AZ15" s="86">
        <v>5</v>
      </c>
      <c r="BA15" s="86">
        <f t="shared" si="11"/>
        <v>13.999999999999968</v>
      </c>
      <c r="BB15" s="98"/>
      <c r="BC15" s="86" t="s">
        <v>1</v>
      </c>
      <c r="BD15" s="94">
        <v>7</v>
      </c>
      <c r="BE15" s="58">
        <v>5.15</v>
      </c>
      <c r="BF15" s="96"/>
      <c r="BG15" s="96"/>
      <c r="BH15" s="53">
        <v>18.59</v>
      </c>
      <c r="BI15" s="58">
        <f t="shared" si="12"/>
        <v>13.44</v>
      </c>
      <c r="BJ15" s="97">
        <v>7.3</v>
      </c>
      <c r="BK15" s="58">
        <v>1</v>
      </c>
      <c r="BL15" s="59">
        <f t="shared" si="13"/>
        <v>5.14</v>
      </c>
      <c r="BM15" s="86">
        <v>5</v>
      </c>
      <c r="BN15" s="86">
        <f t="shared" si="14"/>
        <v>13.999999999999968</v>
      </c>
      <c r="BO15" s="98"/>
      <c r="BQ15" s="86" t="s">
        <v>1</v>
      </c>
      <c r="BR15" s="94">
        <v>7</v>
      </c>
      <c r="BS15" s="58">
        <v>5.15</v>
      </c>
      <c r="BT15" s="96"/>
      <c r="BU15" s="96"/>
      <c r="BV15" s="53">
        <v>18.59</v>
      </c>
      <c r="BW15" s="58">
        <f t="shared" si="15"/>
        <v>13.44</v>
      </c>
      <c r="BX15" s="97">
        <v>7.3</v>
      </c>
      <c r="BY15" s="58">
        <v>1</v>
      </c>
      <c r="BZ15" s="59">
        <f t="shared" si="16"/>
        <v>5.14</v>
      </c>
      <c r="CA15" s="86">
        <v>5</v>
      </c>
      <c r="CB15" s="86">
        <f t="shared" si="17"/>
        <v>13.999999999999968</v>
      </c>
      <c r="CC15" s="98"/>
      <c r="CE15" s="86" t="s">
        <v>1</v>
      </c>
      <c r="CF15" s="94">
        <v>7</v>
      </c>
      <c r="CG15" s="58">
        <v>5.15</v>
      </c>
      <c r="CH15" s="96"/>
      <c r="CI15" s="96"/>
      <c r="CJ15" s="53">
        <v>18.59</v>
      </c>
      <c r="CK15" s="58">
        <f t="shared" si="18"/>
        <v>13.44</v>
      </c>
      <c r="CL15" s="97">
        <v>7.3</v>
      </c>
      <c r="CM15" s="58">
        <v>1</v>
      </c>
      <c r="CN15" s="59">
        <f t="shared" si="19"/>
        <v>5.14</v>
      </c>
      <c r="CO15" s="86">
        <v>5</v>
      </c>
      <c r="CP15" s="86">
        <f t="shared" si="20"/>
        <v>13.999999999999968</v>
      </c>
      <c r="CQ15" s="98"/>
      <c r="CS15" s="86"/>
      <c r="CT15" s="94"/>
      <c r="CU15" s="58"/>
      <c r="CV15" s="58"/>
      <c r="CW15" s="58"/>
      <c r="CX15" s="58"/>
      <c r="CY15" s="58"/>
      <c r="CZ15" s="97"/>
      <c r="DA15" s="58"/>
      <c r="DB15" s="59"/>
      <c r="DC15" s="86"/>
      <c r="DD15" s="86"/>
      <c r="DE15" s="98"/>
      <c r="DG15" s="86" t="s">
        <v>1</v>
      </c>
      <c r="DH15" s="94">
        <v>7</v>
      </c>
      <c r="DI15" s="58">
        <v>5.15</v>
      </c>
      <c r="DJ15" s="96"/>
      <c r="DK15" s="96"/>
      <c r="DL15" s="53">
        <v>18.59</v>
      </c>
      <c r="DM15" s="58">
        <f t="shared" si="21"/>
        <v>13.44</v>
      </c>
      <c r="DN15" s="97">
        <v>7.3</v>
      </c>
      <c r="DO15" s="58">
        <v>1</v>
      </c>
      <c r="DP15" s="59">
        <f t="shared" si="22"/>
        <v>5.14</v>
      </c>
      <c r="DQ15" s="86">
        <v>5</v>
      </c>
      <c r="DR15" s="86">
        <f t="shared" si="23"/>
        <v>13.999999999999968</v>
      </c>
      <c r="DS15" s="98"/>
      <c r="DU15" s="86" t="s">
        <v>1</v>
      </c>
      <c r="DV15" s="94">
        <v>7</v>
      </c>
      <c r="DW15" s="99">
        <v>5.4</v>
      </c>
      <c r="DX15" s="96"/>
      <c r="DY15" s="96"/>
      <c r="DZ15" s="53">
        <v>18.59</v>
      </c>
      <c r="EA15" s="58">
        <f t="shared" si="24"/>
        <v>13.19</v>
      </c>
      <c r="EB15" s="97">
        <v>7.3</v>
      </c>
      <c r="EC15" s="58">
        <v>1</v>
      </c>
      <c r="ED15" s="59">
        <f t="shared" si="25"/>
        <v>4.8899999999999997</v>
      </c>
      <c r="EE15" s="86">
        <v>5</v>
      </c>
      <c r="EF15" s="86">
        <f t="shared" si="26"/>
        <v>-11.000000000000032</v>
      </c>
      <c r="EG15" s="98"/>
    </row>
    <row r="16" spans="1:139" ht="17.149999999999999" customHeight="1" x14ac:dyDescent="0.35">
      <c r="A16" s="86" t="s">
        <v>216</v>
      </c>
      <c r="B16" s="86">
        <v>8</v>
      </c>
      <c r="C16" s="58">
        <v>5.15</v>
      </c>
      <c r="D16" s="96"/>
      <c r="E16" s="96"/>
      <c r="F16" s="53">
        <v>17.93</v>
      </c>
      <c r="G16" s="58">
        <f t="shared" si="0"/>
        <v>12.78</v>
      </c>
      <c r="H16" s="97">
        <v>7.3</v>
      </c>
      <c r="I16" s="58">
        <v>1</v>
      </c>
      <c r="J16" s="59">
        <f t="shared" si="1"/>
        <v>4.4799999999999995</v>
      </c>
      <c r="K16" s="86">
        <v>4</v>
      </c>
      <c r="L16" s="86">
        <f t="shared" si="2"/>
        <v>47.999999999999957</v>
      </c>
      <c r="M16" s="87"/>
      <c r="O16" s="86" t="s">
        <v>216</v>
      </c>
      <c r="P16" s="86">
        <v>8</v>
      </c>
      <c r="Q16" s="58">
        <v>5.15</v>
      </c>
      <c r="R16" s="96"/>
      <c r="S16" s="96"/>
      <c r="T16" s="53">
        <v>17.93</v>
      </c>
      <c r="U16" s="58">
        <f t="shared" si="3"/>
        <v>12.78</v>
      </c>
      <c r="V16" s="97">
        <v>7.3</v>
      </c>
      <c r="W16" s="58">
        <v>1</v>
      </c>
      <c r="X16" s="59">
        <f t="shared" si="4"/>
        <v>4.4799999999999995</v>
      </c>
      <c r="Y16" s="86">
        <v>4</v>
      </c>
      <c r="Z16" s="86">
        <f t="shared" si="5"/>
        <v>47.999999999999957</v>
      </c>
      <c r="AA16" s="87"/>
      <c r="AB16" s="86" t="s">
        <v>216</v>
      </c>
      <c r="AC16" s="86">
        <v>8</v>
      </c>
      <c r="AD16" s="58">
        <v>5.15</v>
      </c>
      <c r="AE16" s="96"/>
      <c r="AF16" s="96"/>
      <c r="AG16" s="53">
        <v>17.93</v>
      </c>
      <c r="AH16" s="58">
        <f t="shared" si="6"/>
        <v>12.78</v>
      </c>
      <c r="AI16" s="97">
        <v>7.3</v>
      </c>
      <c r="AJ16" s="58">
        <v>1</v>
      </c>
      <c r="AK16" s="59">
        <f t="shared" si="7"/>
        <v>4.4799999999999995</v>
      </c>
      <c r="AL16" s="86">
        <v>4</v>
      </c>
      <c r="AM16" s="86">
        <f t="shared" si="8"/>
        <v>47.999999999999957</v>
      </c>
      <c r="AN16" s="87"/>
      <c r="AP16" s="86" t="s">
        <v>216</v>
      </c>
      <c r="AQ16" s="86">
        <v>8</v>
      </c>
      <c r="AR16" s="58">
        <v>5.15</v>
      </c>
      <c r="AS16" s="96"/>
      <c r="AT16" s="96"/>
      <c r="AU16" s="53">
        <v>17.93</v>
      </c>
      <c r="AV16" s="58">
        <f t="shared" si="9"/>
        <v>12.78</v>
      </c>
      <c r="AW16" s="97">
        <v>7.3</v>
      </c>
      <c r="AX16" s="58">
        <v>1</v>
      </c>
      <c r="AY16" s="59">
        <f t="shared" si="10"/>
        <v>4.4799999999999995</v>
      </c>
      <c r="AZ16" s="86">
        <v>4</v>
      </c>
      <c r="BA16" s="86">
        <f t="shared" si="11"/>
        <v>47.999999999999957</v>
      </c>
      <c r="BB16" s="87"/>
      <c r="BC16" s="86" t="s">
        <v>216</v>
      </c>
      <c r="BD16" s="86">
        <v>8</v>
      </c>
      <c r="BE16" s="58">
        <v>5.15</v>
      </c>
      <c r="BF16" s="96"/>
      <c r="BG16" s="96"/>
      <c r="BH16" s="53">
        <v>17.93</v>
      </c>
      <c r="BI16" s="58">
        <f t="shared" si="12"/>
        <v>12.78</v>
      </c>
      <c r="BJ16" s="97">
        <v>7.3</v>
      </c>
      <c r="BK16" s="58">
        <v>1</v>
      </c>
      <c r="BL16" s="59">
        <f t="shared" si="13"/>
        <v>4.4799999999999995</v>
      </c>
      <c r="BM16" s="86">
        <v>4</v>
      </c>
      <c r="BN16" s="86">
        <f t="shared" si="14"/>
        <v>47.999999999999957</v>
      </c>
      <c r="BO16" s="87"/>
      <c r="BQ16" s="86" t="s">
        <v>216</v>
      </c>
      <c r="BR16" s="86">
        <v>8</v>
      </c>
      <c r="BS16" s="58">
        <v>5.15</v>
      </c>
      <c r="BT16" s="96"/>
      <c r="BU16" s="96"/>
      <c r="BV16" s="53">
        <v>17.93</v>
      </c>
      <c r="BW16" s="58">
        <f t="shared" si="15"/>
        <v>12.78</v>
      </c>
      <c r="BX16" s="97">
        <v>7.3</v>
      </c>
      <c r="BY16" s="58">
        <v>1</v>
      </c>
      <c r="BZ16" s="59">
        <f t="shared" si="16"/>
        <v>4.4799999999999995</v>
      </c>
      <c r="CA16" s="86">
        <v>4</v>
      </c>
      <c r="CB16" s="86">
        <f t="shared" si="17"/>
        <v>47.999999999999957</v>
      </c>
      <c r="CC16" s="87"/>
      <c r="CE16" s="86" t="s">
        <v>216</v>
      </c>
      <c r="CF16" s="86">
        <v>8</v>
      </c>
      <c r="CG16" s="58">
        <v>5.15</v>
      </c>
      <c r="CH16" s="96"/>
      <c r="CI16" s="96"/>
      <c r="CJ16" s="53">
        <v>17.93</v>
      </c>
      <c r="CK16" s="58">
        <f t="shared" si="18"/>
        <v>12.78</v>
      </c>
      <c r="CL16" s="97">
        <v>7.3</v>
      </c>
      <c r="CM16" s="58">
        <v>1</v>
      </c>
      <c r="CN16" s="59">
        <f t="shared" si="19"/>
        <v>4.4799999999999995</v>
      </c>
      <c r="CO16" s="86">
        <v>4</v>
      </c>
      <c r="CP16" s="86">
        <f t="shared" si="20"/>
        <v>47.999999999999957</v>
      </c>
      <c r="CQ16" s="87"/>
      <c r="CS16" s="86"/>
      <c r="CT16" s="86"/>
      <c r="CU16" s="58"/>
      <c r="CV16" s="58"/>
      <c r="CW16" s="58"/>
      <c r="CX16" s="58"/>
      <c r="CY16" s="58"/>
      <c r="CZ16" s="97"/>
      <c r="DA16" s="58"/>
      <c r="DB16" s="59"/>
      <c r="DC16" s="86"/>
      <c r="DD16" s="86"/>
      <c r="DE16" s="87"/>
      <c r="DG16" s="86" t="s">
        <v>216</v>
      </c>
      <c r="DH16" s="86">
        <v>8</v>
      </c>
      <c r="DI16" s="58">
        <v>5.15</v>
      </c>
      <c r="DJ16" s="96"/>
      <c r="DK16" s="96"/>
      <c r="DL16" s="53">
        <v>17.93</v>
      </c>
      <c r="DM16" s="58">
        <f t="shared" si="21"/>
        <v>12.78</v>
      </c>
      <c r="DN16" s="97">
        <v>7.3</v>
      </c>
      <c r="DO16" s="58">
        <v>1</v>
      </c>
      <c r="DP16" s="59">
        <f t="shared" si="22"/>
        <v>4.4799999999999995</v>
      </c>
      <c r="DQ16" s="86">
        <v>4</v>
      </c>
      <c r="DR16" s="86">
        <f t="shared" si="23"/>
        <v>47.999999999999957</v>
      </c>
      <c r="DS16" s="87"/>
      <c r="DU16" s="86" t="s">
        <v>216</v>
      </c>
      <c r="DV16" s="86">
        <v>8</v>
      </c>
      <c r="DW16" s="58">
        <v>5.15</v>
      </c>
      <c r="DX16" s="96"/>
      <c r="DY16" s="96"/>
      <c r="DZ16" s="53">
        <v>17.93</v>
      </c>
      <c r="EA16" s="58">
        <f t="shared" si="24"/>
        <v>12.78</v>
      </c>
      <c r="EB16" s="97">
        <v>7.3</v>
      </c>
      <c r="EC16" s="58">
        <v>1</v>
      </c>
      <c r="ED16" s="59">
        <f t="shared" si="25"/>
        <v>4.4799999999999995</v>
      </c>
      <c r="EE16" s="86">
        <v>4</v>
      </c>
      <c r="EF16" s="86">
        <f t="shared" si="26"/>
        <v>47.999999999999957</v>
      </c>
      <c r="EG16" s="87"/>
    </row>
    <row r="17" spans="1:139" ht="17.149999999999999" customHeight="1" x14ac:dyDescent="0.35">
      <c r="A17" s="86" t="s">
        <v>2</v>
      </c>
      <c r="B17" s="86">
        <v>9</v>
      </c>
      <c r="C17" s="58">
        <v>5.15</v>
      </c>
      <c r="D17" s="96"/>
      <c r="E17" s="96"/>
      <c r="F17" s="53">
        <v>17.62</v>
      </c>
      <c r="G17" s="58">
        <f t="shared" si="0"/>
        <v>12.47</v>
      </c>
      <c r="H17" s="97">
        <v>7.3</v>
      </c>
      <c r="I17" s="58">
        <v>1</v>
      </c>
      <c r="J17" s="59">
        <f t="shared" si="1"/>
        <v>4.1700000000000008</v>
      </c>
      <c r="K17" s="86">
        <v>4</v>
      </c>
      <c r="L17" s="86">
        <f t="shared" si="2"/>
        <v>17.000000000000082</v>
      </c>
      <c r="M17" s="98"/>
      <c r="O17" s="86" t="s">
        <v>2</v>
      </c>
      <c r="P17" s="86">
        <v>9</v>
      </c>
      <c r="Q17" s="58">
        <v>5.15</v>
      </c>
      <c r="R17" s="96"/>
      <c r="S17" s="96"/>
      <c r="T17" s="53">
        <v>17.62</v>
      </c>
      <c r="U17" s="58">
        <f t="shared" si="3"/>
        <v>12.47</v>
      </c>
      <c r="V17" s="97">
        <v>7.3</v>
      </c>
      <c r="W17" s="58">
        <v>1</v>
      </c>
      <c r="X17" s="59">
        <f t="shared" si="4"/>
        <v>4.1700000000000008</v>
      </c>
      <c r="Y17" s="86">
        <v>4</v>
      </c>
      <c r="Z17" s="86">
        <f t="shared" si="5"/>
        <v>17.000000000000082</v>
      </c>
      <c r="AA17" s="98"/>
      <c r="AB17" s="86" t="s">
        <v>2</v>
      </c>
      <c r="AC17" s="86">
        <v>9</v>
      </c>
      <c r="AD17" s="58">
        <v>5.15</v>
      </c>
      <c r="AE17" s="96"/>
      <c r="AF17" s="96"/>
      <c r="AG17" s="53">
        <v>17.62</v>
      </c>
      <c r="AH17" s="58">
        <f t="shared" si="6"/>
        <v>12.47</v>
      </c>
      <c r="AI17" s="97">
        <v>7.3</v>
      </c>
      <c r="AJ17" s="58">
        <v>1</v>
      </c>
      <c r="AK17" s="59">
        <f t="shared" si="7"/>
        <v>4.1700000000000008</v>
      </c>
      <c r="AL17" s="86">
        <v>4</v>
      </c>
      <c r="AM17" s="86">
        <f t="shared" si="8"/>
        <v>17.000000000000082</v>
      </c>
      <c r="AN17" s="98"/>
      <c r="AP17" s="86" t="s">
        <v>2</v>
      </c>
      <c r="AQ17" s="86">
        <v>9</v>
      </c>
      <c r="AR17" s="58">
        <v>5.15</v>
      </c>
      <c r="AS17" s="96"/>
      <c r="AT17" s="96"/>
      <c r="AU17" s="53">
        <v>17.62</v>
      </c>
      <c r="AV17" s="58">
        <f t="shared" si="9"/>
        <v>12.47</v>
      </c>
      <c r="AW17" s="97">
        <v>7.3</v>
      </c>
      <c r="AX17" s="58">
        <v>1</v>
      </c>
      <c r="AY17" s="59">
        <f t="shared" si="10"/>
        <v>4.1700000000000008</v>
      </c>
      <c r="AZ17" s="86">
        <v>4</v>
      </c>
      <c r="BA17" s="86">
        <f t="shared" si="11"/>
        <v>17.000000000000082</v>
      </c>
      <c r="BB17" s="98"/>
      <c r="BC17" s="86" t="s">
        <v>2</v>
      </c>
      <c r="BD17" s="86">
        <v>9</v>
      </c>
      <c r="BE17" s="58">
        <v>5.15</v>
      </c>
      <c r="BF17" s="96"/>
      <c r="BG17" s="96"/>
      <c r="BH17" s="53">
        <v>17.62</v>
      </c>
      <c r="BI17" s="58">
        <f t="shared" si="12"/>
        <v>12.47</v>
      </c>
      <c r="BJ17" s="97">
        <v>7.3</v>
      </c>
      <c r="BK17" s="58">
        <v>1</v>
      </c>
      <c r="BL17" s="59">
        <f t="shared" si="13"/>
        <v>4.1700000000000008</v>
      </c>
      <c r="BM17" s="86">
        <v>4</v>
      </c>
      <c r="BN17" s="86">
        <f t="shared" si="14"/>
        <v>17.000000000000082</v>
      </c>
      <c r="BO17" s="98"/>
      <c r="BQ17" s="86" t="s">
        <v>2</v>
      </c>
      <c r="BR17" s="86">
        <v>9</v>
      </c>
      <c r="BS17" s="58">
        <v>5.15</v>
      </c>
      <c r="BT17" s="96"/>
      <c r="BU17" s="96"/>
      <c r="BV17" s="53">
        <v>17.62</v>
      </c>
      <c r="BW17" s="58">
        <f t="shared" si="15"/>
        <v>12.47</v>
      </c>
      <c r="BX17" s="97">
        <v>7.3</v>
      </c>
      <c r="BY17" s="58">
        <v>1</v>
      </c>
      <c r="BZ17" s="59">
        <f t="shared" si="16"/>
        <v>4.1700000000000008</v>
      </c>
      <c r="CA17" s="86">
        <v>4</v>
      </c>
      <c r="CB17" s="86">
        <f t="shared" si="17"/>
        <v>17.000000000000082</v>
      </c>
      <c r="CC17" s="98"/>
      <c r="CE17" s="86" t="s">
        <v>2</v>
      </c>
      <c r="CF17" s="86">
        <v>9</v>
      </c>
      <c r="CG17" s="58">
        <v>5.15</v>
      </c>
      <c r="CH17" s="96"/>
      <c r="CI17" s="96"/>
      <c r="CJ17" s="53">
        <v>17.62</v>
      </c>
      <c r="CK17" s="58">
        <f t="shared" si="18"/>
        <v>12.47</v>
      </c>
      <c r="CL17" s="97">
        <v>7.3</v>
      </c>
      <c r="CM17" s="58">
        <v>1</v>
      </c>
      <c r="CN17" s="59">
        <f t="shared" si="19"/>
        <v>4.1700000000000008</v>
      </c>
      <c r="CO17" s="86">
        <v>4</v>
      </c>
      <c r="CP17" s="86">
        <f t="shared" si="20"/>
        <v>17.000000000000082</v>
      </c>
      <c r="CQ17" s="98"/>
      <c r="CS17" s="55"/>
      <c r="CT17" s="55"/>
      <c r="CU17" s="52"/>
      <c r="CV17" s="52"/>
      <c r="CW17" s="52"/>
      <c r="CX17" s="52"/>
      <c r="CY17" s="52"/>
      <c r="CZ17" s="56"/>
      <c r="DA17" s="52"/>
      <c r="DB17" s="57"/>
      <c r="DC17" s="55"/>
      <c r="DD17" s="82"/>
      <c r="DE17" s="95"/>
      <c r="DG17" s="86" t="s">
        <v>2</v>
      </c>
      <c r="DH17" s="86">
        <v>9</v>
      </c>
      <c r="DI17" s="58">
        <v>5.15</v>
      </c>
      <c r="DJ17" s="96"/>
      <c r="DK17" s="96"/>
      <c r="DL17" s="53">
        <v>17.62</v>
      </c>
      <c r="DM17" s="58">
        <f t="shared" si="21"/>
        <v>12.47</v>
      </c>
      <c r="DN17" s="97">
        <v>7.3</v>
      </c>
      <c r="DO17" s="58">
        <v>1</v>
      </c>
      <c r="DP17" s="59">
        <f t="shared" si="22"/>
        <v>4.1700000000000008</v>
      </c>
      <c r="DQ17" s="86">
        <v>4</v>
      </c>
      <c r="DR17" s="86">
        <f t="shared" si="23"/>
        <v>17.000000000000082</v>
      </c>
      <c r="DS17" s="98"/>
      <c r="DU17" s="86" t="s">
        <v>2</v>
      </c>
      <c r="DV17" s="86">
        <v>9</v>
      </c>
      <c r="DW17" s="58">
        <v>5.15</v>
      </c>
      <c r="DX17" s="96"/>
      <c r="DY17" s="96"/>
      <c r="DZ17" s="53">
        <v>17.62</v>
      </c>
      <c r="EA17" s="58">
        <f t="shared" si="24"/>
        <v>12.47</v>
      </c>
      <c r="EB17" s="97">
        <v>7.3</v>
      </c>
      <c r="EC17" s="58">
        <v>1</v>
      </c>
      <c r="ED17" s="59">
        <f t="shared" si="25"/>
        <v>4.1700000000000008</v>
      </c>
      <c r="EE17" s="86">
        <v>4</v>
      </c>
      <c r="EF17" s="86">
        <f t="shared" si="26"/>
        <v>17.000000000000082</v>
      </c>
      <c r="EG17" s="98"/>
    </row>
    <row r="18" spans="1:139" s="54" customFormat="1" ht="17.149999999999999" customHeight="1" x14ac:dyDescent="0.35">
      <c r="A18" s="86" t="s">
        <v>225</v>
      </c>
      <c r="B18" s="86">
        <v>10</v>
      </c>
      <c r="C18" s="58">
        <v>5.15</v>
      </c>
      <c r="D18" s="96"/>
      <c r="E18" s="96"/>
      <c r="F18" s="53">
        <v>17.68</v>
      </c>
      <c r="G18" s="58">
        <f t="shared" si="0"/>
        <v>12.53</v>
      </c>
      <c r="H18" s="97">
        <v>7.3</v>
      </c>
      <c r="I18" s="58">
        <v>1</v>
      </c>
      <c r="J18" s="59">
        <f t="shared" si="1"/>
        <v>4.2299999999999995</v>
      </c>
      <c r="K18" s="86">
        <v>4</v>
      </c>
      <c r="L18" s="86">
        <f t="shared" si="2"/>
        <v>22.999999999999954</v>
      </c>
      <c r="M18" s="98"/>
      <c r="N18"/>
      <c r="O18" s="86" t="s">
        <v>225</v>
      </c>
      <c r="P18" s="86">
        <v>10</v>
      </c>
      <c r="Q18" s="58">
        <v>5.15</v>
      </c>
      <c r="R18" s="96"/>
      <c r="S18" s="96"/>
      <c r="T18" s="53">
        <v>17.68</v>
      </c>
      <c r="U18" s="58">
        <f t="shared" si="3"/>
        <v>12.53</v>
      </c>
      <c r="V18" s="97">
        <v>7.3</v>
      </c>
      <c r="W18" s="58">
        <v>1</v>
      </c>
      <c r="X18" s="59">
        <f t="shared" si="4"/>
        <v>4.2299999999999995</v>
      </c>
      <c r="Y18" s="86">
        <v>4</v>
      </c>
      <c r="Z18" s="86">
        <f t="shared" si="5"/>
        <v>22.999999999999954</v>
      </c>
      <c r="AA18" s="98"/>
      <c r="AB18" s="86" t="s">
        <v>225</v>
      </c>
      <c r="AC18" s="86">
        <v>10</v>
      </c>
      <c r="AD18" s="58">
        <v>5.15</v>
      </c>
      <c r="AE18" s="96"/>
      <c r="AF18" s="96"/>
      <c r="AG18" s="53">
        <v>17.68</v>
      </c>
      <c r="AH18" s="58">
        <f t="shared" si="6"/>
        <v>12.53</v>
      </c>
      <c r="AI18" s="97">
        <v>7.3</v>
      </c>
      <c r="AJ18" s="58">
        <v>1</v>
      </c>
      <c r="AK18" s="59">
        <f t="shared" si="7"/>
        <v>4.2299999999999995</v>
      </c>
      <c r="AL18" s="86">
        <v>4</v>
      </c>
      <c r="AM18" s="86">
        <f t="shared" si="8"/>
        <v>22.999999999999954</v>
      </c>
      <c r="AN18" s="98"/>
      <c r="AO18"/>
      <c r="AP18" s="86" t="s">
        <v>225</v>
      </c>
      <c r="AQ18" s="86">
        <v>10</v>
      </c>
      <c r="AR18" s="58">
        <v>5.15</v>
      </c>
      <c r="AS18" s="96"/>
      <c r="AT18" s="96"/>
      <c r="AU18" s="53">
        <v>17.68</v>
      </c>
      <c r="AV18" s="58">
        <f t="shared" si="9"/>
        <v>12.53</v>
      </c>
      <c r="AW18" s="97">
        <v>7.3</v>
      </c>
      <c r="AX18" s="58">
        <v>1</v>
      </c>
      <c r="AY18" s="59">
        <f t="shared" si="10"/>
        <v>4.2299999999999995</v>
      </c>
      <c r="AZ18" s="86">
        <v>4</v>
      </c>
      <c r="BA18" s="86">
        <f t="shared" si="11"/>
        <v>22.999999999999954</v>
      </c>
      <c r="BB18" s="98"/>
      <c r="BC18" s="86" t="s">
        <v>225</v>
      </c>
      <c r="BD18" s="86">
        <v>10</v>
      </c>
      <c r="BE18" s="58">
        <v>5.15</v>
      </c>
      <c r="BF18" s="96"/>
      <c r="BG18" s="96"/>
      <c r="BH18" s="53">
        <v>17.68</v>
      </c>
      <c r="BI18" s="58">
        <f t="shared" si="12"/>
        <v>12.53</v>
      </c>
      <c r="BJ18" s="97">
        <v>7.3</v>
      </c>
      <c r="BK18" s="58">
        <v>1</v>
      </c>
      <c r="BL18" s="59">
        <f t="shared" si="13"/>
        <v>4.2299999999999995</v>
      </c>
      <c r="BM18" s="86">
        <v>4</v>
      </c>
      <c r="BN18" s="86">
        <f t="shared" si="14"/>
        <v>22.999999999999954</v>
      </c>
      <c r="BO18" s="98"/>
      <c r="BP18"/>
      <c r="BQ18" s="86" t="s">
        <v>225</v>
      </c>
      <c r="BR18" s="86">
        <v>10</v>
      </c>
      <c r="BS18" s="58">
        <v>5.15</v>
      </c>
      <c r="BT18" s="96"/>
      <c r="BU18" s="96"/>
      <c r="BV18" s="53">
        <v>17.68</v>
      </c>
      <c r="BW18" s="58">
        <f t="shared" si="15"/>
        <v>12.53</v>
      </c>
      <c r="BX18" s="97">
        <v>7.3</v>
      </c>
      <c r="BY18" s="58">
        <v>1</v>
      </c>
      <c r="BZ18" s="59">
        <f t="shared" si="16"/>
        <v>4.2299999999999995</v>
      </c>
      <c r="CA18" s="86">
        <v>4</v>
      </c>
      <c r="CB18" s="86">
        <f t="shared" si="17"/>
        <v>22.999999999999954</v>
      </c>
      <c r="CC18" s="98"/>
      <c r="CD18"/>
      <c r="CE18" s="86" t="s">
        <v>225</v>
      </c>
      <c r="CF18" s="86">
        <v>10</v>
      </c>
      <c r="CG18" s="58">
        <v>5.15</v>
      </c>
      <c r="CH18" s="96"/>
      <c r="CI18" s="96"/>
      <c r="CJ18" s="53">
        <v>17.68</v>
      </c>
      <c r="CK18" s="58">
        <f t="shared" si="18"/>
        <v>12.53</v>
      </c>
      <c r="CL18" s="97">
        <v>7.3</v>
      </c>
      <c r="CM18" s="58">
        <v>1</v>
      </c>
      <c r="CN18" s="59">
        <f t="shared" si="19"/>
        <v>4.2299999999999995</v>
      </c>
      <c r="CO18" s="86">
        <v>4</v>
      </c>
      <c r="CP18" s="86">
        <f t="shared" si="20"/>
        <v>22.999999999999954</v>
      </c>
      <c r="CQ18" s="98"/>
      <c r="CR18"/>
      <c r="CS18" s="86"/>
      <c r="CT18" s="86"/>
      <c r="CU18" s="58"/>
      <c r="CV18" s="96"/>
      <c r="CW18" s="96"/>
      <c r="CX18" s="58"/>
      <c r="CY18" s="58"/>
      <c r="CZ18" s="97"/>
      <c r="DA18" s="58"/>
      <c r="DB18" s="59"/>
      <c r="DC18" s="86"/>
      <c r="DD18" s="86"/>
      <c r="DE18" s="98"/>
      <c r="DF18"/>
      <c r="DG18" s="86" t="s">
        <v>225</v>
      </c>
      <c r="DH18" s="86">
        <v>10</v>
      </c>
      <c r="DI18" s="58">
        <v>5.15</v>
      </c>
      <c r="DJ18" s="96"/>
      <c r="DK18" s="96"/>
      <c r="DL18" s="53">
        <v>17.68</v>
      </c>
      <c r="DM18" s="58">
        <f t="shared" si="21"/>
        <v>12.53</v>
      </c>
      <c r="DN18" s="97">
        <v>7.3</v>
      </c>
      <c r="DO18" s="58">
        <v>1</v>
      </c>
      <c r="DP18" s="59">
        <f t="shared" si="22"/>
        <v>4.2299999999999995</v>
      </c>
      <c r="DQ18" s="86">
        <v>4</v>
      </c>
      <c r="DR18" s="86">
        <f t="shared" si="23"/>
        <v>22.999999999999954</v>
      </c>
      <c r="DS18" s="98"/>
      <c r="DT18"/>
      <c r="DU18" s="86" t="s">
        <v>225</v>
      </c>
      <c r="DV18" s="86">
        <v>10</v>
      </c>
      <c r="DW18" s="58">
        <v>5.15</v>
      </c>
      <c r="DX18" s="96"/>
      <c r="DY18" s="96"/>
      <c r="DZ18" s="53">
        <v>17.68</v>
      </c>
      <c r="EA18" s="58">
        <f t="shared" si="24"/>
        <v>12.53</v>
      </c>
      <c r="EB18" s="97">
        <v>7.3</v>
      </c>
      <c r="EC18" s="58">
        <v>1</v>
      </c>
      <c r="ED18" s="59">
        <f t="shared" si="25"/>
        <v>4.2299999999999995</v>
      </c>
      <c r="EE18" s="86">
        <v>4</v>
      </c>
      <c r="EF18" s="86">
        <f t="shared" si="26"/>
        <v>22.999999999999954</v>
      </c>
      <c r="EG18" s="98"/>
      <c r="EH18"/>
      <c r="EI18"/>
    </row>
    <row r="19" spans="1:139" ht="17.149999999999999" customHeight="1" x14ac:dyDescent="0.35">
      <c r="A19" s="86" t="s">
        <v>4</v>
      </c>
      <c r="B19" s="86">
        <v>11</v>
      </c>
      <c r="C19" s="58">
        <v>5.15</v>
      </c>
      <c r="D19" s="96"/>
      <c r="E19" s="96"/>
      <c r="F19" s="53">
        <v>18.64</v>
      </c>
      <c r="G19" s="58">
        <f t="shared" si="0"/>
        <v>13.49</v>
      </c>
      <c r="H19" s="97">
        <v>7.3</v>
      </c>
      <c r="I19" s="58">
        <v>1</v>
      </c>
      <c r="J19" s="59">
        <f t="shared" si="1"/>
        <v>5.19</v>
      </c>
      <c r="K19" s="86">
        <v>5</v>
      </c>
      <c r="L19" s="86">
        <f t="shared" si="2"/>
        <v>19.000000000000039</v>
      </c>
      <c r="M19" s="98"/>
      <c r="O19" s="86" t="s">
        <v>4</v>
      </c>
      <c r="P19" s="86">
        <v>11</v>
      </c>
      <c r="Q19" s="58">
        <v>5.15</v>
      </c>
      <c r="R19" s="96"/>
      <c r="S19" s="96"/>
      <c r="T19" s="53">
        <v>18.64</v>
      </c>
      <c r="U19" s="58">
        <f t="shared" si="3"/>
        <v>13.49</v>
      </c>
      <c r="V19" s="97">
        <v>7.3</v>
      </c>
      <c r="W19" s="58">
        <v>1</v>
      </c>
      <c r="X19" s="59">
        <f t="shared" si="4"/>
        <v>5.19</v>
      </c>
      <c r="Y19" s="86">
        <v>5</v>
      </c>
      <c r="Z19" s="86">
        <f t="shared" si="5"/>
        <v>19.000000000000039</v>
      </c>
      <c r="AA19" s="98"/>
      <c r="AB19" s="86" t="s">
        <v>4</v>
      </c>
      <c r="AC19" s="86">
        <v>11</v>
      </c>
      <c r="AD19" s="58">
        <v>5.15</v>
      </c>
      <c r="AE19" s="96"/>
      <c r="AF19" s="96"/>
      <c r="AG19" s="53">
        <v>18.64</v>
      </c>
      <c r="AH19" s="58">
        <f t="shared" si="6"/>
        <v>13.49</v>
      </c>
      <c r="AI19" s="97">
        <v>7.3</v>
      </c>
      <c r="AJ19" s="58">
        <v>1</v>
      </c>
      <c r="AK19" s="59">
        <f t="shared" si="7"/>
        <v>5.19</v>
      </c>
      <c r="AL19" s="86">
        <v>5</v>
      </c>
      <c r="AM19" s="86">
        <f t="shared" si="8"/>
        <v>19.000000000000039</v>
      </c>
      <c r="AN19" s="98"/>
      <c r="AP19" s="86" t="s">
        <v>4</v>
      </c>
      <c r="AQ19" s="86">
        <v>11</v>
      </c>
      <c r="AR19" s="58">
        <v>5.15</v>
      </c>
      <c r="AS19" s="96"/>
      <c r="AT19" s="96"/>
      <c r="AU19" s="53">
        <v>18.64</v>
      </c>
      <c r="AV19" s="58">
        <f t="shared" si="9"/>
        <v>13.49</v>
      </c>
      <c r="AW19" s="97">
        <v>7.3</v>
      </c>
      <c r="AX19" s="58">
        <v>1</v>
      </c>
      <c r="AY19" s="59">
        <f t="shared" si="10"/>
        <v>5.19</v>
      </c>
      <c r="AZ19" s="86">
        <v>5</v>
      </c>
      <c r="BA19" s="86">
        <f t="shared" si="11"/>
        <v>19.000000000000039</v>
      </c>
      <c r="BB19" s="98"/>
      <c r="BC19" s="86" t="s">
        <v>4</v>
      </c>
      <c r="BD19" s="86">
        <v>11</v>
      </c>
      <c r="BE19" s="58"/>
      <c r="BF19" s="96"/>
      <c r="BG19" s="96"/>
      <c r="BH19" s="53"/>
      <c r="BI19" s="58"/>
      <c r="BJ19" s="97"/>
      <c r="BK19" s="58"/>
      <c r="BL19" s="59"/>
      <c r="BM19" s="86"/>
      <c r="BN19" s="86"/>
      <c r="BO19" s="98" t="s">
        <v>227</v>
      </c>
      <c r="BQ19" s="86" t="s">
        <v>4</v>
      </c>
      <c r="BR19" s="86">
        <v>11</v>
      </c>
      <c r="BS19" s="58">
        <v>5.15</v>
      </c>
      <c r="BT19" s="96"/>
      <c r="BU19" s="96"/>
      <c r="BV19" s="53">
        <v>18.64</v>
      </c>
      <c r="BW19" s="58">
        <f t="shared" si="15"/>
        <v>13.49</v>
      </c>
      <c r="BX19" s="97">
        <v>7.3</v>
      </c>
      <c r="BY19" s="58">
        <v>1</v>
      </c>
      <c r="BZ19" s="59">
        <f t="shared" si="16"/>
        <v>5.19</v>
      </c>
      <c r="CA19" s="86">
        <v>5</v>
      </c>
      <c r="CB19" s="86">
        <f t="shared" si="17"/>
        <v>19.000000000000039</v>
      </c>
      <c r="CC19" s="98"/>
      <c r="CE19" s="86" t="s">
        <v>4</v>
      </c>
      <c r="CF19" s="86">
        <v>11</v>
      </c>
      <c r="CG19" s="58">
        <v>5.15</v>
      </c>
      <c r="CH19" s="96"/>
      <c r="CI19" s="96"/>
      <c r="CJ19" s="53">
        <v>18.64</v>
      </c>
      <c r="CK19" s="58">
        <f t="shared" si="18"/>
        <v>13.49</v>
      </c>
      <c r="CL19" s="97">
        <v>7.3</v>
      </c>
      <c r="CM19" s="58">
        <v>1</v>
      </c>
      <c r="CN19" s="59">
        <f t="shared" si="19"/>
        <v>5.19</v>
      </c>
      <c r="CO19" s="86">
        <v>5</v>
      </c>
      <c r="CP19" s="86">
        <f t="shared" si="20"/>
        <v>19.000000000000039</v>
      </c>
      <c r="CQ19" s="98"/>
      <c r="CS19" s="62"/>
      <c r="CT19" s="86"/>
      <c r="CU19" s="58"/>
      <c r="CV19" s="96"/>
      <c r="CW19" s="96"/>
      <c r="CX19" s="58"/>
      <c r="CY19" s="58"/>
      <c r="CZ19" s="97"/>
      <c r="DA19" s="58"/>
      <c r="DB19" s="59"/>
      <c r="DC19" s="86"/>
      <c r="DD19" s="86"/>
      <c r="DE19" s="98"/>
      <c r="DG19" s="86" t="s">
        <v>4</v>
      </c>
      <c r="DH19" s="86">
        <v>11</v>
      </c>
      <c r="DI19" s="58">
        <v>5.15</v>
      </c>
      <c r="DJ19" s="96"/>
      <c r="DK19" s="96"/>
      <c r="DL19" s="53">
        <v>18.64</v>
      </c>
      <c r="DM19" s="58">
        <f t="shared" si="21"/>
        <v>13.49</v>
      </c>
      <c r="DN19" s="97">
        <v>7.3</v>
      </c>
      <c r="DO19" s="58">
        <v>1</v>
      </c>
      <c r="DP19" s="59">
        <f t="shared" si="22"/>
        <v>5.19</v>
      </c>
      <c r="DQ19" s="86">
        <v>5</v>
      </c>
      <c r="DR19" s="86">
        <f t="shared" si="23"/>
        <v>19.000000000000039</v>
      </c>
      <c r="DS19" s="98"/>
      <c r="DU19" s="86" t="s">
        <v>4</v>
      </c>
      <c r="DV19" s="86">
        <v>11</v>
      </c>
      <c r="DW19" s="58">
        <v>5.15</v>
      </c>
      <c r="DX19" s="96"/>
      <c r="DY19" s="96"/>
      <c r="DZ19" s="53">
        <v>18.64</v>
      </c>
      <c r="EA19" s="58">
        <f t="shared" si="24"/>
        <v>13.49</v>
      </c>
      <c r="EB19" s="97">
        <v>7.3</v>
      </c>
      <c r="EC19" s="58">
        <v>1</v>
      </c>
      <c r="ED19" s="59">
        <f t="shared" si="25"/>
        <v>5.19</v>
      </c>
      <c r="EE19" s="86">
        <v>5</v>
      </c>
      <c r="EF19" s="86">
        <f t="shared" si="26"/>
        <v>19.000000000000039</v>
      </c>
      <c r="EG19" s="98"/>
    </row>
    <row r="20" spans="1:139" ht="17.149999999999999" customHeight="1" x14ac:dyDescent="0.35">
      <c r="A20" s="86" t="s">
        <v>5</v>
      </c>
      <c r="B20" s="86">
        <v>12</v>
      </c>
      <c r="C20" s="58">
        <v>5.15</v>
      </c>
      <c r="D20" s="96"/>
      <c r="E20" s="96"/>
      <c r="F20" s="53">
        <v>18.64</v>
      </c>
      <c r="G20" s="58">
        <f t="shared" si="0"/>
        <v>13.49</v>
      </c>
      <c r="H20" s="97">
        <v>7.3</v>
      </c>
      <c r="I20" s="58">
        <v>1</v>
      </c>
      <c r="J20" s="59">
        <f t="shared" si="1"/>
        <v>5.19</v>
      </c>
      <c r="K20" s="86">
        <v>5</v>
      </c>
      <c r="L20" s="86">
        <f t="shared" si="2"/>
        <v>19.000000000000039</v>
      </c>
      <c r="M20" s="98"/>
      <c r="N20" s="93"/>
      <c r="O20" s="86" t="s">
        <v>5</v>
      </c>
      <c r="P20" s="86">
        <v>12</v>
      </c>
      <c r="Q20" s="58">
        <v>5.15</v>
      </c>
      <c r="R20" s="96"/>
      <c r="S20" s="96"/>
      <c r="T20" s="53">
        <v>18.64</v>
      </c>
      <c r="U20" s="58">
        <f t="shared" si="3"/>
        <v>13.49</v>
      </c>
      <c r="V20" s="97">
        <v>7.3</v>
      </c>
      <c r="W20" s="58">
        <v>1</v>
      </c>
      <c r="X20" s="59">
        <f t="shared" si="4"/>
        <v>5.19</v>
      </c>
      <c r="Y20" s="86">
        <v>5</v>
      </c>
      <c r="Z20" s="86">
        <f t="shared" si="5"/>
        <v>19.000000000000039</v>
      </c>
      <c r="AA20" s="98"/>
      <c r="AB20" s="86" t="s">
        <v>5</v>
      </c>
      <c r="AC20" s="86">
        <v>12</v>
      </c>
      <c r="AD20" s="58">
        <v>5.15</v>
      </c>
      <c r="AE20" s="96"/>
      <c r="AF20" s="96"/>
      <c r="AG20" s="53">
        <v>18.64</v>
      </c>
      <c r="AH20" s="58">
        <f t="shared" si="6"/>
        <v>13.49</v>
      </c>
      <c r="AI20" s="97">
        <v>7.3</v>
      </c>
      <c r="AJ20" s="58">
        <v>1</v>
      </c>
      <c r="AK20" s="59">
        <f t="shared" si="7"/>
        <v>5.19</v>
      </c>
      <c r="AL20" s="86">
        <v>5</v>
      </c>
      <c r="AM20" s="86">
        <f t="shared" si="8"/>
        <v>19.000000000000039</v>
      </c>
      <c r="AN20" s="98"/>
      <c r="AO20" s="93"/>
      <c r="AP20" s="86" t="s">
        <v>5</v>
      </c>
      <c r="AQ20" s="86">
        <v>12</v>
      </c>
      <c r="AR20" s="58">
        <v>5.15</v>
      </c>
      <c r="AS20" s="96"/>
      <c r="AT20" s="96"/>
      <c r="AU20" s="53">
        <v>18.64</v>
      </c>
      <c r="AV20" s="58">
        <f t="shared" si="9"/>
        <v>13.49</v>
      </c>
      <c r="AW20" s="97">
        <v>7.3</v>
      </c>
      <c r="AX20" s="58">
        <v>1</v>
      </c>
      <c r="AY20" s="59">
        <f t="shared" si="10"/>
        <v>5.19</v>
      </c>
      <c r="AZ20" s="86">
        <v>5</v>
      </c>
      <c r="BA20" s="86">
        <f t="shared" si="11"/>
        <v>19.000000000000039</v>
      </c>
      <c r="BB20" s="98"/>
      <c r="BC20" s="86" t="s">
        <v>5</v>
      </c>
      <c r="BD20" s="86">
        <v>12</v>
      </c>
      <c r="BE20" s="58">
        <v>5.15</v>
      </c>
      <c r="BF20" s="96"/>
      <c r="BG20" s="96"/>
      <c r="BH20" s="53">
        <v>18.64</v>
      </c>
      <c r="BI20" s="58">
        <f t="shared" si="12"/>
        <v>13.49</v>
      </c>
      <c r="BJ20" s="97">
        <v>7.3</v>
      </c>
      <c r="BK20" s="58">
        <v>1</v>
      </c>
      <c r="BL20" s="59">
        <f t="shared" si="13"/>
        <v>5.19</v>
      </c>
      <c r="BM20" s="86">
        <v>5</v>
      </c>
      <c r="BN20" s="86">
        <f t="shared" si="14"/>
        <v>19.000000000000039</v>
      </c>
      <c r="BO20" s="98"/>
      <c r="BQ20" s="86" t="s">
        <v>5</v>
      </c>
      <c r="BR20" s="86">
        <v>12</v>
      </c>
      <c r="BS20" s="58">
        <v>5.15</v>
      </c>
      <c r="BT20" s="96"/>
      <c r="BU20" s="96"/>
      <c r="BV20" s="53">
        <v>18.64</v>
      </c>
      <c r="BW20" s="58">
        <f t="shared" si="15"/>
        <v>13.49</v>
      </c>
      <c r="BX20" s="97">
        <v>7.3</v>
      </c>
      <c r="BY20" s="58">
        <v>1</v>
      </c>
      <c r="BZ20" s="59">
        <f t="shared" si="16"/>
        <v>5.19</v>
      </c>
      <c r="CA20" s="86">
        <v>5</v>
      </c>
      <c r="CB20" s="86">
        <f t="shared" si="17"/>
        <v>19.000000000000039</v>
      </c>
      <c r="CC20" s="98"/>
      <c r="CD20" s="93"/>
      <c r="CE20" s="86" t="s">
        <v>5</v>
      </c>
      <c r="CF20" s="86">
        <v>12</v>
      </c>
      <c r="CG20" s="58">
        <v>5.15</v>
      </c>
      <c r="CH20" s="96"/>
      <c r="CI20" s="96"/>
      <c r="CJ20" s="53">
        <v>18.64</v>
      </c>
      <c r="CK20" s="58">
        <f t="shared" si="18"/>
        <v>13.49</v>
      </c>
      <c r="CL20" s="97">
        <v>7.3</v>
      </c>
      <c r="CM20" s="58">
        <v>1</v>
      </c>
      <c r="CN20" s="59">
        <f t="shared" si="19"/>
        <v>5.19</v>
      </c>
      <c r="CO20" s="86">
        <v>5</v>
      </c>
      <c r="CP20" s="86">
        <f t="shared" si="20"/>
        <v>19.000000000000039</v>
      </c>
      <c r="CQ20" s="98"/>
      <c r="CR20" s="93"/>
      <c r="CS20" s="86"/>
      <c r="CT20" s="86"/>
      <c r="CU20" s="58"/>
      <c r="CV20" s="58"/>
      <c r="CW20" s="58"/>
      <c r="CX20" s="58"/>
      <c r="CY20" s="58"/>
      <c r="CZ20" s="97"/>
      <c r="DA20" s="58"/>
      <c r="DB20" s="59"/>
      <c r="DC20" s="86"/>
      <c r="DD20" s="86"/>
      <c r="DE20" s="98"/>
      <c r="DF20" s="93"/>
      <c r="DG20" s="86" t="s">
        <v>5</v>
      </c>
      <c r="DH20" s="86">
        <v>12</v>
      </c>
      <c r="DI20" s="58">
        <v>5.15</v>
      </c>
      <c r="DJ20" s="96"/>
      <c r="DK20" s="96"/>
      <c r="DL20" s="53">
        <v>18.64</v>
      </c>
      <c r="DM20" s="58">
        <f t="shared" si="21"/>
        <v>13.49</v>
      </c>
      <c r="DN20" s="97">
        <v>7.3</v>
      </c>
      <c r="DO20" s="58">
        <v>1</v>
      </c>
      <c r="DP20" s="59">
        <f t="shared" si="22"/>
        <v>5.19</v>
      </c>
      <c r="DQ20" s="86">
        <v>5</v>
      </c>
      <c r="DR20" s="86">
        <f t="shared" si="23"/>
        <v>19.000000000000039</v>
      </c>
      <c r="DS20" s="98"/>
      <c r="DU20" s="86" t="s">
        <v>5</v>
      </c>
      <c r="DV20" s="86">
        <v>12</v>
      </c>
      <c r="DW20" s="58">
        <v>5.15</v>
      </c>
      <c r="DX20" s="96"/>
      <c r="DY20" s="96"/>
      <c r="DZ20" s="53">
        <v>18.64</v>
      </c>
      <c r="EA20" s="58">
        <f t="shared" si="24"/>
        <v>13.49</v>
      </c>
      <c r="EB20" s="97">
        <v>7.3</v>
      </c>
      <c r="EC20" s="58">
        <v>1</v>
      </c>
      <c r="ED20" s="59">
        <f t="shared" si="25"/>
        <v>5.19</v>
      </c>
      <c r="EE20" s="86">
        <v>5</v>
      </c>
      <c r="EF20" s="86">
        <f t="shared" si="26"/>
        <v>19.000000000000039</v>
      </c>
      <c r="EG20" s="98"/>
    </row>
    <row r="21" spans="1:139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0"/>
        <v>0</v>
      </c>
      <c r="H21" s="56"/>
      <c r="I21" s="52"/>
      <c r="J21" s="57">
        <f t="shared" si="1"/>
        <v>0</v>
      </c>
      <c r="K21" s="55">
        <v>0</v>
      </c>
      <c r="L21" s="55">
        <f t="shared" si="2"/>
        <v>0</v>
      </c>
      <c r="M21" s="137"/>
      <c r="O21" s="55" t="s">
        <v>6</v>
      </c>
      <c r="P21" s="55">
        <v>13</v>
      </c>
      <c r="Q21" s="136"/>
      <c r="R21" s="52"/>
      <c r="S21" s="52">
        <v>13.05</v>
      </c>
      <c r="T21" s="52">
        <v>16.100000000000001</v>
      </c>
      <c r="U21" s="52">
        <f t="shared" si="3"/>
        <v>3.0500000000000007</v>
      </c>
      <c r="V21" s="56"/>
      <c r="W21" s="52"/>
      <c r="X21" s="57">
        <f t="shared" si="4"/>
        <v>3.0500000000000007</v>
      </c>
      <c r="Y21" s="55">
        <v>3</v>
      </c>
      <c r="Z21" s="55">
        <f t="shared" si="5"/>
        <v>5.0000000000000711</v>
      </c>
      <c r="AA21" s="137"/>
      <c r="AB21" s="55" t="s">
        <v>6</v>
      </c>
      <c r="AC21" s="55">
        <v>13</v>
      </c>
      <c r="AD21" s="136"/>
      <c r="AE21" s="52"/>
      <c r="AF21" s="52">
        <v>9.25</v>
      </c>
      <c r="AG21" s="52">
        <v>13.29</v>
      </c>
      <c r="AH21" s="52">
        <f t="shared" si="6"/>
        <v>4.0399999999999991</v>
      </c>
      <c r="AI21" s="56"/>
      <c r="AJ21" s="52"/>
      <c r="AK21" s="57">
        <f t="shared" si="7"/>
        <v>4.0399999999999991</v>
      </c>
      <c r="AL21" s="55">
        <v>4</v>
      </c>
      <c r="AM21" s="55">
        <f t="shared" si="8"/>
        <v>3.9999999999999147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>
        <v>0</v>
      </c>
      <c r="BA21" s="55">
        <f t="shared" si="11"/>
        <v>0</v>
      </c>
      <c r="BB21" s="137"/>
      <c r="BC21" s="55" t="s">
        <v>6</v>
      </c>
      <c r="BD21" s="55">
        <v>13</v>
      </c>
      <c r="BE21" s="136"/>
      <c r="BF21" s="52"/>
      <c r="BG21" s="52"/>
      <c r="BH21" s="52"/>
      <c r="BI21" s="52">
        <f t="shared" si="12"/>
        <v>0</v>
      </c>
      <c r="BJ21" s="56"/>
      <c r="BK21" s="52"/>
      <c r="BL21" s="57">
        <f t="shared" si="13"/>
        <v>0</v>
      </c>
      <c r="BM21" s="55">
        <v>0</v>
      </c>
      <c r="BN21" s="55">
        <f t="shared" si="14"/>
        <v>0</v>
      </c>
      <c r="BO21" s="137"/>
      <c r="BQ21" s="55" t="s">
        <v>6</v>
      </c>
      <c r="BR21" s="55">
        <v>13</v>
      </c>
      <c r="BS21" s="136"/>
      <c r="BT21" s="52"/>
      <c r="BU21" s="52"/>
      <c r="BV21" s="52"/>
      <c r="BW21" s="52">
        <f t="shared" si="15"/>
        <v>0</v>
      </c>
      <c r="BX21" s="56"/>
      <c r="BY21" s="52"/>
      <c r="BZ21" s="57">
        <f t="shared" si="16"/>
        <v>0</v>
      </c>
      <c r="CA21" s="55">
        <v>0</v>
      </c>
      <c r="CB21" s="55">
        <f t="shared" si="17"/>
        <v>0</v>
      </c>
      <c r="CC21" s="137"/>
      <c r="CE21" s="55" t="s">
        <v>6</v>
      </c>
      <c r="CF21" s="55">
        <v>13</v>
      </c>
      <c r="CG21" s="136"/>
      <c r="CH21" s="52"/>
      <c r="CI21" s="52">
        <v>12.55</v>
      </c>
      <c r="CJ21" s="52">
        <v>15.7</v>
      </c>
      <c r="CK21" s="52">
        <f t="shared" si="18"/>
        <v>3.1499999999999986</v>
      </c>
      <c r="CL21" s="56"/>
      <c r="CM21" s="52"/>
      <c r="CN21" s="57">
        <f t="shared" si="19"/>
        <v>3.1499999999999986</v>
      </c>
      <c r="CO21" s="55">
        <v>3</v>
      </c>
      <c r="CP21" s="55">
        <f t="shared" si="20"/>
        <v>14.999999999999858</v>
      </c>
      <c r="CQ21" s="137"/>
      <c r="CS21" s="86"/>
      <c r="CT21" s="86"/>
      <c r="CU21" s="58"/>
      <c r="CV21" s="58"/>
      <c r="CW21" s="58"/>
      <c r="CX21" s="58"/>
      <c r="CY21" s="58"/>
      <c r="CZ21" s="97"/>
      <c r="DA21" s="58"/>
      <c r="DB21" s="59"/>
      <c r="DC21" s="86"/>
      <c r="DD21" s="86"/>
      <c r="DE21" s="102"/>
      <c r="DG21" s="55" t="s">
        <v>6</v>
      </c>
      <c r="DH21" s="55">
        <v>13</v>
      </c>
      <c r="DI21" s="136"/>
      <c r="DJ21" s="52"/>
      <c r="DK21" s="52"/>
      <c r="DL21" s="52"/>
      <c r="DM21" s="52">
        <f t="shared" si="21"/>
        <v>0</v>
      </c>
      <c r="DN21" s="56"/>
      <c r="DO21" s="52"/>
      <c r="DP21" s="57">
        <f t="shared" si="22"/>
        <v>0</v>
      </c>
      <c r="DQ21" s="55">
        <v>0</v>
      </c>
      <c r="DR21" s="55">
        <f t="shared" si="23"/>
        <v>0</v>
      </c>
      <c r="DS21" s="137"/>
      <c r="DU21" s="55" t="s">
        <v>6</v>
      </c>
      <c r="DV21" s="55">
        <v>13</v>
      </c>
      <c r="DW21" s="136"/>
      <c r="DX21" s="52"/>
      <c r="DY21" s="52"/>
      <c r="DZ21" s="52"/>
      <c r="EA21" s="52">
        <f t="shared" si="24"/>
        <v>0</v>
      </c>
      <c r="EB21" s="56"/>
      <c r="EC21" s="52"/>
      <c r="ED21" s="57">
        <f t="shared" si="25"/>
        <v>0</v>
      </c>
      <c r="EE21" s="55">
        <v>0</v>
      </c>
      <c r="EF21" s="55">
        <f t="shared" si="26"/>
        <v>0</v>
      </c>
      <c r="EG21" s="137"/>
    </row>
    <row r="22" spans="1:139" ht="17.149999999999999" customHeight="1" x14ac:dyDescent="0.35">
      <c r="A22" s="86" t="s">
        <v>1</v>
      </c>
      <c r="B22" s="94">
        <v>14</v>
      </c>
      <c r="C22" s="58">
        <v>5.15</v>
      </c>
      <c r="D22" s="96"/>
      <c r="E22" s="96"/>
      <c r="F22" s="53">
        <v>17.91</v>
      </c>
      <c r="G22" s="58">
        <f t="shared" si="0"/>
        <v>12.76</v>
      </c>
      <c r="H22" s="97">
        <v>7.3</v>
      </c>
      <c r="I22" s="58">
        <v>1</v>
      </c>
      <c r="J22" s="59">
        <f t="shared" si="1"/>
        <v>4.46</v>
      </c>
      <c r="K22" s="86">
        <v>4</v>
      </c>
      <c r="L22" s="86">
        <f t="shared" si="2"/>
        <v>46</v>
      </c>
      <c r="M22" s="98"/>
      <c r="O22" s="86" t="s">
        <v>1</v>
      </c>
      <c r="P22" s="94">
        <v>14</v>
      </c>
      <c r="Q22" s="58">
        <v>5.15</v>
      </c>
      <c r="R22" s="96"/>
      <c r="S22" s="96"/>
      <c r="T22" s="53">
        <v>17.91</v>
      </c>
      <c r="U22" s="58">
        <f t="shared" si="3"/>
        <v>12.76</v>
      </c>
      <c r="V22" s="97">
        <v>7.3</v>
      </c>
      <c r="W22" s="58">
        <v>1</v>
      </c>
      <c r="X22" s="59">
        <f t="shared" si="4"/>
        <v>4.46</v>
      </c>
      <c r="Y22" s="86">
        <v>4</v>
      </c>
      <c r="Z22" s="86">
        <f t="shared" si="5"/>
        <v>46</v>
      </c>
      <c r="AA22" s="98"/>
      <c r="AB22" s="86" t="s">
        <v>1</v>
      </c>
      <c r="AC22" s="94">
        <v>14</v>
      </c>
      <c r="AD22" s="58">
        <v>5.15</v>
      </c>
      <c r="AE22" s="96"/>
      <c r="AF22" s="96"/>
      <c r="AG22" s="53">
        <v>17.91</v>
      </c>
      <c r="AH22" s="58">
        <f t="shared" si="6"/>
        <v>12.76</v>
      </c>
      <c r="AI22" s="97">
        <v>7.3</v>
      </c>
      <c r="AJ22" s="58">
        <v>1</v>
      </c>
      <c r="AK22" s="59">
        <f t="shared" si="7"/>
        <v>4.46</v>
      </c>
      <c r="AL22" s="86">
        <v>4</v>
      </c>
      <c r="AM22" s="86">
        <f t="shared" si="8"/>
        <v>46</v>
      </c>
      <c r="AN22" s="98"/>
      <c r="AP22" s="86" t="s">
        <v>1</v>
      </c>
      <c r="AQ22" s="94">
        <v>14</v>
      </c>
      <c r="AR22" s="58">
        <v>5.15</v>
      </c>
      <c r="AS22" s="96"/>
      <c r="AT22" s="96"/>
      <c r="AU22" s="53">
        <v>17.91</v>
      </c>
      <c r="AV22" s="58">
        <f t="shared" si="9"/>
        <v>12.76</v>
      </c>
      <c r="AW22" s="97">
        <v>7.3</v>
      </c>
      <c r="AX22" s="58">
        <v>1</v>
      </c>
      <c r="AY22" s="59">
        <f t="shared" si="10"/>
        <v>4.46</v>
      </c>
      <c r="AZ22" s="86">
        <v>4</v>
      </c>
      <c r="BA22" s="86">
        <f t="shared" si="11"/>
        <v>46</v>
      </c>
      <c r="BB22" s="98"/>
      <c r="BC22" s="86" t="s">
        <v>1</v>
      </c>
      <c r="BD22" s="94">
        <v>14</v>
      </c>
      <c r="BE22" s="58">
        <v>5.15</v>
      </c>
      <c r="BF22" s="96"/>
      <c r="BG22" s="96"/>
      <c r="BH22" s="53">
        <v>17.91</v>
      </c>
      <c r="BI22" s="58">
        <f t="shared" si="12"/>
        <v>12.76</v>
      </c>
      <c r="BJ22" s="97">
        <v>7.3</v>
      </c>
      <c r="BK22" s="58">
        <v>1</v>
      </c>
      <c r="BL22" s="59">
        <f t="shared" si="13"/>
        <v>4.46</v>
      </c>
      <c r="BM22" s="86">
        <v>4</v>
      </c>
      <c r="BN22" s="86">
        <f t="shared" si="14"/>
        <v>46</v>
      </c>
      <c r="BO22" s="98"/>
      <c r="BQ22" s="86" t="s">
        <v>1</v>
      </c>
      <c r="BR22" s="94">
        <v>14</v>
      </c>
      <c r="BS22" s="58">
        <v>5.15</v>
      </c>
      <c r="BT22" s="96"/>
      <c r="BU22" s="96"/>
      <c r="BV22" s="53">
        <v>17.91</v>
      </c>
      <c r="BW22" s="58">
        <f t="shared" si="15"/>
        <v>12.76</v>
      </c>
      <c r="BX22" s="97">
        <v>7.3</v>
      </c>
      <c r="BY22" s="58">
        <v>1</v>
      </c>
      <c r="BZ22" s="59">
        <f t="shared" si="16"/>
        <v>4.46</v>
      </c>
      <c r="CA22" s="86">
        <v>4</v>
      </c>
      <c r="CB22" s="86">
        <f t="shared" si="17"/>
        <v>46</v>
      </c>
      <c r="CC22" s="98"/>
      <c r="CE22" s="86" t="s">
        <v>1</v>
      </c>
      <c r="CF22" s="94">
        <v>14</v>
      </c>
      <c r="CG22" s="58">
        <v>5.15</v>
      </c>
      <c r="CH22" s="96"/>
      <c r="CI22" s="96"/>
      <c r="CJ22" s="53">
        <v>17.91</v>
      </c>
      <c r="CK22" s="58">
        <f t="shared" si="18"/>
        <v>12.76</v>
      </c>
      <c r="CL22" s="97">
        <v>7.3</v>
      </c>
      <c r="CM22" s="58">
        <v>1</v>
      </c>
      <c r="CN22" s="59">
        <f t="shared" si="19"/>
        <v>4.46</v>
      </c>
      <c r="CO22" s="86">
        <v>4</v>
      </c>
      <c r="CP22" s="86">
        <f t="shared" si="20"/>
        <v>46</v>
      </c>
      <c r="CQ22" s="98"/>
      <c r="CS22" s="86"/>
      <c r="CT22" s="94"/>
      <c r="CU22" s="58"/>
      <c r="CV22" s="58"/>
      <c r="CW22" s="58"/>
      <c r="CX22" s="58"/>
      <c r="CY22" s="58"/>
      <c r="CZ22" s="97"/>
      <c r="DA22" s="58"/>
      <c r="DB22" s="59"/>
      <c r="DC22" s="86"/>
      <c r="DD22" s="86"/>
      <c r="DE22" s="98"/>
      <c r="DG22" s="86" t="s">
        <v>1</v>
      </c>
      <c r="DH22" s="94">
        <v>14</v>
      </c>
      <c r="DI22" s="58">
        <v>5.15</v>
      </c>
      <c r="DJ22" s="96"/>
      <c r="DK22" s="96"/>
      <c r="DL22" s="53">
        <v>17.91</v>
      </c>
      <c r="DM22" s="58">
        <f t="shared" si="21"/>
        <v>12.76</v>
      </c>
      <c r="DN22" s="97">
        <v>7.3</v>
      </c>
      <c r="DO22" s="58">
        <v>1</v>
      </c>
      <c r="DP22" s="59">
        <f t="shared" si="22"/>
        <v>4.46</v>
      </c>
      <c r="DQ22" s="86">
        <v>4</v>
      </c>
      <c r="DR22" s="86">
        <f t="shared" si="23"/>
        <v>46</v>
      </c>
      <c r="DS22" s="98"/>
      <c r="DU22" s="86" t="s">
        <v>1</v>
      </c>
      <c r="DV22" s="94">
        <v>14</v>
      </c>
      <c r="DW22" s="58">
        <v>5.15</v>
      </c>
      <c r="DX22" s="96"/>
      <c r="DY22" s="96"/>
      <c r="DZ22" s="53">
        <v>17.91</v>
      </c>
      <c r="EA22" s="58">
        <f t="shared" si="24"/>
        <v>12.76</v>
      </c>
      <c r="EB22" s="97">
        <v>7.3</v>
      </c>
      <c r="EC22" s="58">
        <v>1</v>
      </c>
      <c r="ED22" s="59">
        <f t="shared" si="25"/>
        <v>4.46</v>
      </c>
      <c r="EE22" s="86">
        <v>4</v>
      </c>
      <c r="EF22" s="86">
        <f t="shared" si="26"/>
        <v>46</v>
      </c>
      <c r="EG22" s="98"/>
    </row>
    <row r="23" spans="1:139" ht="17.149999999999999" customHeight="1" x14ac:dyDescent="0.35">
      <c r="A23" s="86" t="s">
        <v>216</v>
      </c>
      <c r="B23" s="94">
        <v>15</v>
      </c>
      <c r="C23" s="58">
        <v>5.15</v>
      </c>
      <c r="D23" s="96"/>
      <c r="E23" s="96"/>
      <c r="F23" s="53">
        <v>15.91</v>
      </c>
      <c r="G23" s="58">
        <f t="shared" si="0"/>
        <v>10.76</v>
      </c>
      <c r="H23" s="97">
        <v>7.3</v>
      </c>
      <c r="I23" s="58">
        <v>1</v>
      </c>
      <c r="J23" s="59">
        <f t="shared" si="1"/>
        <v>2.46</v>
      </c>
      <c r="K23" s="86">
        <v>2</v>
      </c>
      <c r="L23" s="86">
        <f t="shared" si="2"/>
        <v>46</v>
      </c>
      <c r="M23" s="103"/>
      <c r="O23" s="86" t="s">
        <v>216</v>
      </c>
      <c r="P23" s="94">
        <v>15</v>
      </c>
      <c r="Q23" s="58">
        <v>5.15</v>
      </c>
      <c r="R23" s="96"/>
      <c r="S23" s="96"/>
      <c r="T23" s="53">
        <v>15.91</v>
      </c>
      <c r="U23" s="58">
        <f t="shared" si="3"/>
        <v>10.76</v>
      </c>
      <c r="V23" s="97">
        <v>7.3</v>
      </c>
      <c r="W23" s="58">
        <v>1</v>
      </c>
      <c r="X23" s="59">
        <f t="shared" si="4"/>
        <v>2.46</v>
      </c>
      <c r="Y23" s="86">
        <v>2</v>
      </c>
      <c r="Z23" s="86">
        <f t="shared" si="5"/>
        <v>46</v>
      </c>
      <c r="AA23" s="103"/>
      <c r="AB23" s="86" t="s">
        <v>216</v>
      </c>
      <c r="AC23" s="94">
        <v>15</v>
      </c>
      <c r="AD23" s="58">
        <v>5.15</v>
      </c>
      <c r="AE23" s="96"/>
      <c r="AF23" s="96"/>
      <c r="AG23" s="53">
        <v>15.91</v>
      </c>
      <c r="AH23" s="58">
        <f t="shared" si="6"/>
        <v>10.76</v>
      </c>
      <c r="AI23" s="97">
        <v>7.3</v>
      </c>
      <c r="AJ23" s="58">
        <v>1</v>
      </c>
      <c r="AK23" s="59">
        <f t="shared" si="7"/>
        <v>2.46</v>
      </c>
      <c r="AL23" s="86">
        <v>2</v>
      </c>
      <c r="AM23" s="86">
        <f t="shared" si="8"/>
        <v>46</v>
      </c>
      <c r="AN23" s="103"/>
      <c r="AP23" s="86" t="s">
        <v>216</v>
      </c>
      <c r="AQ23" s="94">
        <v>15</v>
      </c>
      <c r="AR23" s="58">
        <v>5.15</v>
      </c>
      <c r="AS23" s="96"/>
      <c r="AT23" s="96"/>
      <c r="AU23" s="53">
        <v>15.91</v>
      </c>
      <c r="AV23" s="58">
        <f t="shared" si="9"/>
        <v>10.76</v>
      </c>
      <c r="AW23" s="97">
        <v>7.3</v>
      </c>
      <c r="AX23" s="58">
        <v>1</v>
      </c>
      <c r="AY23" s="59">
        <f t="shared" si="10"/>
        <v>2.46</v>
      </c>
      <c r="AZ23" s="86">
        <v>2</v>
      </c>
      <c r="BA23" s="86">
        <f t="shared" si="11"/>
        <v>46</v>
      </c>
      <c r="BB23" s="103"/>
      <c r="BC23" s="86" t="s">
        <v>216</v>
      </c>
      <c r="BD23" s="94">
        <v>15</v>
      </c>
      <c r="BE23" s="58">
        <v>5.15</v>
      </c>
      <c r="BF23" s="96"/>
      <c r="BG23" s="96"/>
      <c r="BH23" s="53">
        <v>15.91</v>
      </c>
      <c r="BI23" s="58">
        <f t="shared" si="12"/>
        <v>10.76</v>
      </c>
      <c r="BJ23" s="97">
        <v>7.3</v>
      </c>
      <c r="BK23" s="58">
        <v>1</v>
      </c>
      <c r="BL23" s="59">
        <f t="shared" si="13"/>
        <v>2.46</v>
      </c>
      <c r="BM23" s="86">
        <v>2</v>
      </c>
      <c r="BN23" s="86">
        <f t="shared" si="14"/>
        <v>46</v>
      </c>
      <c r="BO23" s="103"/>
      <c r="BQ23" s="86" t="s">
        <v>216</v>
      </c>
      <c r="BR23" s="94">
        <v>15</v>
      </c>
      <c r="BS23" s="58">
        <v>5.15</v>
      </c>
      <c r="BT23" s="96"/>
      <c r="BU23" s="96"/>
      <c r="BV23" s="53">
        <v>15.91</v>
      </c>
      <c r="BW23" s="58">
        <f t="shared" si="15"/>
        <v>10.76</v>
      </c>
      <c r="BX23" s="97">
        <v>7.3</v>
      </c>
      <c r="BY23" s="58">
        <v>1</v>
      </c>
      <c r="BZ23" s="59">
        <f t="shared" si="16"/>
        <v>2.46</v>
      </c>
      <c r="CA23" s="86">
        <v>2</v>
      </c>
      <c r="CB23" s="86">
        <f t="shared" si="17"/>
        <v>46</v>
      </c>
      <c r="CC23" s="103"/>
      <c r="CE23" s="86" t="s">
        <v>216</v>
      </c>
      <c r="CF23" s="94">
        <v>15</v>
      </c>
      <c r="CG23" s="58">
        <v>5.15</v>
      </c>
      <c r="CH23" s="96"/>
      <c r="CI23" s="96"/>
      <c r="CJ23" s="53">
        <v>15.91</v>
      </c>
      <c r="CK23" s="58">
        <f t="shared" si="18"/>
        <v>10.76</v>
      </c>
      <c r="CL23" s="97">
        <v>7.3</v>
      </c>
      <c r="CM23" s="58">
        <v>1</v>
      </c>
      <c r="CN23" s="59">
        <f t="shared" si="19"/>
        <v>2.46</v>
      </c>
      <c r="CO23" s="86">
        <v>2</v>
      </c>
      <c r="CP23" s="86">
        <f t="shared" si="20"/>
        <v>46</v>
      </c>
      <c r="CQ23" s="103"/>
      <c r="CS23" s="86"/>
      <c r="CT23" s="94"/>
      <c r="CU23" s="58"/>
      <c r="CV23" s="58"/>
      <c r="CW23" s="58"/>
      <c r="CX23" s="58"/>
      <c r="CY23" s="58"/>
      <c r="CZ23" s="97"/>
      <c r="DA23" s="58"/>
      <c r="DB23" s="59"/>
      <c r="DC23" s="86"/>
      <c r="DD23" s="86"/>
      <c r="DE23" s="103"/>
      <c r="DG23" s="86" t="s">
        <v>216</v>
      </c>
      <c r="DH23" s="94">
        <v>15</v>
      </c>
      <c r="DI23" s="58">
        <v>5.15</v>
      </c>
      <c r="DJ23" s="96"/>
      <c r="DK23" s="96"/>
      <c r="DL23" s="53">
        <v>15.91</v>
      </c>
      <c r="DM23" s="58">
        <f t="shared" si="21"/>
        <v>10.76</v>
      </c>
      <c r="DN23" s="97">
        <v>7.3</v>
      </c>
      <c r="DO23" s="58">
        <v>1</v>
      </c>
      <c r="DP23" s="59">
        <f t="shared" si="22"/>
        <v>2.46</v>
      </c>
      <c r="DQ23" s="86">
        <v>2</v>
      </c>
      <c r="DR23" s="86">
        <f t="shared" si="23"/>
        <v>46</v>
      </c>
      <c r="DS23" s="103"/>
      <c r="DU23" s="86" t="s">
        <v>216</v>
      </c>
      <c r="DV23" s="94">
        <v>15</v>
      </c>
      <c r="DW23" s="58">
        <v>5.15</v>
      </c>
      <c r="DX23" s="96"/>
      <c r="DY23" s="96"/>
      <c r="DZ23" s="53">
        <v>15.91</v>
      </c>
      <c r="EA23" s="58">
        <f t="shared" si="24"/>
        <v>10.76</v>
      </c>
      <c r="EB23" s="97">
        <v>7.3</v>
      </c>
      <c r="EC23" s="58">
        <v>1</v>
      </c>
      <c r="ED23" s="59">
        <f t="shared" si="25"/>
        <v>2.46</v>
      </c>
      <c r="EE23" s="86">
        <v>2</v>
      </c>
      <c r="EF23" s="86">
        <f t="shared" si="26"/>
        <v>46</v>
      </c>
      <c r="EG23" s="103"/>
    </row>
    <row r="24" spans="1:139" ht="17.149999999999999" customHeight="1" x14ac:dyDescent="0.35">
      <c r="A24" s="86" t="s">
        <v>2</v>
      </c>
      <c r="B24" s="94">
        <v>16</v>
      </c>
      <c r="C24" s="58">
        <v>5.15</v>
      </c>
      <c r="D24" s="96"/>
      <c r="E24" s="96"/>
      <c r="F24" s="53">
        <v>16.87</v>
      </c>
      <c r="G24" s="58">
        <f t="shared" si="0"/>
        <v>11.72</v>
      </c>
      <c r="H24" s="97">
        <v>7.3</v>
      </c>
      <c r="I24" s="58">
        <v>1</v>
      </c>
      <c r="J24" s="59">
        <f t="shared" si="1"/>
        <v>3.4200000000000008</v>
      </c>
      <c r="K24" s="86">
        <v>3</v>
      </c>
      <c r="L24" s="86">
        <f t="shared" si="2"/>
        <v>42.000000000000085</v>
      </c>
      <c r="M24" s="98"/>
      <c r="O24" s="86" t="s">
        <v>2</v>
      </c>
      <c r="P24" s="94">
        <v>16</v>
      </c>
      <c r="Q24" s="58">
        <v>5.15</v>
      </c>
      <c r="R24" s="96"/>
      <c r="S24" s="96"/>
      <c r="T24" s="53">
        <v>16.87</v>
      </c>
      <c r="U24" s="58">
        <f t="shared" si="3"/>
        <v>11.72</v>
      </c>
      <c r="V24" s="97">
        <v>7.3</v>
      </c>
      <c r="W24" s="58">
        <v>1</v>
      </c>
      <c r="X24" s="59">
        <f t="shared" si="4"/>
        <v>3.4200000000000008</v>
      </c>
      <c r="Y24" s="86">
        <v>3</v>
      </c>
      <c r="Z24" s="86">
        <f t="shared" si="5"/>
        <v>42.000000000000085</v>
      </c>
      <c r="AA24" s="98"/>
      <c r="AB24" s="86" t="s">
        <v>2</v>
      </c>
      <c r="AC24" s="94">
        <v>16</v>
      </c>
      <c r="AD24" s="58">
        <v>5.15</v>
      </c>
      <c r="AE24" s="96"/>
      <c r="AF24" s="96"/>
      <c r="AG24" s="53">
        <v>16.87</v>
      </c>
      <c r="AH24" s="58">
        <f t="shared" si="6"/>
        <v>11.72</v>
      </c>
      <c r="AI24" s="97">
        <v>7.3</v>
      </c>
      <c r="AJ24" s="58">
        <v>1</v>
      </c>
      <c r="AK24" s="59">
        <f t="shared" si="7"/>
        <v>3.4200000000000008</v>
      </c>
      <c r="AL24" s="86">
        <v>3</v>
      </c>
      <c r="AM24" s="86">
        <f t="shared" si="8"/>
        <v>42.000000000000085</v>
      </c>
      <c r="AN24" s="98"/>
      <c r="AP24" s="86" t="s">
        <v>2</v>
      </c>
      <c r="AQ24" s="94">
        <v>16</v>
      </c>
      <c r="AR24" s="58">
        <v>5.15</v>
      </c>
      <c r="AS24" s="96"/>
      <c r="AT24" s="96"/>
      <c r="AU24" s="53">
        <v>16.87</v>
      </c>
      <c r="AV24" s="58">
        <f t="shared" si="9"/>
        <v>11.72</v>
      </c>
      <c r="AW24" s="97">
        <v>7.3</v>
      </c>
      <c r="AX24" s="58">
        <v>1</v>
      </c>
      <c r="AY24" s="59">
        <f t="shared" si="10"/>
        <v>3.4200000000000008</v>
      </c>
      <c r="AZ24" s="86">
        <v>3</v>
      </c>
      <c r="BA24" s="86">
        <f t="shared" si="11"/>
        <v>42.000000000000085</v>
      </c>
      <c r="BB24" s="98"/>
      <c r="BC24" s="86" t="s">
        <v>2</v>
      </c>
      <c r="BD24" s="94">
        <v>16</v>
      </c>
      <c r="BE24" s="58">
        <v>5.15</v>
      </c>
      <c r="BF24" s="96"/>
      <c r="BG24" s="96"/>
      <c r="BH24" s="53">
        <v>8.6</v>
      </c>
      <c r="BI24" s="58">
        <f t="shared" si="12"/>
        <v>3.4499999999999993</v>
      </c>
      <c r="BJ24" s="97">
        <v>7.3</v>
      </c>
      <c r="BK24" s="58">
        <v>1</v>
      </c>
      <c r="BL24" s="59">
        <f t="shared" si="13"/>
        <v>-4.8500000000000005</v>
      </c>
      <c r="BM24" s="86">
        <v>-4</v>
      </c>
      <c r="BN24" s="86">
        <f t="shared" si="14"/>
        <v>-85.000000000000057</v>
      </c>
      <c r="BO24" s="98"/>
      <c r="BQ24" s="86" t="s">
        <v>2</v>
      </c>
      <c r="BR24" s="94">
        <v>16</v>
      </c>
      <c r="BS24" s="58">
        <v>5.15</v>
      </c>
      <c r="BT24" s="96"/>
      <c r="BU24" s="96"/>
      <c r="BV24" s="53">
        <v>16.87</v>
      </c>
      <c r="BW24" s="58">
        <f t="shared" si="15"/>
        <v>11.72</v>
      </c>
      <c r="BX24" s="97">
        <v>7.3</v>
      </c>
      <c r="BY24" s="58">
        <v>1</v>
      </c>
      <c r="BZ24" s="59">
        <f t="shared" si="16"/>
        <v>3.4200000000000008</v>
      </c>
      <c r="CA24" s="86">
        <v>3</v>
      </c>
      <c r="CB24" s="86">
        <f t="shared" si="17"/>
        <v>42.000000000000085</v>
      </c>
      <c r="CC24" s="98"/>
      <c r="CE24" s="86" t="s">
        <v>2</v>
      </c>
      <c r="CF24" s="94">
        <v>16</v>
      </c>
      <c r="CG24" s="58">
        <v>5.15</v>
      </c>
      <c r="CH24" s="96"/>
      <c r="CI24" s="96"/>
      <c r="CJ24" s="53">
        <v>16.87</v>
      </c>
      <c r="CK24" s="58">
        <f t="shared" si="18"/>
        <v>11.72</v>
      </c>
      <c r="CL24" s="97">
        <v>7.3</v>
      </c>
      <c r="CM24" s="58">
        <v>1</v>
      </c>
      <c r="CN24" s="59">
        <f t="shared" si="19"/>
        <v>3.4200000000000008</v>
      </c>
      <c r="CO24" s="86">
        <v>3</v>
      </c>
      <c r="CP24" s="86">
        <f t="shared" si="20"/>
        <v>42.000000000000085</v>
      </c>
      <c r="CQ24" s="98"/>
      <c r="CS24" s="55"/>
      <c r="CT24" s="100"/>
      <c r="CU24" s="52"/>
      <c r="CV24" s="52"/>
      <c r="CW24" s="52"/>
      <c r="CX24" s="52"/>
      <c r="CY24" s="52"/>
      <c r="CZ24" s="56"/>
      <c r="DA24" s="52"/>
      <c r="DB24" s="57"/>
      <c r="DC24" s="55"/>
      <c r="DD24" s="82"/>
      <c r="DE24" s="95"/>
      <c r="DG24" s="86" t="s">
        <v>2</v>
      </c>
      <c r="DH24" s="94">
        <v>16</v>
      </c>
      <c r="DI24" s="58">
        <v>5.15</v>
      </c>
      <c r="DJ24" s="96"/>
      <c r="DK24" s="96"/>
      <c r="DL24" s="53">
        <v>16.87</v>
      </c>
      <c r="DM24" s="58">
        <f t="shared" si="21"/>
        <v>11.72</v>
      </c>
      <c r="DN24" s="97">
        <v>7.3</v>
      </c>
      <c r="DO24" s="58">
        <v>1</v>
      </c>
      <c r="DP24" s="59">
        <f t="shared" si="22"/>
        <v>3.4200000000000008</v>
      </c>
      <c r="DQ24" s="86">
        <v>3</v>
      </c>
      <c r="DR24" s="86">
        <f t="shared" si="23"/>
        <v>42.000000000000085</v>
      </c>
      <c r="DS24" s="98"/>
      <c r="DU24" s="86" t="s">
        <v>2</v>
      </c>
      <c r="DV24" s="94">
        <v>16</v>
      </c>
      <c r="DW24" s="58">
        <v>5.15</v>
      </c>
      <c r="DX24" s="96"/>
      <c r="DY24" s="96"/>
      <c r="DZ24" s="53">
        <v>16.87</v>
      </c>
      <c r="EA24" s="58">
        <f t="shared" si="24"/>
        <v>11.72</v>
      </c>
      <c r="EB24" s="97">
        <v>7.3</v>
      </c>
      <c r="EC24" s="58">
        <v>1</v>
      </c>
      <c r="ED24" s="59">
        <f t="shared" si="25"/>
        <v>3.4200000000000008</v>
      </c>
      <c r="EE24" s="86">
        <v>3</v>
      </c>
      <c r="EF24" s="86">
        <f t="shared" si="26"/>
        <v>42.000000000000085</v>
      </c>
      <c r="EG24" s="98"/>
    </row>
    <row r="25" spans="1:139" s="54" customFormat="1" ht="17.149999999999999" customHeight="1" x14ac:dyDescent="0.35">
      <c r="A25" s="86" t="s">
        <v>225</v>
      </c>
      <c r="B25" s="94">
        <v>17</v>
      </c>
      <c r="C25" s="58">
        <v>5.15</v>
      </c>
      <c r="D25" s="96"/>
      <c r="E25" s="96"/>
      <c r="F25" s="53">
        <v>16.91</v>
      </c>
      <c r="G25" s="58">
        <f t="shared" si="0"/>
        <v>11.76</v>
      </c>
      <c r="H25" s="97">
        <v>7.3</v>
      </c>
      <c r="I25" s="58">
        <v>1</v>
      </c>
      <c r="J25" s="59">
        <f t="shared" si="1"/>
        <v>3.46</v>
      </c>
      <c r="K25" s="86">
        <v>3</v>
      </c>
      <c r="L25" s="86">
        <f t="shared" si="2"/>
        <v>46</v>
      </c>
      <c r="M25" s="86"/>
      <c r="N25"/>
      <c r="O25" s="86" t="s">
        <v>225</v>
      </c>
      <c r="P25" s="94">
        <v>17</v>
      </c>
      <c r="Q25" s="58">
        <v>5.15</v>
      </c>
      <c r="R25" s="96"/>
      <c r="S25" s="96"/>
      <c r="T25" s="53">
        <v>16.91</v>
      </c>
      <c r="U25" s="58">
        <f t="shared" si="3"/>
        <v>11.76</v>
      </c>
      <c r="V25" s="97">
        <v>7.3</v>
      </c>
      <c r="W25" s="58">
        <v>1</v>
      </c>
      <c r="X25" s="59">
        <f t="shared" si="4"/>
        <v>3.46</v>
      </c>
      <c r="Y25" s="86">
        <v>3</v>
      </c>
      <c r="Z25" s="86">
        <f t="shared" si="5"/>
        <v>46</v>
      </c>
      <c r="AA25" s="86"/>
      <c r="AB25" s="86" t="s">
        <v>225</v>
      </c>
      <c r="AC25" s="94">
        <v>17</v>
      </c>
      <c r="AD25" s="58">
        <v>5.15</v>
      </c>
      <c r="AE25" s="96"/>
      <c r="AF25" s="96"/>
      <c r="AG25" s="53">
        <v>16.91</v>
      </c>
      <c r="AH25" s="58">
        <f t="shared" si="6"/>
        <v>11.76</v>
      </c>
      <c r="AI25" s="97">
        <v>7.3</v>
      </c>
      <c r="AJ25" s="58">
        <v>1</v>
      </c>
      <c r="AK25" s="59">
        <f t="shared" si="7"/>
        <v>3.46</v>
      </c>
      <c r="AL25" s="86">
        <v>3</v>
      </c>
      <c r="AM25" s="86">
        <f t="shared" si="8"/>
        <v>46</v>
      </c>
      <c r="AN25" s="86"/>
      <c r="AO25"/>
      <c r="AP25" s="86" t="s">
        <v>225</v>
      </c>
      <c r="AQ25" s="94">
        <v>17</v>
      </c>
      <c r="AR25" s="58">
        <v>5.15</v>
      </c>
      <c r="AS25" s="96"/>
      <c r="AT25" s="96"/>
      <c r="AU25" s="53">
        <v>16.91</v>
      </c>
      <c r="AV25" s="58">
        <f t="shared" si="9"/>
        <v>11.76</v>
      </c>
      <c r="AW25" s="97">
        <v>7.3</v>
      </c>
      <c r="AX25" s="58">
        <v>1</v>
      </c>
      <c r="AY25" s="59">
        <f t="shared" si="10"/>
        <v>3.46</v>
      </c>
      <c r="AZ25" s="86">
        <v>3</v>
      </c>
      <c r="BA25" s="86">
        <f t="shared" si="11"/>
        <v>46</v>
      </c>
      <c r="BB25" s="86"/>
      <c r="BC25" s="86" t="s">
        <v>225</v>
      </c>
      <c r="BD25" s="94">
        <v>17</v>
      </c>
      <c r="BE25" s="58">
        <v>5.15</v>
      </c>
      <c r="BF25" s="96"/>
      <c r="BG25" s="96"/>
      <c r="BH25" s="53">
        <v>16.91</v>
      </c>
      <c r="BI25" s="58">
        <f t="shared" si="12"/>
        <v>11.76</v>
      </c>
      <c r="BJ25" s="97">
        <v>7.3</v>
      </c>
      <c r="BK25" s="58">
        <v>1</v>
      </c>
      <c r="BL25" s="59">
        <f t="shared" si="13"/>
        <v>3.46</v>
      </c>
      <c r="BM25" s="86">
        <v>3</v>
      </c>
      <c r="BN25" s="86">
        <f t="shared" si="14"/>
        <v>46</v>
      </c>
      <c r="BO25" s="86"/>
      <c r="BP25"/>
      <c r="BQ25" s="86" t="s">
        <v>225</v>
      </c>
      <c r="BR25" s="94">
        <v>17</v>
      </c>
      <c r="BS25" s="58">
        <v>5.15</v>
      </c>
      <c r="BT25" s="96"/>
      <c r="BU25" s="96"/>
      <c r="BV25" s="53">
        <v>16.91</v>
      </c>
      <c r="BW25" s="58">
        <f t="shared" si="15"/>
        <v>11.76</v>
      </c>
      <c r="BX25" s="97">
        <v>7.3</v>
      </c>
      <c r="BY25" s="58">
        <v>1</v>
      </c>
      <c r="BZ25" s="59">
        <f t="shared" si="16"/>
        <v>3.46</v>
      </c>
      <c r="CA25" s="86">
        <v>3</v>
      </c>
      <c r="CB25" s="86">
        <f t="shared" si="17"/>
        <v>46</v>
      </c>
      <c r="CC25" s="86"/>
      <c r="CD25"/>
      <c r="CE25" s="86" t="s">
        <v>225</v>
      </c>
      <c r="CF25" s="94">
        <v>17</v>
      </c>
      <c r="CG25" s="58">
        <v>5.15</v>
      </c>
      <c r="CH25" s="96"/>
      <c r="CI25" s="96"/>
      <c r="CJ25" s="53">
        <v>16.91</v>
      </c>
      <c r="CK25" s="58">
        <f t="shared" si="18"/>
        <v>11.76</v>
      </c>
      <c r="CL25" s="97">
        <v>7.3</v>
      </c>
      <c r="CM25" s="58">
        <v>1</v>
      </c>
      <c r="CN25" s="59">
        <f t="shared" si="19"/>
        <v>3.46</v>
      </c>
      <c r="CO25" s="86">
        <v>3</v>
      </c>
      <c r="CP25" s="86">
        <f t="shared" si="20"/>
        <v>46</v>
      </c>
      <c r="CQ25" s="86"/>
      <c r="CR25"/>
      <c r="CS25" s="86"/>
      <c r="CT25" s="94"/>
      <c r="CU25" s="58"/>
      <c r="CV25" s="58"/>
      <c r="CW25" s="58"/>
      <c r="CX25" s="58"/>
      <c r="CY25" s="58"/>
      <c r="CZ25" s="97"/>
      <c r="DA25" s="58"/>
      <c r="DB25" s="59"/>
      <c r="DC25" s="86"/>
      <c r="DD25" s="86"/>
      <c r="DE25" s="86"/>
      <c r="DF25"/>
      <c r="DG25" s="86" t="s">
        <v>225</v>
      </c>
      <c r="DH25" s="94">
        <v>17</v>
      </c>
      <c r="DI25" s="58">
        <v>5.15</v>
      </c>
      <c r="DJ25" s="96"/>
      <c r="DK25" s="96"/>
      <c r="DL25" s="53">
        <v>16.91</v>
      </c>
      <c r="DM25" s="58">
        <f t="shared" si="21"/>
        <v>11.76</v>
      </c>
      <c r="DN25" s="97">
        <v>7.3</v>
      </c>
      <c r="DO25" s="58">
        <v>1</v>
      </c>
      <c r="DP25" s="59">
        <f t="shared" si="22"/>
        <v>3.46</v>
      </c>
      <c r="DQ25" s="86">
        <v>3</v>
      </c>
      <c r="DR25" s="86">
        <f t="shared" si="23"/>
        <v>46</v>
      </c>
      <c r="DS25" s="86"/>
      <c r="DT25"/>
      <c r="DU25" s="86" t="s">
        <v>225</v>
      </c>
      <c r="DV25" s="94">
        <v>17</v>
      </c>
      <c r="DW25" s="58">
        <v>5.15</v>
      </c>
      <c r="DX25" s="96"/>
      <c r="DY25" s="96"/>
      <c r="DZ25" s="53">
        <v>16.91</v>
      </c>
      <c r="EA25" s="58">
        <f t="shared" si="24"/>
        <v>11.76</v>
      </c>
      <c r="EB25" s="97">
        <v>7.3</v>
      </c>
      <c r="EC25" s="58">
        <v>1</v>
      </c>
      <c r="ED25" s="59">
        <f t="shared" si="25"/>
        <v>3.46</v>
      </c>
      <c r="EE25" s="86">
        <v>3</v>
      </c>
      <c r="EF25" s="86">
        <f t="shared" si="26"/>
        <v>46</v>
      </c>
      <c r="EG25" s="86"/>
      <c r="EH25"/>
      <c r="EI25"/>
    </row>
    <row r="26" spans="1:139" ht="17.149999999999999" customHeight="1" x14ac:dyDescent="0.35">
      <c r="A26" s="86" t="s">
        <v>4</v>
      </c>
      <c r="B26" s="94">
        <v>18</v>
      </c>
      <c r="C26" s="58">
        <v>5.15</v>
      </c>
      <c r="D26" s="96"/>
      <c r="E26" s="96"/>
      <c r="F26" s="53">
        <v>18.670000000000002</v>
      </c>
      <c r="G26" s="58">
        <f t="shared" si="0"/>
        <v>13.520000000000001</v>
      </c>
      <c r="H26" s="97">
        <v>7.3</v>
      </c>
      <c r="I26" s="58">
        <v>1</v>
      </c>
      <c r="J26" s="59">
        <f t="shared" si="1"/>
        <v>5.2200000000000015</v>
      </c>
      <c r="K26" s="86">
        <v>5</v>
      </c>
      <c r="L26" s="86">
        <f t="shared" si="2"/>
        <v>22.000000000000153</v>
      </c>
      <c r="M26" s="98"/>
      <c r="O26" s="86" t="s">
        <v>4</v>
      </c>
      <c r="P26" s="94">
        <v>18</v>
      </c>
      <c r="Q26" s="58">
        <v>5.15</v>
      </c>
      <c r="R26" s="96"/>
      <c r="S26" s="96"/>
      <c r="T26" s="53">
        <v>18.670000000000002</v>
      </c>
      <c r="U26" s="58">
        <f t="shared" si="3"/>
        <v>13.520000000000001</v>
      </c>
      <c r="V26" s="97">
        <v>7.3</v>
      </c>
      <c r="W26" s="58">
        <v>1</v>
      </c>
      <c r="X26" s="59">
        <f t="shared" si="4"/>
        <v>5.2200000000000015</v>
      </c>
      <c r="Y26" s="86">
        <v>5</v>
      </c>
      <c r="Z26" s="86">
        <f t="shared" si="5"/>
        <v>22.000000000000153</v>
      </c>
      <c r="AA26" s="98"/>
      <c r="AB26" s="86" t="s">
        <v>4</v>
      </c>
      <c r="AC26" s="94">
        <v>18</v>
      </c>
      <c r="AD26" s="58">
        <v>5.15</v>
      </c>
      <c r="AE26" s="96"/>
      <c r="AF26" s="96"/>
      <c r="AG26" s="53">
        <v>18.670000000000002</v>
      </c>
      <c r="AH26" s="58">
        <f t="shared" si="6"/>
        <v>13.520000000000001</v>
      </c>
      <c r="AI26" s="97">
        <v>7.3</v>
      </c>
      <c r="AJ26" s="58">
        <v>1</v>
      </c>
      <c r="AK26" s="59">
        <f t="shared" si="7"/>
        <v>5.2200000000000015</v>
      </c>
      <c r="AL26" s="86">
        <v>5</v>
      </c>
      <c r="AM26" s="86">
        <f t="shared" si="8"/>
        <v>22.000000000000153</v>
      </c>
      <c r="AN26" s="98"/>
      <c r="AP26" s="86" t="s">
        <v>4</v>
      </c>
      <c r="AQ26" s="94">
        <v>18</v>
      </c>
      <c r="AR26" s="58">
        <v>5.15</v>
      </c>
      <c r="AS26" s="96"/>
      <c r="AT26" s="96"/>
      <c r="AU26" s="53">
        <v>18.670000000000002</v>
      </c>
      <c r="AV26" s="58">
        <f t="shared" si="9"/>
        <v>13.520000000000001</v>
      </c>
      <c r="AW26" s="97">
        <v>7.3</v>
      </c>
      <c r="AX26" s="58">
        <v>1</v>
      </c>
      <c r="AY26" s="59">
        <f t="shared" si="10"/>
        <v>5.2200000000000015</v>
      </c>
      <c r="AZ26" s="86">
        <v>5</v>
      </c>
      <c r="BA26" s="86">
        <f t="shared" si="11"/>
        <v>22.000000000000153</v>
      </c>
      <c r="BB26" s="98"/>
      <c r="BC26" s="86" t="s">
        <v>4</v>
      </c>
      <c r="BD26" s="94">
        <v>18</v>
      </c>
      <c r="BE26" s="58">
        <v>5.15</v>
      </c>
      <c r="BF26" s="96"/>
      <c r="BG26" s="96"/>
      <c r="BH26" s="53">
        <v>18.670000000000002</v>
      </c>
      <c r="BI26" s="58">
        <f t="shared" si="12"/>
        <v>13.520000000000001</v>
      </c>
      <c r="BJ26" s="97">
        <v>7.3</v>
      </c>
      <c r="BK26" s="58">
        <v>1</v>
      </c>
      <c r="BL26" s="59">
        <f t="shared" si="13"/>
        <v>5.2200000000000015</v>
      </c>
      <c r="BM26" s="86">
        <v>5</v>
      </c>
      <c r="BN26" s="86">
        <f t="shared" si="14"/>
        <v>22.000000000000153</v>
      </c>
      <c r="BO26" s="98"/>
      <c r="BQ26" s="86" t="s">
        <v>4</v>
      </c>
      <c r="BR26" s="94">
        <v>18</v>
      </c>
      <c r="BS26" s="58">
        <v>5.15</v>
      </c>
      <c r="BT26" s="96"/>
      <c r="BU26" s="96"/>
      <c r="BV26" s="53">
        <v>18.670000000000002</v>
      </c>
      <c r="BW26" s="58">
        <f t="shared" si="15"/>
        <v>13.520000000000001</v>
      </c>
      <c r="BX26" s="97">
        <v>7.3</v>
      </c>
      <c r="BY26" s="58">
        <v>1</v>
      </c>
      <c r="BZ26" s="59">
        <f t="shared" si="16"/>
        <v>5.2200000000000015</v>
      </c>
      <c r="CA26" s="86">
        <v>5</v>
      </c>
      <c r="CB26" s="86">
        <f t="shared" si="17"/>
        <v>22.000000000000153</v>
      </c>
      <c r="CC26" s="98"/>
      <c r="CE26" s="86" t="s">
        <v>4</v>
      </c>
      <c r="CF26" s="94">
        <v>18</v>
      </c>
      <c r="CG26" s="58">
        <v>5.15</v>
      </c>
      <c r="CH26" s="96"/>
      <c r="CI26" s="96"/>
      <c r="CJ26" s="53">
        <v>18.670000000000002</v>
      </c>
      <c r="CK26" s="58">
        <f t="shared" si="18"/>
        <v>13.520000000000001</v>
      </c>
      <c r="CL26" s="97">
        <v>7.3</v>
      </c>
      <c r="CM26" s="58">
        <v>1</v>
      </c>
      <c r="CN26" s="59">
        <f t="shared" si="19"/>
        <v>5.2200000000000015</v>
      </c>
      <c r="CO26" s="86">
        <v>5</v>
      </c>
      <c r="CP26" s="86">
        <f t="shared" si="20"/>
        <v>22.000000000000153</v>
      </c>
      <c r="CQ26" s="98"/>
      <c r="CS26" s="86"/>
      <c r="CT26" s="94"/>
      <c r="CU26" s="58"/>
      <c r="CV26" s="96"/>
      <c r="CW26" s="96"/>
      <c r="CX26" s="58"/>
      <c r="CY26" s="58"/>
      <c r="CZ26" s="97"/>
      <c r="DA26" s="58"/>
      <c r="DB26" s="59"/>
      <c r="DC26" s="86"/>
      <c r="DD26" s="86"/>
      <c r="DE26" s="98"/>
      <c r="DG26" s="86" t="s">
        <v>4</v>
      </c>
      <c r="DH26" s="94">
        <v>18</v>
      </c>
      <c r="DI26" s="58">
        <v>5.15</v>
      </c>
      <c r="DJ26" s="96"/>
      <c r="DK26" s="96"/>
      <c r="DL26" s="53">
        <v>18.670000000000002</v>
      </c>
      <c r="DM26" s="58">
        <f t="shared" si="21"/>
        <v>13.520000000000001</v>
      </c>
      <c r="DN26" s="97">
        <v>7.3</v>
      </c>
      <c r="DO26" s="58">
        <v>1</v>
      </c>
      <c r="DP26" s="59">
        <f t="shared" si="22"/>
        <v>5.2200000000000015</v>
      </c>
      <c r="DQ26" s="86">
        <v>5</v>
      </c>
      <c r="DR26" s="86">
        <f t="shared" si="23"/>
        <v>22.000000000000153</v>
      </c>
      <c r="DS26" s="98"/>
      <c r="DU26" s="86" t="s">
        <v>4</v>
      </c>
      <c r="DV26" s="94">
        <v>18</v>
      </c>
      <c r="DW26" s="99">
        <v>5.4</v>
      </c>
      <c r="DX26" s="96"/>
      <c r="DY26" s="96"/>
      <c r="DZ26" s="53">
        <v>18.670000000000002</v>
      </c>
      <c r="EA26" s="58">
        <f t="shared" si="24"/>
        <v>13.270000000000001</v>
      </c>
      <c r="EB26" s="97">
        <v>7.3</v>
      </c>
      <c r="EC26" s="58">
        <v>1</v>
      </c>
      <c r="ED26" s="59">
        <f t="shared" si="25"/>
        <v>4.9700000000000015</v>
      </c>
      <c r="EE26" s="86">
        <v>5</v>
      </c>
      <c r="EF26" s="86">
        <f t="shared" si="26"/>
        <v>-2.9999999999998472</v>
      </c>
      <c r="EG26" s="98"/>
    </row>
    <row r="27" spans="1:139" ht="17.149999999999999" customHeight="1" x14ac:dyDescent="0.35">
      <c r="A27" s="86" t="s">
        <v>5</v>
      </c>
      <c r="B27" s="86">
        <v>19</v>
      </c>
      <c r="C27" s="58">
        <v>5.15</v>
      </c>
      <c r="D27" s="96"/>
      <c r="E27" s="96"/>
      <c r="F27" s="53">
        <v>17.940000000000001</v>
      </c>
      <c r="G27" s="58">
        <f t="shared" si="0"/>
        <v>12.790000000000001</v>
      </c>
      <c r="H27" s="97">
        <v>7.3</v>
      </c>
      <c r="I27" s="58">
        <v>1</v>
      </c>
      <c r="J27" s="59">
        <f t="shared" si="1"/>
        <v>4.4900000000000011</v>
      </c>
      <c r="K27" s="86">
        <v>4</v>
      </c>
      <c r="L27" s="86">
        <f t="shared" si="2"/>
        <v>49.000000000000114</v>
      </c>
      <c r="M27" s="98"/>
      <c r="O27" s="86" t="s">
        <v>5</v>
      </c>
      <c r="P27" s="86">
        <v>19</v>
      </c>
      <c r="Q27" s="58">
        <v>5.15</v>
      </c>
      <c r="R27" s="96"/>
      <c r="S27" s="96"/>
      <c r="T27" s="53">
        <v>17.940000000000001</v>
      </c>
      <c r="U27" s="58">
        <f t="shared" si="3"/>
        <v>12.790000000000001</v>
      </c>
      <c r="V27" s="97">
        <v>7.3</v>
      </c>
      <c r="W27" s="58">
        <v>1</v>
      </c>
      <c r="X27" s="59">
        <f t="shared" si="4"/>
        <v>4.4900000000000011</v>
      </c>
      <c r="Y27" s="86">
        <v>4</v>
      </c>
      <c r="Z27" s="86">
        <f t="shared" si="5"/>
        <v>49.000000000000114</v>
      </c>
      <c r="AA27" s="98"/>
      <c r="AB27" s="86" t="s">
        <v>5</v>
      </c>
      <c r="AC27" s="86">
        <v>19</v>
      </c>
      <c r="AD27" s="58">
        <v>5.15</v>
      </c>
      <c r="AE27" s="96"/>
      <c r="AF27" s="96"/>
      <c r="AG27" s="53">
        <v>17.940000000000001</v>
      </c>
      <c r="AH27" s="58">
        <f t="shared" si="6"/>
        <v>12.790000000000001</v>
      </c>
      <c r="AI27" s="97">
        <v>7.3</v>
      </c>
      <c r="AJ27" s="58">
        <v>1</v>
      </c>
      <c r="AK27" s="59">
        <f t="shared" si="7"/>
        <v>4.4900000000000011</v>
      </c>
      <c r="AL27" s="86">
        <v>4</v>
      </c>
      <c r="AM27" s="86">
        <f t="shared" si="8"/>
        <v>49.000000000000114</v>
      </c>
      <c r="AN27" s="98"/>
      <c r="AP27" s="86" t="s">
        <v>5</v>
      </c>
      <c r="AQ27" s="86">
        <v>19</v>
      </c>
      <c r="AR27" s="58">
        <v>5.15</v>
      </c>
      <c r="AS27" s="96"/>
      <c r="AT27" s="96"/>
      <c r="AU27" s="53">
        <v>17.940000000000001</v>
      </c>
      <c r="AV27" s="58">
        <f t="shared" si="9"/>
        <v>12.790000000000001</v>
      </c>
      <c r="AW27" s="97">
        <v>7.3</v>
      </c>
      <c r="AX27" s="58">
        <v>1</v>
      </c>
      <c r="AY27" s="59">
        <f t="shared" si="10"/>
        <v>4.4900000000000011</v>
      </c>
      <c r="AZ27" s="86">
        <v>4</v>
      </c>
      <c r="BA27" s="86">
        <f t="shared" si="11"/>
        <v>49.000000000000114</v>
      </c>
      <c r="BB27" s="98"/>
      <c r="BC27" s="86" t="s">
        <v>5</v>
      </c>
      <c r="BD27" s="86">
        <v>19</v>
      </c>
      <c r="BE27" s="58">
        <v>5.15</v>
      </c>
      <c r="BF27" s="96"/>
      <c r="BG27" s="96"/>
      <c r="BH27" s="53">
        <v>17.940000000000001</v>
      </c>
      <c r="BI27" s="58">
        <f t="shared" si="12"/>
        <v>12.790000000000001</v>
      </c>
      <c r="BJ27" s="97">
        <v>7.3</v>
      </c>
      <c r="BK27" s="58">
        <v>1</v>
      </c>
      <c r="BL27" s="59">
        <f t="shared" si="13"/>
        <v>4.4900000000000011</v>
      </c>
      <c r="BM27" s="86">
        <v>4</v>
      </c>
      <c r="BN27" s="86">
        <f t="shared" si="14"/>
        <v>49.000000000000114</v>
      </c>
      <c r="BO27" s="98"/>
      <c r="BQ27" s="86" t="s">
        <v>5</v>
      </c>
      <c r="BR27" s="86">
        <v>19</v>
      </c>
      <c r="BS27" s="58">
        <v>5.15</v>
      </c>
      <c r="BT27" s="96"/>
      <c r="BU27" s="96"/>
      <c r="BV27" s="53">
        <v>17.940000000000001</v>
      </c>
      <c r="BW27" s="58">
        <f t="shared" si="15"/>
        <v>12.790000000000001</v>
      </c>
      <c r="BX27" s="97">
        <v>7.3</v>
      </c>
      <c r="BY27" s="58">
        <v>1</v>
      </c>
      <c r="BZ27" s="59">
        <f t="shared" si="16"/>
        <v>4.4900000000000011</v>
      </c>
      <c r="CA27" s="86">
        <v>4</v>
      </c>
      <c r="CB27" s="86">
        <f t="shared" si="17"/>
        <v>49.000000000000114</v>
      </c>
      <c r="CC27" s="98"/>
      <c r="CE27" s="86" t="s">
        <v>5</v>
      </c>
      <c r="CF27" s="86">
        <v>19</v>
      </c>
      <c r="CG27" s="58">
        <v>5.15</v>
      </c>
      <c r="CH27" s="96"/>
      <c r="CI27" s="96"/>
      <c r="CJ27" s="53">
        <v>17.940000000000001</v>
      </c>
      <c r="CK27" s="58">
        <f t="shared" si="18"/>
        <v>12.790000000000001</v>
      </c>
      <c r="CL27" s="97">
        <v>7.3</v>
      </c>
      <c r="CM27" s="58">
        <v>1</v>
      </c>
      <c r="CN27" s="59">
        <f t="shared" si="19"/>
        <v>4.4900000000000011</v>
      </c>
      <c r="CO27" s="86">
        <v>4</v>
      </c>
      <c r="CP27" s="86">
        <f t="shared" si="20"/>
        <v>49.000000000000114</v>
      </c>
      <c r="CQ27" s="98"/>
      <c r="CS27" s="86"/>
      <c r="CT27" s="86"/>
      <c r="CU27" s="58"/>
      <c r="CV27" s="58"/>
      <c r="CW27" s="58"/>
      <c r="CX27" s="58"/>
      <c r="CY27" s="58"/>
      <c r="CZ27" s="97"/>
      <c r="DA27" s="58"/>
      <c r="DB27" s="59"/>
      <c r="DC27" s="86"/>
      <c r="DD27" s="86"/>
      <c r="DE27" s="98"/>
      <c r="DG27" s="86" t="s">
        <v>5</v>
      </c>
      <c r="DH27" s="86">
        <v>19</v>
      </c>
      <c r="DI27" s="58">
        <v>5.15</v>
      </c>
      <c r="DJ27" s="96"/>
      <c r="DK27" s="96"/>
      <c r="DL27" s="53">
        <v>17.940000000000001</v>
      </c>
      <c r="DM27" s="58">
        <f t="shared" si="21"/>
        <v>12.790000000000001</v>
      </c>
      <c r="DN27" s="97">
        <v>7.3</v>
      </c>
      <c r="DO27" s="58">
        <v>1</v>
      </c>
      <c r="DP27" s="59">
        <f t="shared" si="22"/>
        <v>4.4900000000000011</v>
      </c>
      <c r="DQ27" s="86">
        <v>4</v>
      </c>
      <c r="DR27" s="86">
        <f t="shared" si="23"/>
        <v>49.000000000000114</v>
      </c>
      <c r="DS27" s="98"/>
      <c r="DU27" s="86" t="s">
        <v>5</v>
      </c>
      <c r="DV27" s="86">
        <v>19</v>
      </c>
      <c r="DW27" s="58">
        <v>5.15</v>
      </c>
      <c r="DX27" s="96"/>
      <c r="DY27" s="96"/>
      <c r="DZ27" s="53">
        <v>17.940000000000001</v>
      </c>
      <c r="EA27" s="58">
        <f t="shared" si="24"/>
        <v>12.790000000000001</v>
      </c>
      <c r="EB27" s="97">
        <v>7.3</v>
      </c>
      <c r="EC27" s="58">
        <v>1</v>
      </c>
      <c r="ED27" s="59">
        <f t="shared" si="25"/>
        <v>4.4900000000000011</v>
      </c>
      <c r="EE27" s="86">
        <v>4</v>
      </c>
      <c r="EF27" s="86">
        <f t="shared" si="26"/>
        <v>49.000000000000114</v>
      </c>
      <c r="EG27" s="98"/>
    </row>
    <row r="28" spans="1:139" ht="17.149999999999999" customHeight="1" x14ac:dyDescent="0.35">
      <c r="A28" s="55" t="s">
        <v>6</v>
      </c>
      <c r="B28" s="55">
        <v>20</v>
      </c>
      <c r="C28" s="52"/>
      <c r="D28" s="52"/>
      <c r="E28" s="52">
        <v>8.3000000000000007</v>
      </c>
      <c r="F28" s="52">
        <v>14.8</v>
      </c>
      <c r="G28" s="52">
        <f t="shared" si="0"/>
        <v>6.5</v>
      </c>
      <c r="H28" s="56"/>
      <c r="I28" s="52"/>
      <c r="J28" s="57">
        <f t="shared" si="1"/>
        <v>6.5</v>
      </c>
      <c r="K28" s="55">
        <v>6</v>
      </c>
      <c r="L28" s="55">
        <f t="shared" si="2"/>
        <v>50</v>
      </c>
      <c r="M28" s="95"/>
      <c r="O28" s="55" t="s">
        <v>6</v>
      </c>
      <c r="P28" s="55">
        <v>20</v>
      </c>
      <c r="Q28" s="52"/>
      <c r="R28" s="52"/>
      <c r="S28" s="52">
        <v>8.15</v>
      </c>
      <c r="T28" s="52">
        <v>15.17</v>
      </c>
      <c r="U28" s="52">
        <f t="shared" si="3"/>
        <v>7.02</v>
      </c>
      <c r="V28" s="56"/>
      <c r="W28" s="52"/>
      <c r="X28" s="57">
        <f t="shared" si="4"/>
        <v>7.02</v>
      </c>
      <c r="Y28" s="55">
        <v>7</v>
      </c>
      <c r="Z28" s="55">
        <f t="shared" si="5"/>
        <v>1.9999999999999574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/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>
        <v>8.0500000000000007</v>
      </c>
      <c r="AU28" s="52">
        <v>15.19</v>
      </c>
      <c r="AV28" s="52">
        <f t="shared" si="9"/>
        <v>7.1399999999999988</v>
      </c>
      <c r="AW28" s="56"/>
      <c r="AX28" s="52"/>
      <c r="AY28" s="57">
        <f t="shared" si="10"/>
        <v>7.1399999999999988</v>
      </c>
      <c r="AZ28" s="55">
        <v>7</v>
      </c>
      <c r="BA28" s="55">
        <f t="shared" si="11"/>
        <v>13.999999999999879</v>
      </c>
      <c r="BB28" s="95"/>
      <c r="BC28" s="55" t="s">
        <v>6</v>
      </c>
      <c r="BD28" s="55">
        <v>20</v>
      </c>
      <c r="BE28" s="52"/>
      <c r="BF28" s="52"/>
      <c r="BG28" s="52"/>
      <c r="BH28" s="52"/>
      <c r="BI28" s="52">
        <f t="shared" si="12"/>
        <v>0</v>
      </c>
      <c r="BJ28" s="56"/>
      <c r="BK28" s="52"/>
      <c r="BL28" s="57">
        <f t="shared" si="13"/>
        <v>0</v>
      </c>
      <c r="BM28" s="55"/>
      <c r="BN28" s="55">
        <f t="shared" si="14"/>
        <v>0</v>
      </c>
      <c r="BO28" s="95"/>
      <c r="BQ28" s="55" t="s">
        <v>6</v>
      </c>
      <c r="BR28" s="55">
        <v>20</v>
      </c>
      <c r="BS28" s="52"/>
      <c r="BT28" s="52"/>
      <c r="BU28" s="52"/>
      <c r="BV28" s="52"/>
      <c r="BW28" s="52">
        <f t="shared" si="15"/>
        <v>0</v>
      </c>
      <c r="BX28" s="56"/>
      <c r="BY28" s="52"/>
      <c r="BZ28" s="57">
        <f t="shared" si="16"/>
        <v>0</v>
      </c>
      <c r="CA28" s="55"/>
      <c r="CB28" s="55">
        <f t="shared" si="17"/>
        <v>0</v>
      </c>
      <c r="CC28" s="95"/>
      <c r="CE28" s="55" t="s">
        <v>6</v>
      </c>
      <c r="CF28" s="55">
        <v>20</v>
      </c>
      <c r="CG28" s="52"/>
      <c r="CH28" s="52"/>
      <c r="CI28" s="52">
        <v>9</v>
      </c>
      <c r="CJ28" s="52">
        <v>15.19</v>
      </c>
      <c r="CK28" s="52">
        <f t="shared" si="18"/>
        <v>6.1899999999999995</v>
      </c>
      <c r="CL28" s="56"/>
      <c r="CM28" s="52"/>
      <c r="CN28" s="57">
        <f t="shared" si="19"/>
        <v>6.1899999999999995</v>
      </c>
      <c r="CO28" s="55">
        <v>6</v>
      </c>
      <c r="CP28" s="55">
        <f t="shared" si="20"/>
        <v>18.99999999999995</v>
      </c>
      <c r="CQ28" s="95"/>
      <c r="CS28" s="62"/>
      <c r="CT28" s="86"/>
      <c r="CU28" s="58"/>
      <c r="CV28" s="58"/>
      <c r="CW28" s="58"/>
      <c r="CX28" s="58"/>
      <c r="CY28" s="58"/>
      <c r="CZ28" s="97"/>
      <c r="DA28" s="58"/>
      <c r="DB28" s="59"/>
      <c r="DC28" s="86"/>
      <c r="DD28" s="86"/>
      <c r="DE28" s="98"/>
      <c r="DG28" s="55" t="s">
        <v>6</v>
      </c>
      <c r="DH28" s="55">
        <v>20</v>
      </c>
      <c r="DI28" s="52"/>
      <c r="DJ28" s="52"/>
      <c r="DK28" s="52">
        <v>9</v>
      </c>
      <c r="DL28" s="52">
        <v>15.2</v>
      </c>
      <c r="DM28" s="52">
        <f t="shared" si="21"/>
        <v>6.1999999999999993</v>
      </c>
      <c r="DN28" s="56"/>
      <c r="DO28" s="52"/>
      <c r="DP28" s="57">
        <f t="shared" si="22"/>
        <v>6.1999999999999993</v>
      </c>
      <c r="DQ28" s="55">
        <v>6</v>
      </c>
      <c r="DR28" s="55">
        <f t="shared" si="23"/>
        <v>19.999999999999929</v>
      </c>
      <c r="DS28" s="95"/>
      <c r="DU28" s="55" t="s">
        <v>6</v>
      </c>
      <c r="DV28" s="55">
        <v>20</v>
      </c>
      <c r="DW28" s="52"/>
      <c r="DX28" s="52"/>
      <c r="DY28" s="52">
        <v>8.5</v>
      </c>
      <c r="DZ28" s="52">
        <v>14.79</v>
      </c>
      <c r="EA28" s="52">
        <f t="shared" si="24"/>
        <v>6.2899999999999991</v>
      </c>
      <c r="EB28" s="56"/>
      <c r="EC28" s="52"/>
      <c r="ED28" s="57">
        <f t="shared" si="25"/>
        <v>6.2899999999999991</v>
      </c>
      <c r="EE28" s="55">
        <v>6</v>
      </c>
      <c r="EF28" s="55">
        <f t="shared" si="26"/>
        <v>28.999999999999915</v>
      </c>
      <c r="EG28" s="95"/>
    </row>
    <row r="29" spans="1:139" ht="17.149999999999999" customHeight="1" x14ac:dyDescent="0.35">
      <c r="A29" s="86" t="s">
        <v>1</v>
      </c>
      <c r="B29" s="86">
        <v>21</v>
      </c>
      <c r="C29" s="58">
        <v>5.15</v>
      </c>
      <c r="D29" s="96"/>
      <c r="E29" s="96"/>
      <c r="F29" s="53">
        <v>18.79</v>
      </c>
      <c r="G29" s="58">
        <f t="shared" si="0"/>
        <v>13.639999999999999</v>
      </c>
      <c r="H29" s="97">
        <v>7.3</v>
      </c>
      <c r="I29" s="58">
        <v>1</v>
      </c>
      <c r="J29" s="59">
        <f t="shared" si="1"/>
        <v>5.339999999999999</v>
      </c>
      <c r="K29" s="86">
        <v>5</v>
      </c>
      <c r="L29" s="86">
        <f t="shared" si="2"/>
        <v>33.999999999999901</v>
      </c>
      <c r="M29" s="98"/>
      <c r="O29" s="86" t="s">
        <v>1</v>
      </c>
      <c r="P29" s="86">
        <v>21</v>
      </c>
      <c r="Q29" s="58">
        <v>5.15</v>
      </c>
      <c r="R29" s="96"/>
      <c r="S29" s="96"/>
      <c r="T29" s="53">
        <v>18.79</v>
      </c>
      <c r="U29" s="58">
        <f t="shared" si="3"/>
        <v>13.639999999999999</v>
      </c>
      <c r="V29" s="97">
        <v>7.3</v>
      </c>
      <c r="W29" s="58">
        <v>1</v>
      </c>
      <c r="X29" s="59">
        <f t="shared" si="4"/>
        <v>5.339999999999999</v>
      </c>
      <c r="Y29" s="86">
        <v>5</v>
      </c>
      <c r="Z29" s="86">
        <f t="shared" si="5"/>
        <v>33.999999999999901</v>
      </c>
      <c r="AA29" s="98"/>
      <c r="AB29" s="86" t="s">
        <v>1</v>
      </c>
      <c r="AC29" s="86">
        <v>21</v>
      </c>
      <c r="AD29" s="58">
        <v>5.15</v>
      </c>
      <c r="AE29" s="96"/>
      <c r="AF29" s="96"/>
      <c r="AG29" s="53">
        <v>18.79</v>
      </c>
      <c r="AH29" s="58">
        <f t="shared" si="6"/>
        <v>13.639999999999999</v>
      </c>
      <c r="AI29" s="97">
        <v>7.3</v>
      </c>
      <c r="AJ29" s="58">
        <v>1</v>
      </c>
      <c r="AK29" s="59">
        <f t="shared" si="7"/>
        <v>5.339999999999999</v>
      </c>
      <c r="AL29" s="86">
        <v>5</v>
      </c>
      <c r="AM29" s="86">
        <f t="shared" si="8"/>
        <v>33.999999999999901</v>
      </c>
      <c r="AN29" s="98"/>
      <c r="AP29" s="86" t="s">
        <v>1</v>
      </c>
      <c r="AQ29" s="86">
        <v>21</v>
      </c>
      <c r="AR29" s="58">
        <v>5.15</v>
      </c>
      <c r="AS29" s="96"/>
      <c r="AT29" s="96"/>
      <c r="AU29" s="53">
        <v>18.79</v>
      </c>
      <c r="AV29" s="58">
        <f t="shared" si="9"/>
        <v>13.639999999999999</v>
      </c>
      <c r="AW29" s="97">
        <v>7.3</v>
      </c>
      <c r="AX29" s="58">
        <v>1</v>
      </c>
      <c r="AY29" s="59">
        <f t="shared" si="10"/>
        <v>5.339999999999999</v>
      </c>
      <c r="AZ29" s="86">
        <v>5</v>
      </c>
      <c r="BA29" s="86">
        <f t="shared" si="11"/>
        <v>33.999999999999901</v>
      </c>
      <c r="BB29" s="98"/>
      <c r="BC29" s="86" t="s">
        <v>1</v>
      </c>
      <c r="BD29" s="86">
        <v>21</v>
      </c>
      <c r="BE29" s="58">
        <v>5.15</v>
      </c>
      <c r="BF29" s="96"/>
      <c r="BG29" s="96"/>
      <c r="BH29" s="53">
        <v>18.79</v>
      </c>
      <c r="BI29" s="58">
        <f t="shared" si="12"/>
        <v>13.639999999999999</v>
      </c>
      <c r="BJ29" s="97">
        <v>7.3</v>
      </c>
      <c r="BK29" s="58">
        <v>1</v>
      </c>
      <c r="BL29" s="59">
        <f t="shared" si="13"/>
        <v>5.339999999999999</v>
      </c>
      <c r="BM29" s="86">
        <v>5</v>
      </c>
      <c r="BN29" s="86">
        <f t="shared" si="14"/>
        <v>33.999999999999901</v>
      </c>
      <c r="BO29" s="98"/>
      <c r="BQ29" s="86" t="s">
        <v>1</v>
      </c>
      <c r="BR29" s="86">
        <v>21</v>
      </c>
      <c r="BS29" s="58">
        <v>5.15</v>
      </c>
      <c r="BT29" s="96"/>
      <c r="BU29" s="96"/>
      <c r="BV29" s="53">
        <v>18.79</v>
      </c>
      <c r="BW29" s="58">
        <f t="shared" si="15"/>
        <v>13.639999999999999</v>
      </c>
      <c r="BX29" s="97">
        <v>7.3</v>
      </c>
      <c r="BY29" s="58">
        <v>1</v>
      </c>
      <c r="BZ29" s="59">
        <f t="shared" si="16"/>
        <v>5.339999999999999</v>
      </c>
      <c r="CA29" s="86">
        <v>5</v>
      </c>
      <c r="CB29" s="86">
        <f t="shared" si="17"/>
        <v>33.999999999999901</v>
      </c>
      <c r="CC29" s="98"/>
      <c r="CE29" s="86" t="s">
        <v>1</v>
      </c>
      <c r="CF29" s="86">
        <v>21</v>
      </c>
      <c r="CG29" s="58">
        <v>5.15</v>
      </c>
      <c r="CH29" s="96"/>
      <c r="CI29" s="96"/>
      <c r="CJ29" s="53">
        <v>18.79</v>
      </c>
      <c r="CK29" s="58">
        <f t="shared" si="18"/>
        <v>13.639999999999999</v>
      </c>
      <c r="CL29" s="97">
        <v>7.3</v>
      </c>
      <c r="CM29" s="58">
        <v>1</v>
      </c>
      <c r="CN29" s="59">
        <f t="shared" si="19"/>
        <v>5.339999999999999</v>
      </c>
      <c r="CO29" s="86">
        <v>5</v>
      </c>
      <c r="CP29" s="86">
        <f t="shared" si="20"/>
        <v>33.999999999999901</v>
      </c>
      <c r="CQ29" s="98"/>
      <c r="CS29" s="86"/>
      <c r="CT29" s="86"/>
      <c r="CU29" s="58"/>
      <c r="CV29" s="58"/>
      <c r="CW29" s="58"/>
      <c r="CX29" s="58"/>
      <c r="CY29" s="58"/>
      <c r="CZ29" s="97"/>
      <c r="DA29" s="58"/>
      <c r="DB29" s="59"/>
      <c r="DC29" s="86"/>
      <c r="DD29" s="86"/>
      <c r="DE29" s="98"/>
      <c r="DG29" s="86" t="s">
        <v>1</v>
      </c>
      <c r="DH29" s="86">
        <v>21</v>
      </c>
      <c r="DI29" s="58">
        <v>5.15</v>
      </c>
      <c r="DJ29" s="96"/>
      <c r="DK29" s="96"/>
      <c r="DL29" s="53">
        <v>18.79</v>
      </c>
      <c r="DM29" s="58">
        <f t="shared" si="21"/>
        <v>13.639999999999999</v>
      </c>
      <c r="DN29" s="97">
        <v>7.3</v>
      </c>
      <c r="DO29" s="58">
        <v>1</v>
      </c>
      <c r="DP29" s="59">
        <f t="shared" si="22"/>
        <v>5.339999999999999</v>
      </c>
      <c r="DQ29" s="86">
        <v>5</v>
      </c>
      <c r="DR29" s="86">
        <f t="shared" si="23"/>
        <v>33.999999999999901</v>
      </c>
      <c r="DS29" s="98"/>
      <c r="DU29" s="86" t="s">
        <v>1</v>
      </c>
      <c r="DV29" s="86">
        <v>21</v>
      </c>
      <c r="DW29" s="58">
        <v>5.15</v>
      </c>
      <c r="DX29" s="96"/>
      <c r="DY29" s="96"/>
      <c r="DZ29" s="53">
        <v>18.79</v>
      </c>
      <c r="EA29" s="58">
        <f t="shared" si="24"/>
        <v>13.639999999999999</v>
      </c>
      <c r="EB29" s="97">
        <v>7.3</v>
      </c>
      <c r="EC29" s="58">
        <v>1</v>
      </c>
      <c r="ED29" s="59">
        <f t="shared" si="25"/>
        <v>5.339999999999999</v>
      </c>
      <c r="EE29" s="86">
        <v>5</v>
      </c>
      <c r="EF29" s="86">
        <f t="shared" si="26"/>
        <v>33.999999999999901</v>
      </c>
      <c r="EG29" s="98"/>
    </row>
    <row r="30" spans="1:139" ht="17.149999999999999" customHeight="1" x14ac:dyDescent="0.35">
      <c r="A30" s="86" t="s">
        <v>216</v>
      </c>
      <c r="B30" s="86">
        <v>22</v>
      </c>
      <c r="C30" s="58">
        <v>5.15</v>
      </c>
      <c r="D30" s="96"/>
      <c r="E30" s="96"/>
      <c r="F30" s="53">
        <v>18.63</v>
      </c>
      <c r="G30" s="58">
        <f t="shared" si="0"/>
        <v>13.479999999999999</v>
      </c>
      <c r="H30" s="97">
        <v>7.3</v>
      </c>
      <c r="I30" s="58">
        <v>1</v>
      </c>
      <c r="J30" s="59">
        <f t="shared" si="1"/>
        <v>5.1799999999999988</v>
      </c>
      <c r="K30" s="86">
        <v>5</v>
      </c>
      <c r="L30" s="86">
        <f t="shared" si="2"/>
        <v>17.999999999999883</v>
      </c>
      <c r="M30" s="98"/>
      <c r="O30" s="86" t="s">
        <v>216</v>
      </c>
      <c r="P30" s="86">
        <v>22</v>
      </c>
      <c r="Q30" s="58">
        <v>5.15</v>
      </c>
      <c r="R30" s="96"/>
      <c r="S30" s="96"/>
      <c r="T30" s="53">
        <v>18.63</v>
      </c>
      <c r="U30" s="58">
        <f t="shared" si="3"/>
        <v>13.479999999999999</v>
      </c>
      <c r="V30" s="97">
        <v>7.3</v>
      </c>
      <c r="W30" s="58">
        <v>1</v>
      </c>
      <c r="X30" s="59">
        <f t="shared" si="4"/>
        <v>5.1799999999999988</v>
      </c>
      <c r="Y30" s="86">
        <v>5</v>
      </c>
      <c r="Z30" s="86">
        <f t="shared" si="5"/>
        <v>17.999999999999883</v>
      </c>
      <c r="AA30" s="98"/>
      <c r="AB30" s="86" t="s">
        <v>216</v>
      </c>
      <c r="AC30" s="86">
        <v>22</v>
      </c>
      <c r="AD30" s="58">
        <v>5.15</v>
      </c>
      <c r="AE30" s="96"/>
      <c r="AF30" s="96"/>
      <c r="AG30" s="53">
        <v>18.63</v>
      </c>
      <c r="AH30" s="58">
        <f t="shared" si="6"/>
        <v>13.479999999999999</v>
      </c>
      <c r="AI30" s="97">
        <v>7.3</v>
      </c>
      <c r="AJ30" s="58">
        <v>1</v>
      </c>
      <c r="AK30" s="59">
        <f t="shared" si="7"/>
        <v>5.1799999999999988</v>
      </c>
      <c r="AL30" s="86">
        <v>5</v>
      </c>
      <c r="AM30" s="86">
        <f t="shared" si="8"/>
        <v>17.999999999999883</v>
      </c>
      <c r="AN30" s="98"/>
      <c r="AP30" s="86" t="s">
        <v>216</v>
      </c>
      <c r="AQ30" s="86">
        <v>22</v>
      </c>
      <c r="AR30" s="58">
        <v>5.15</v>
      </c>
      <c r="AS30" s="96"/>
      <c r="AT30" s="96"/>
      <c r="AU30" s="53">
        <v>18.63</v>
      </c>
      <c r="AV30" s="58">
        <f t="shared" si="9"/>
        <v>13.479999999999999</v>
      </c>
      <c r="AW30" s="97">
        <v>7.3</v>
      </c>
      <c r="AX30" s="58">
        <v>1</v>
      </c>
      <c r="AY30" s="59">
        <f t="shared" si="10"/>
        <v>5.1799999999999988</v>
      </c>
      <c r="AZ30" s="86">
        <v>5</v>
      </c>
      <c r="BA30" s="86">
        <f t="shared" si="11"/>
        <v>17.999999999999883</v>
      </c>
      <c r="BB30" s="98"/>
      <c r="BC30" s="86" t="s">
        <v>216</v>
      </c>
      <c r="BD30" s="86">
        <v>22</v>
      </c>
      <c r="BE30" s="99">
        <v>5.5</v>
      </c>
      <c r="BF30" s="96"/>
      <c r="BG30" s="96"/>
      <c r="BH30" s="53">
        <v>18.63</v>
      </c>
      <c r="BI30" s="58">
        <f t="shared" si="12"/>
        <v>13.129999999999999</v>
      </c>
      <c r="BJ30" s="97">
        <v>7.3</v>
      </c>
      <c r="BK30" s="58">
        <v>1.4</v>
      </c>
      <c r="BL30" s="59">
        <f t="shared" si="13"/>
        <v>4.43</v>
      </c>
      <c r="BM30" s="86">
        <v>4</v>
      </c>
      <c r="BN30" s="86">
        <f t="shared" si="14"/>
        <v>42.999999999999972</v>
      </c>
      <c r="BO30" s="98"/>
      <c r="BQ30" s="86" t="s">
        <v>216</v>
      </c>
      <c r="BR30" s="86">
        <v>22</v>
      </c>
      <c r="BS30" s="58">
        <v>5.15</v>
      </c>
      <c r="BT30" s="96"/>
      <c r="BU30" s="96"/>
      <c r="BV30" s="53">
        <v>18.63</v>
      </c>
      <c r="BW30" s="58">
        <f t="shared" si="15"/>
        <v>13.479999999999999</v>
      </c>
      <c r="BX30" s="97">
        <v>7.3</v>
      </c>
      <c r="BY30" s="58">
        <v>1</v>
      </c>
      <c r="BZ30" s="59">
        <f t="shared" si="16"/>
        <v>5.1799999999999988</v>
      </c>
      <c r="CA30" s="86">
        <v>5</v>
      </c>
      <c r="CB30" s="86">
        <f t="shared" si="17"/>
        <v>17.999999999999883</v>
      </c>
      <c r="CC30" s="98"/>
      <c r="CE30" s="86" t="s">
        <v>216</v>
      </c>
      <c r="CF30" s="86">
        <v>22</v>
      </c>
      <c r="CG30" s="58">
        <v>5.15</v>
      </c>
      <c r="CH30" s="96"/>
      <c r="CI30" s="96"/>
      <c r="CJ30" s="53">
        <v>18.63</v>
      </c>
      <c r="CK30" s="58">
        <f t="shared" si="18"/>
        <v>13.479999999999999</v>
      </c>
      <c r="CL30" s="97">
        <v>7.3</v>
      </c>
      <c r="CM30" s="58">
        <v>1</v>
      </c>
      <c r="CN30" s="59">
        <f t="shared" si="19"/>
        <v>5.1799999999999988</v>
      </c>
      <c r="CO30" s="86">
        <v>5</v>
      </c>
      <c r="CP30" s="86">
        <f t="shared" si="20"/>
        <v>17.999999999999883</v>
      </c>
      <c r="CQ30" s="98"/>
      <c r="CS30" s="86"/>
      <c r="CT30" s="86"/>
      <c r="CU30" s="58"/>
      <c r="CV30" s="58"/>
      <c r="CW30" s="58"/>
      <c r="CX30" s="58"/>
      <c r="CY30" s="58"/>
      <c r="CZ30" s="97"/>
      <c r="DA30" s="58"/>
      <c r="DB30" s="59"/>
      <c r="DC30" s="86"/>
      <c r="DD30" s="86"/>
      <c r="DE30" s="98"/>
      <c r="DG30" s="86" t="s">
        <v>216</v>
      </c>
      <c r="DH30" s="86">
        <v>22</v>
      </c>
      <c r="DI30" s="58">
        <v>5.15</v>
      </c>
      <c r="DJ30" s="96"/>
      <c r="DK30" s="96"/>
      <c r="DL30" s="53">
        <v>18.63</v>
      </c>
      <c r="DM30" s="58">
        <f t="shared" si="21"/>
        <v>13.479999999999999</v>
      </c>
      <c r="DN30" s="97">
        <v>7.3</v>
      </c>
      <c r="DO30" s="58">
        <v>1</v>
      </c>
      <c r="DP30" s="59">
        <f t="shared" si="22"/>
        <v>5.1799999999999988</v>
      </c>
      <c r="DQ30" s="86">
        <v>5</v>
      </c>
      <c r="DR30" s="86">
        <f t="shared" si="23"/>
        <v>17.999999999999883</v>
      </c>
      <c r="DS30" s="98"/>
      <c r="DU30" s="86" t="s">
        <v>216</v>
      </c>
      <c r="DV30" s="86">
        <v>22</v>
      </c>
      <c r="DW30" s="58">
        <v>5.15</v>
      </c>
      <c r="DX30" s="96"/>
      <c r="DY30" s="96"/>
      <c r="DZ30" s="53">
        <v>18.63</v>
      </c>
      <c r="EA30" s="58">
        <f t="shared" si="24"/>
        <v>13.479999999999999</v>
      </c>
      <c r="EB30" s="97">
        <v>7.3</v>
      </c>
      <c r="EC30" s="58">
        <v>1</v>
      </c>
      <c r="ED30" s="59">
        <f t="shared" si="25"/>
        <v>5.1799999999999988</v>
      </c>
      <c r="EE30" s="86">
        <v>5</v>
      </c>
      <c r="EF30" s="86">
        <f t="shared" si="26"/>
        <v>17.999999999999883</v>
      </c>
      <c r="EG30" s="98"/>
    </row>
    <row r="31" spans="1:139" ht="17.149999999999999" customHeight="1" x14ac:dyDescent="0.35">
      <c r="A31" s="86" t="s">
        <v>2</v>
      </c>
      <c r="B31" s="86">
        <v>23</v>
      </c>
      <c r="C31" s="58">
        <v>5.15</v>
      </c>
      <c r="D31" s="96"/>
      <c r="E31" s="96"/>
      <c r="F31" s="53">
        <v>18.84</v>
      </c>
      <c r="G31" s="58">
        <f t="shared" si="0"/>
        <v>13.69</v>
      </c>
      <c r="H31" s="97">
        <v>7.3</v>
      </c>
      <c r="I31" s="58">
        <v>1</v>
      </c>
      <c r="J31" s="59">
        <f t="shared" si="1"/>
        <v>5.39</v>
      </c>
      <c r="K31" s="86">
        <v>5</v>
      </c>
      <c r="L31" s="86">
        <f t="shared" si="2"/>
        <v>38.999999999999972</v>
      </c>
      <c r="M31" s="98"/>
      <c r="O31" s="86" t="s">
        <v>2</v>
      </c>
      <c r="P31" s="86">
        <v>23</v>
      </c>
      <c r="Q31" s="58">
        <v>5.15</v>
      </c>
      <c r="R31" s="96"/>
      <c r="S31" s="96"/>
      <c r="T31" s="53">
        <v>18.84</v>
      </c>
      <c r="U31" s="58">
        <f t="shared" si="3"/>
        <v>13.69</v>
      </c>
      <c r="V31" s="97">
        <v>7.3</v>
      </c>
      <c r="W31" s="58">
        <v>1</v>
      </c>
      <c r="X31" s="59">
        <f t="shared" si="4"/>
        <v>5.39</v>
      </c>
      <c r="Y31" s="86">
        <v>5</v>
      </c>
      <c r="Z31" s="86">
        <f t="shared" si="5"/>
        <v>38.999999999999972</v>
      </c>
      <c r="AA31" s="98"/>
      <c r="AB31" s="86" t="s">
        <v>2</v>
      </c>
      <c r="AC31" s="86">
        <v>23</v>
      </c>
      <c r="AD31" s="58">
        <v>5.15</v>
      </c>
      <c r="AE31" s="96"/>
      <c r="AF31" s="96"/>
      <c r="AG31" s="53">
        <v>18.84</v>
      </c>
      <c r="AH31" s="58">
        <f t="shared" si="6"/>
        <v>13.69</v>
      </c>
      <c r="AI31" s="97">
        <v>7.3</v>
      </c>
      <c r="AJ31" s="58">
        <v>1</v>
      </c>
      <c r="AK31" s="59">
        <f t="shared" si="7"/>
        <v>5.39</v>
      </c>
      <c r="AL31" s="86">
        <v>5</v>
      </c>
      <c r="AM31" s="86">
        <f t="shared" si="8"/>
        <v>38.999999999999972</v>
      </c>
      <c r="AN31" s="98"/>
      <c r="AP31" s="86" t="s">
        <v>2</v>
      </c>
      <c r="AQ31" s="86">
        <v>23</v>
      </c>
      <c r="AR31" s="58">
        <v>5.15</v>
      </c>
      <c r="AS31" s="96"/>
      <c r="AT31" s="96"/>
      <c r="AU31" s="53">
        <v>18.84</v>
      </c>
      <c r="AV31" s="58">
        <f t="shared" si="9"/>
        <v>13.69</v>
      </c>
      <c r="AW31" s="97">
        <v>7.3</v>
      </c>
      <c r="AX31" s="58">
        <v>1</v>
      </c>
      <c r="AY31" s="59">
        <f t="shared" si="10"/>
        <v>5.39</v>
      </c>
      <c r="AZ31" s="86">
        <v>5</v>
      </c>
      <c r="BA31" s="86">
        <f t="shared" si="11"/>
        <v>38.999999999999972</v>
      </c>
      <c r="BB31" s="98"/>
      <c r="BC31" s="86" t="s">
        <v>2</v>
      </c>
      <c r="BD31" s="86">
        <v>23</v>
      </c>
      <c r="BE31" s="58">
        <v>5.15</v>
      </c>
      <c r="BF31" s="96"/>
      <c r="BG31" s="96"/>
      <c r="BH31" s="53">
        <v>18.84</v>
      </c>
      <c r="BI31" s="58">
        <f t="shared" si="12"/>
        <v>13.69</v>
      </c>
      <c r="BJ31" s="97">
        <v>7.3</v>
      </c>
      <c r="BK31" s="58">
        <v>1</v>
      </c>
      <c r="BL31" s="59">
        <f t="shared" si="13"/>
        <v>5.39</v>
      </c>
      <c r="BM31" s="86">
        <v>5</v>
      </c>
      <c r="BN31" s="86">
        <f t="shared" si="14"/>
        <v>38.999999999999972</v>
      </c>
      <c r="BO31" s="98"/>
      <c r="BQ31" s="86" t="s">
        <v>2</v>
      </c>
      <c r="BR31" s="86">
        <v>23</v>
      </c>
      <c r="BS31" s="58">
        <v>5.15</v>
      </c>
      <c r="BT31" s="96"/>
      <c r="BU31" s="96"/>
      <c r="BV31" s="53">
        <v>18.84</v>
      </c>
      <c r="BW31" s="58">
        <f t="shared" si="15"/>
        <v>13.69</v>
      </c>
      <c r="BX31" s="97">
        <v>7.3</v>
      </c>
      <c r="BY31" s="58">
        <v>1</v>
      </c>
      <c r="BZ31" s="59">
        <f t="shared" si="16"/>
        <v>5.39</v>
      </c>
      <c r="CA31" s="86">
        <v>5</v>
      </c>
      <c r="CB31" s="86">
        <f t="shared" si="17"/>
        <v>38.999999999999972</v>
      </c>
      <c r="CC31" s="98"/>
      <c r="CE31" s="86" t="s">
        <v>2</v>
      </c>
      <c r="CF31" s="86">
        <v>23</v>
      </c>
      <c r="CG31" s="58">
        <v>5.15</v>
      </c>
      <c r="CH31" s="96"/>
      <c r="CI31" s="96"/>
      <c r="CJ31" s="53">
        <v>18.84</v>
      </c>
      <c r="CK31" s="58">
        <f t="shared" si="18"/>
        <v>13.69</v>
      </c>
      <c r="CL31" s="97">
        <v>7.3</v>
      </c>
      <c r="CM31" s="58">
        <v>1</v>
      </c>
      <c r="CN31" s="59">
        <f t="shared" si="19"/>
        <v>5.39</v>
      </c>
      <c r="CO31" s="86">
        <v>5</v>
      </c>
      <c r="CP31" s="86">
        <f t="shared" si="20"/>
        <v>38.999999999999972</v>
      </c>
      <c r="CQ31" s="98"/>
      <c r="CS31" s="55"/>
      <c r="CT31" s="55"/>
      <c r="CU31" s="52"/>
      <c r="CV31" s="52"/>
      <c r="CW31" s="52"/>
      <c r="CX31" s="52"/>
      <c r="CY31" s="52"/>
      <c r="CZ31" s="56"/>
      <c r="DA31" s="52"/>
      <c r="DB31" s="57"/>
      <c r="DC31" s="55"/>
      <c r="DD31" s="82"/>
      <c r="DE31" s="95"/>
      <c r="DG31" s="86" t="s">
        <v>2</v>
      </c>
      <c r="DH31" s="86">
        <v>23</v>
      </c>
      <c r="DI31" s="58">
        <v>5.15</v>
      </c>
      <c r="DJ31" s="96"/>
      <c r="DK31" s="96"/>
      <c r="DL31" s="53">
        <v>18.84</v>
      </c>
      <c r="DM31" s="58">
        <f t="shared" si="21"/>
        <v>13.69</v>
      </c>
      <c r="DN31" s="97">
        <v>7.3</v>
      </c>
      <c r="DO31" s="58">
        <v>1</v>
      </c>
      <c r="DP31" s="59">
        <f t="shared" si="22"/>
        <v>5.39</v>
      </c>
      <c r="DQ31" s="86">
        <v>5</v>
      </c>
      <c r="DR31" s="86">
        <f t="shared" si="23"/>
        <v>38.999999999999972</v>
      </c>
      <c r="DS31" s="98"/>
      <c r="DU31" s="86" t="s">
        <v>2</v>
      </c>
      <c r="DV31" s="86">
        <v>23</v>
      </c>
      <c r="DW31" s="58">
        <v>5.15</v>
      </c>
      <c r="DX31" s="96"/>
      <c r="DY31" s="96"/>
      <c r="DZ31" s="53">
        <v>18.84</v>
      </c>
      <c r="EA31" s="58">
        <f t="shared" si="24"/>
        <v>13.69</v>
      </c>
      <c r="EB31" s="97">
        <v>7.3</v>
      </c>
      <c r="EC31" s="58">
        <v>1</v>
      </c>
      <c r="ED31" s="59">
        <f t="shared" si="25"/>
        <v>5.39</v>
      </c>
      <c r="EE31" s="86">
        <v>5</v>
      </c>
      <c r="EF31" s="86">
        <f t="shared" si="26"/>
        <v>38.999999999999972</v>
      </c>
      <c r="EG31" s="98"/>
    </row>
    <row r="32" spans="1:139" s="54" customFormat="1" ht="17.149999999999999" customHeight="1" x14ac:dyDescent="0.35">
      <c r="A32" s="86" t="s">
        <v>225</v>
      </c>
      <c r="B32" s="86">
        <v>24</v>
      </c>
      <c r="C32" s="58">
        <v>5.15</v>
      </c>
      <c r="D32" s="96"/>
      <c r="E32" s="96"/>
      <c r="F32" s="53">
        <v>18.440000000000001</v>
      </c>
      <c r="G32" s="58">
        <f t="shared" si="0"/>
        <v>13.290000000000001</v>
      </c>
      <c r="H32" s="97">
        <v>7.3</v>
      </c>
      <c r="I32" s="58">
        <v>1.4</v>
      </c>
      <c r="J32" s="59">
        <f t="shared" si="1"/>
        <v>4.5900000000000016</v>
      </c>
      <c r="K32" s="86">
        <v>4</v>
      </c>
      <c r="L32" s="86">
        <f t="shared" si="2"/>
        <v>59.000000000000163</v>
      </c>
      <c r="M32" s="98"/>
      <c r="N32"/>
      <c r="O32" s="86" t="s">
        <v>225</v>
      </c>
      <c r="P32" s="86">
        <v>24</v>
      </c>
      <c r="Q32" s="58">
        <v>5.15</v>
      </c>
      <c r="R32" s="96"/>
      <c r="S32" s="96"/>
      <c r="T32" s="53">
        <v>18.440000000000001</v>
      </c>
      <c r="U32" s="58">
        <f t="shared" si="3"/>
        <v>13.290000000000001</v>
      </c>
      <c r="V32" s="97">
        <v>7.3</v>
      </c>
      <c r="W32" s="58">
        <v>1.4</v>
      </c>
      <c r="X32" s="59">
        <f t="shared" si="4"/>
        <v>4.5900000000000016</v>
      </c>
      <c r="Y32" s="86">
        <v>4</v>
      </c>
      <c r="Z32" s="86">
        <f t="shared" si="5"/>
        <v>59.000000000000163</v>
      </c>
      <c r="AA32" s="98"/>
      <c r="AB32" s="86" t="s">
        <v>225</v>
      </c>
      <c r="AC32" s="86">
        <v>24</v>
      </c>
      <c r="AD32" s="58">
        <v>5.15</v>
      </c>
      <c r="AE32" s="96"/>
      <c r="AF32" s="96"/>
      <c r="AG32" s="53">
        <v>18.440000000000001</v>
      </c>
      <c r="AH32" s="58">
        <f t="shared" si="6"/>
        <v>13.290000000000001</v>
      </c>
      <c r="AI32" s="97">
        <v>7.3</v>
      </c>
      <c r="AJ32" s="58">
        <v>1.4</v>
      </c>
      <c r="AK32" s="59">
        <f t="shared" si="7"/>
        <v>4.5900000000000016</v>
      </c>
      <c r="AL32" s="86">
        <v>4</v>
      </c>
      <c r="AM32" s="86">
        <f t="shared" si="8"/>
        <v>59.000000000000163</v>
      </c>
      <c r="AN32" s="98"/>
      <c r="AO32"/>
      <c r="AP32" s="86" t="s">
        <v>225</v>
      </c>
      <c r="AQ32" s="86">
        <v>24</v>
      </c>
      <c r="AR32" s="58">
        <v>5.15</v>
      </c>
      <c r="AS32" s="96"/>
      <c r="AT32" s="96"/>
      <c r="AU32" s="53">
        <v>18.440000000000001</v>
      </c>
      <c r="AV32" s="58">
        <f t="shared" si="9"/>
        <v>13.290000000000001</v>
      </c>
      <c r="AW32" s="97">
        <v>7.3</v>
      </c>
      <c r="AX32" s="58">
        <v>1.4</v>
      </c>
      <c r="AY32" s="59">
        <f t="shared" si="10"/>
        <v>4.5900000000000016</v>
      </c>
      <c r="AZ32" s="86">
        <v>4</v>
      </c>
      <c r="BA32" s="86">
        <f t="shared" si="11"/>
        <v>59.000000000000163</v>
      </c>
      <c r="BB32" s="98"/>
      <c r="BC32" s="86" t="s">
        <v>225</v>
      </c>
      <c r="BD32" s="86">
        <v>24</v>
      </c>
      <c r="BE32" s="58">
        <v>5.15</v>
      </c>
      <c r="BF32" s="96"/>
      <c r="BG32" s="96"/>
      <c r="BH32" s="53">
        <v>18.440000000000001</v>
      </c>
      <c r="BI32" s="58">
        <f t="shared" si="12"/>
        <v>13.290000000000001</v>
      </c>
      <c r="BJ32" s="97">
        <v>7.3</v>
      </c>
      <c r="BK32" s="58">
        <v>1.4</v>
      </c>
      <c r="BL32" s="59">
        <f t="shared" si="13"/>
        <v>4.5900000000000016</v>
      </c>
      <c r="BM32" s="86">
        <v>4</v>
      </c>
      <c r="BN32" s="86">
        <f t="shared" si="14"/>
        <v>59.000000000000163</v>
      </c>
      <c r="BO32" s="98"/>
      <c r="BP32"/>
      <c r="BQ32" s="86" t="s">
        <v>225</v>
      </c>
      <c r="BR32" s="86">
        <v>24</v>
      </c>
      <c r="BS32" s="58">
        <v>5.15</v>
      </c>
      <c r="BT32" s="96"/>
      <c r="BU32" s="96"/>
      <c r="BV32" s="53">
        <v>18.440000000000001</v>
      </c>
      <c r="BW32" s="58">
        <f t="shared" si="15"/>
        <v>13.290000000000001</v>
      </c>
      <c r="BX32" s="97">
        <v>7.3</v>
      </c>
      <c r="BY32" s="58">
        <v>1.4</v>
      </c>
      <c r="BZ32" s="59">
        <f t="shared" si="16"/>
        <v>4.5900000000000016</v>
      </c>
      <c r="CA32" s="86">
        <v>4</v>
      </c>
      <c r="CB32" s="86">
        <f t="shared" si="17"/>
        <v>59.000000000000163</v>
      </c>
      <c r="CC32" s="98"/>
      <c r="CD32"/>
      <c r="CE32" s="86" t="s">
        <v>225</v>
      </c>
      <c r="CF32" s="86">
        <v>24</v>
      </c>
      <c r="CG32" s="58">
        <v>5.15</v>
      </c>
      <c r="CH32" s="96"/>
      <c r="CI32" s="96"/>
      <c r="CJ32" s="53">
        <v>18.440000000000001</v>
      </c>
      <c r="CK32" s="58">
        <f t="shared" si="18"/>
        <v>13.290000000000001</v>
      </c>
      <c r="CL32" s="97">
        <v>7.3</v>
      </c>
      <c r="CM32" s="58">
        <v>1.4</v>
      </c>
      <c r="CN32" s="59">
        <f t="shared" si="19"/>
        <v>4.5900000000000016</v>
      </c>
      <c r="CO32" s="86">
        <v>4</v>
      </c>
      <c r="CP32" s="86">
        <f t="shared" si="20"/>
        <v>59.000000000000163</v>
      </c>
      <c r="CQ32" s="98"/>
      <c r="CR32"/>
      <c r="CS32" s="86"/>
      <c r="CT32" s="86"/>
      <c r="CU32" s="58"/>
      <c r="CV32" s="96"/>
      <c r="CW32" s="96"/>
      <c r="CX32" s="58"/>
      <c r="CY32" s="58"/>
      <c r="CZ32" s="97"/>
      <c r="DA32" s="58"/>
      <c r="DB32" s="59"/>
      <c r="DC32" s="86"/>
      <c r="DD32" s="86"/>
      <c r="DE32" s="98"/>
      <c r="DF32"/>
      <c r="DG32" s="86" t="s">
        <v>225</v>
      </c>
      <c r="DH32" s="86">
        <v>24</v>
      </c>
      <c r="DI32" s="58"/>
      <c r="DJ32" s="96"/>
      <c r="DK32" s="96"/>
      <c r="DL32" s="53"/>
      <c r="DM32" s="58"/>
      <c r="DN32" s="97"/>
      <c r="DO32" s="58"/>
      <c r="DP32" s="59"/>
      <c r="DQ32" s="86"/>
      <c r="DR32" s="86"/>
      <c r="DS32" s="98" t="s">
        <v>227</v>
      </c>
      <c r="DT32"/>
      <c r="DU32" s="86" t="s">
        <v>225</v>
      </c>
      <c r="DV32" s="86">
        <v>24</v>
      </c>
      <c r="DW32" s="58">
        <v>5.15</v>
      </c>
      <c r="DX32" s="96"/>
      <c r="DY32" s="96"/>
      <c r="DZ32" s="53">
        <v>18.440000000000001</v>
      </c>
      <c r="EA32" s="58">
        <f t="shared" si="24"/>
        <v>13.290000000000001</v>
      </c>
      <c r="EB32" s="97">
        <v>7.3</v>
      </c>
      <c r="EC32" s="58">
        <v>1.4</v>
      </c>
      <c r="ED32" s="59">
        <f t="shared" si="25"/>
        <v>4.5900000000000016</v>
      </c>
      <c r="EE32" s="86">
        <v>4</v>
      </c>
      <c r="EF32" s="86">
        <f t="shared" si="26"/>
        <v>59.000000000000163</v>
      </c>
      <c r="EG32" s="98"/>
      <c r="EH32"/>
      <c r="EI32"/>
    </row>
    <row r="33" spans="1:139" ht="17.149999999999999" customHeight="1" x14ac:dyDescent="0.35">
      <c r="A33" s="86" t="s">
        <v>4</v>
      </c>
      <c r="B33" s="86">
        <v>25</v>
      </c>
      <c r="C33" s="58">
        <v>5.15</v>
      </c>
      <c r="D33" s="96"/>
      <c r="E33" s="96"/>
      <c r="F33" s="53">
        <v>18.760000000000002</v>
      </c>
      <c r="G33" s="58">
        <f t="shared" si="0"/>
        <v>13.610000000000001</v>
      </c>
      <c r="H33" s="97">
        <v>7.3</v>
      </c>
      <c r="I33" s="58">
        <v>1</v>
      </c>
      <c r="J33" s="59">
        <f t="shared" si="1"/>
        <v>5.3100000000000014</v>
      </c>
      <c r="K33" s="86">
        <v>5</v>
      </c>
      <c r="L33" s="86">
        <f t="shared" si="2"/>
        <v>31.000000000000139</v>
      </c>
      <c r="M33" s="98"/>
      <c r="O33" s="86" t="s">
        <v>4</v>
      </c>
      <c r="P33" s="86">
        <v>25</v>
      </c>
      <c r="Q33" s="58">
        <v>5.15</v>
      </c>
      <c r="R33" s="96"/>
      <c r="S33" s="96"/>
      <c r="T33" s="53">
        <v>18.760000000000002</v>
      </c>
      <c r="U33" s="58">
        <f t="shared" si="3"/>
        <v>13.610000000000001</v>
      </c>
      <c r="V33" s="97">
        <v>7.3</v>
      </c>
      <c r="W33" s="58">
        <v>1</v>
      </c>
      <c r="X33" s="59">
        <f t="shared" si="4"/>
        <v>5.3100000000000014</v>
      </c>
      <c r="Y33" s="86">
        <v>5</v>
      </c>
      <c r="Z33" s="86">
        <f t="shared" si="5"/>
        <v>31.000000000000139</v>
      </c>
      <c r="AA33" s="98"/>
      <c r="AB33" s="86" t="s">
        <v>4</v>
      </c>
      <c r="AC33" s="86">
        <v>25</v>
      </c>
      <c r="AD33" s="58">
        <v>5.15</v>
      </c>
      <c r="AE33" s="96"/>
      <c r="AF33" s="96"/>
      <c r="AG33" s="53">
        <v>18.760000000000002</v>
      </c>
      <c r="AH33" s="58">
        <f t="shared" si="6"/>
        <v>13.610000000000001</v>
      </c>
      <c r="AI33" s="97">
        <v>7.3</v>
      </c>
      <c r="AJ33" s="58">
        <v>1</v>
      </c>
      <c r="AK33" s="59">
        <f t="shared" si="7"/>
        <v>5.3100000000000014</v>
      </c>
      <c r="AL33" s="86">
        <v>5</v>
      </c>
      <c r="AM33" s="86">
        <f t="shared" si="8"/>
        <v>31.000000000000139</v>
      </c>
      <c r="AN33" s="98"/>
      <c r="AP33" s="86" t="s">
        <v>4</v>
      </c>
      <c r="AQ33" s="86">
        <v>25</v>
      </c>
      <c r="AR33" s="58">
        <v>5.15</v>
      </c>
      <c r="AS33" s="96"/>
      <c r="AT33" s="96"/>
      <c r="AU33" s="53">
        <v>18.760000000000002</v>
      </c>
      <c r="AV33" s="58">
        <f t="shared" si="9"/>
        <v>13.610000000000001</v>
      </c>
      <c r="AW33" s="97">
        <v>7.3</v>
      </c>
      <c r="AX33" s="58">
        <v>1</v>
      </c>
      <c r="AY33" s="59">
        <f t="shared" si="10"/>
        <v>5.3100000000000014</v>
      </c>
      <c r="AZ33" s="86">
        <v>5</v>
      </c>
      <c r="BA33" s="86">
        <f t="shared" si="11"/>
        <v>31.000000000000139</v>
      </c>
      <c r="BB33" s="98"/>
      <c r="BC33" s="86" t="s">
        <v>4</v>
      </c>
      <c r="BD33" s="86">
        <v>25</v>
      </c>
      <c r="BE33" s="58">
        <v>5.15</v>
      </c>
      <c r="BF33" s="96"/>
      <c r="BG33" s="96"/>
      <c r="BH33" s="53">
        <v>18.760000000000002</v>
      </c>
      <c r="BI33" s="58">
        <f t="shared" si="12"/>
        <v>13.610000000000001</v>
      </c>
      <c r="BJ33" s="97">
        <v>7.3</v>
      </c>
      <c r="BK33" s="58">
        <v>1</v>
      </c>
      <c r="BL33" s="59">
        <f t="shared" si="13"/>
        <v>5.3100000000000014</v>
      </c>
      <c r="BM33" s="86">
        <v>5</v>
      </c>
      <c r="BN33" s="86">
        <f t="shared" si="14"/>
        <v>31.000000000000139</v>
      </c>
      <c r="BO33" s="98"/>
      <c r="BQ33" s="86" t="s">
        <v>4</v>
      </c>
      <c r="BR33" s="86">
        <v>25</v>
      </c>
      <c r="BS33" s="58">
        <v>5.15</v>
      </c>
      <c r="BT33" s="96"/>
      <c r="BU33" s="96"/>
      <c r="BV33" s="53">
        <v>18.760000000000002</v>
      </c>
      <c r="BW33" s="58">
        <f t="shared" si="15"/>
        <v>13.610000000000001</v>
      </c>
      <c r="BX33" s="97">
        <v>7.3</v>
      </c>
      <c r="BY33" s="58">
        <v>1</v>
      </c>
      <c r="BZ33" s="59">
        <f t="shared" si="16"/>
        <v>5.3100000000000014</v>
      </c>
      <c r="CA33" s="86">
        <v>5</v>
      </c>
      <c r="CB33" s="86">
        <f t="shared" si="17"/>
        <v>31.000000000000139</v>
      </c>
      <c r="CC33" s="98"/>
      <c r="CE33" s="86" t="s">
        <v>4</v>
      </c>
      <c r="CF33" s="86">
        <v>25</v>
      </c>
      <c r="CG33" s="58">
        <v>5.15</v>
      </c>
      <c r="CH33" s="96"/>
      <c r="CI33" s="96"/>
      <c r="CJ33" s="53">
        <v>18.760000000000002</v>
      </c>
      <c r="CK33" s="58">
        <f t="shared" si="18"/>
        <v>13.610000000000001</v>
      </c>
      <c r="CL33" s="97">
        <v>7.3</v>
      </c>
      <c r="CM33" s="58">
        <v>1</v>
      </c>
      <c r="CN33" s="59">
        <f t="shared" si="19"/>
        <v>5.3100000000000014</v>
      </c>
      <c r="CO33" s="86">
        <v>5</v>
      </c>
      <c r="CP33" s="86">
        <f t="shared" si="20"/>
        <v>31.000000000000139</v>
      </c>
      <c r="CQ33" s="98"/>
      <c r="CS33" s="86"/>
      <c r="CT33" s="86"/>
      <c r="CU33" s="58"/>
      <c r="CV33" s="96"/>
      <c r="CW33" s="96"/>
      <c r="CX33" s="58"/>
      <c r="CY33" s="58"/>
      <c r="CZ33" s="97"/>
      <c r="DA33" s="58"/>
      <c r="DB33" s="59"/>
      <c r="DC33" s="86"/>
      <c r="DD33" s="86"/>
      <c r="DE33" s="98"/>
      <c r="DG33" s="86" t="s">
        <v>4</v>
      </c>
      <c r="DH33" s="86">
        <v>25</v>
      </c>
      <c r="DI33" s="58">
        <v>5.15</v>
      </c>
      <c r="DJ33" s="96"/>
      <c r="DK33" s="96"/>
      <c r="DL33" s="53">
        <v>18.760000000000002</v>
      </c>
      <c r="DM33" s="58">
        <f t="shared" si="21"/>
        <v>13.610000000000001</v>
      </c>
      <c r="DN33" s="97">
        <v>7.3</v>
      </c>
      <c r="DO33" s="58">
        <v>1</v>
      </c>
      <c r="DP33" s="59">
        <f t="shared" si="22"/>
        <v>5.3100000000000014</v>
      </c>
      <c r="DQ33" s="86">
        <v>5</v>
      </c>
      <c r="DR33" s="86">
        <f t="shared" si="23"/>
        <v>31.000000000000139</v>
      </c>
      <c r="DS33" s="98"/>
      <c r="DU33" s="86" t="s">
        <v>4</v>
      </c>
      <c r="DV33" s="86">
        <v>25</v>
      </c>
      <c r="DW33" s="58">
        <v>5.15</v>
      </c>
      <c r="DX33" s="96"/>
      <c r="DY33" s="96"/>
      <c r="DZ33" s="53">
        <v>18.760000000000002</v>
      </c>
      <c r="EA33" s="58">
        <f t="shared" si="24"/>
        <v>13.610000000000001</v>
      </c>
      <c r="EB33" s="97">
        <v>7.3</v>
      </c>
      <c r="EC33" s="58">
        <v>1</v>
      </c>
      <c r="ED33" s="59">
        <f t="shared" si="25"/>
        <v>5.3100000000000014</v>
      </c>
      <c r="EE33" s="86">
        <v>5</v>
      </c>
      <c r="EF33" s="86">
        <f t="shared" si="26"/>
        <v>31.000000000000139</v>
      </c>
      <c r="EG33" s="98"/>
    </row>
    <row r="34" spans="1:139" ht="17.149999999999999" customHeight="1" x14ac:dyDescent="0.35">
      <c r="A34" s="86" t="s">
        <v>5</v>
      </c>
      <c r="B34" s="86">
        <v>26</v>
      </c>
      <c r="C34" s="58">
        <v>5.15</v>
      </c>
      <c r="D34" s="96"/>
      <c r="E34" s="96"/>
      <c r="F34" s="53">
        <v>18.559999999999999</v>
      </c>
      <c r="G34" s="58">
        <f t="shared" si="0"/>
        <v>13.409999999999998</v>
      </c>
      <c r="H34" s="97">
        <v>7.3</v>
      </c>
      <c r="I34" s="58">
        <v>1</v>
      </c>
      <c r="J34" s="59">
        <f t="shared" si="1"/>
        <v>5.1099999999999985</v>
      </c>
      <c r="K34" s="86">
        <v>5</v>
      </c>
      <c r="L34" s="86">
        <f t="shared" si="2"/>
        <v>10.999999999999854</v>
      </c>
      <c r="M34" s="98"/>
      <c r="O34" s="86" t="s">
        <v>5</v>
      </c>
      <c r="P34" s="86">
        <v>26</v>
      </c>
      <c r="Q34" s="58">
        <v>5.15</v>
      </c>
      <c r="R34" s="96"/>
      <c r="S34" s="96"/>
      <c r="T34" s="53">
        <v>18.559999999999999</v>
      </c>
      <c r="U34" s="58">
        <f t="shared" si="3"/>
        <v>13.409999999999998</v>
      </c>
      <c r="V34" s="97">
        <v>7.3</v>
      </c>
      <c r="W34" s="58">
        <v>1</v>
      </c>
      <c r="X34" s="59">
        <f t="shared" si="4"/>
        <v>5.1099999999999985</v>
      </c>
      <c r="Y34" s="86">
        <v>5</v>
      </c>
      <c r="Z34" s="86">
        <f t="shared" si="5"/>
        <v>10.999999999999854</v>
      </c>
      <c r="AA34" s="98"/>
      <c r="AB34" s="86" t="s">
        <v>5</v>
      </c>
      <c r="AC34" s="86">
        <v>26</v>
      </c>
      <c r="AD34" s="58">
        <v>5.15</v>
      </c>
      <c r="AE34" s="96"/>
      <c r="AF34" s="96"/>
      <c r="AG34" s="53">
        <v>18.559999999999999</v>
      </c>
      <c r="AH34" s="58">
        <f t="shared" si="6"/>
        <v>13.409999999999998</v>
      </c>
      <c r="AI34" s="97">
        <v>7.3</v>
      </c>
      <c r="AJ34" s="58">
        <v>1</v>
      </c>
      <c r="AK34" s="59">
        <f t="shared" si="7"/>
        <v>5.1099999999999985</v>
      </c>
      <c r="AL34" s="86">
        <v>5</v>
      </c>
      <c r="AM34" s="86">
        <f t="shared" si="8"/>
        <v>10.999999999999854</v>
      </c>
      <c r="AN34" s="98"/>
      <c r="AP34" s="86" t="s">
        <v>5</v>
      </c>
      <c r="AQ34" s="86">
        <v>26</v>
      </c>
      <c r="AR34" s="58">
        <v>5.15</v>
      </c>
      <c r="AS34" s="96"/>
      <c r="AT34" s="96"/>
      <c r="AU34" s="53">
        <v>18.559999999999999</v>
      </c>
      <c r="AV34" s="58">
        <f t="shared" si="9"/>
        <v>13.409999999999998</v>
      </c>
      <c r="AW34" s="97">
        <v>7.3</v>
      </c>
      <c r="AX34" s="58">
        <v>1</v>
      </c>
      <c r="AY34" s="59">
        <f t="shared" si="10"/>
        <v>5.1099999999999985</v>
      </c>
      <c r="AZ34" s="86">
        <v>5</v>
      </c>
      <c r="BA34" s="86">
        <f t="shared" si="11"/>
        <v>10.999999999999854</v>
      </c>
      <c r="BB34" s="98"/>
      <c r="BC34" s="86" t="s">
        <v>5</v>
      </c>
      <c r="BD34" s="86">
        <v>26</v>
      </c>
      <c r="BE34" s="58">
        <v>5.15</v>
      </c>
      <c r="BF34" s="96"/>
      <c r="BG34" s="96"/>
      <c r="BH34" s="53">
        <v>18.559999999999999</v>
      </c>
      <c r="BI34" s="58">
        <f t="shared" si="12"/>
        <v>13.409999999999998</v>
      </c>
      <c r="BJ34" s="97">
        <v>7.3</v>
      </c>
      <c r="BK34" s="58">
        <v>1</v>
      </c>
      <c r="BL34" s="59">
        <f t="shared" si="13"/>
        <v>5.1099999999999985</v>
      </c>
      <c r="BM34" s="86">
        <v>5</v>
      </c>
      <c r="BN34" s="86">
        <f t="shared" si="14"/>
        <v>10.999999999999854</v>
      </c>
      <c r="BO34" s="98"/>
      <c r="BQ34" s="86" t="s">
        <v>5</v>
      </c>
      <c r="BR34" s="86">
        <v>26</v>
      </c>
      <c r="BS34" s="58">
        <v>5.15</v>
      </c>
      <c r="BT34" s="96"/>
      <c r="BU34" s="96"/>
      <c r="BV34" s="53">
        <v>18.559999999999999</v>
      </c>
      <c r="BW34" s="58">
        <f t="shared" si="15"/>
        <v>13.409999999999998</v>
      </c>
      <c r="BX34" s="97">
        <v>7.3</v>
      </c>
      <c r="BY34" s="58">
        <v>1</v>
      </c>
      <c r="BZ34" s="59">
        <f t="shared" si="16"/>
        <v>5.1099999999999985</v>
      </c>
      <c r="CA34" s="86">
        <v>5</v>
      </c>
      <c r="CB34" s="86">
        <f t="shared" si="17"/>
        <v>10.999999999999854</v>
      </c>
      <c r="CC34" s="98"/>
      <c r="CE34" s="86" t="s">
        <v>5</v>
      </c>
      <c r="CF34" s="86">
        <v>26</v>
      </c>
      <c r="CG34" s="58">
        <v>5.15</v>
      </c>
      <c r="CH34" s="96"/>
      <c r="CI34" s="96"/>
      <c r="CJ34" s="53">
        <v>18.559999999999999</v>
      </c>
      <c r="CK34" s="58">
        <f t="shared" si="18"/>
        <v>13.409999999999998</v>
      </c>
      <c r="CL34" s="97">
        <v>7.3</v>
      </c>
      <c r="CM34" s="58">
        <v>1</v>
      </c>
      <c r="CN34" s="59">
        <f t="shared" si="19"/>
        <v>5.1099999999999985</v>
      </c>
      <c r="CO34" s="86">
        <v>5</v>
      </c>
      <c r="CP34" s="86">
        <f t="shared" si="20"/>
        <v>10.999999999999854</v>
      </c>
      <c r="CQ34" s="98"/>
      <c r="CS34" s="86"/>
      <c r="CT34" s="86"/>
      <c r="CU34" s="58"/>
      <c r="CV34" s="58"/>
      <c r="CW34" s="58"/>
      <c r="CX34" s="58"/>
      <c r="CY34" s="58"/>
      <c r="CZ34" s="97"/>
      <c r="DA34" s="58"/>
      <c r="DB34" s="59"/>
      <c r="DC34" s="86"/>
      <c r="DD34" s="86"/>
      <c r="DE34" s="98"/>
      <c r="DG34" s="86" t="s">
        <v>5</v>
      </c>
      <c r="DH34" s="86">
        <v>26</v>
      </c>
      <c r="DI34" s="58">
        <v>5.15</v>
      </c>
      <c r="DJ34" s="96"/>
      <c r="DK34" s="96"/>
      <c r="DL34" s="53">
        <v>18.559999999999999</v>
      </c>
      <c r="DM34" s="58">
        <f t="shared" si="21"/>
        <v>13.409999999999998</v>
      </c>
      <c r="DN34" s="97">
        <v>7.3</v>
      </c>
      <c r="DO34" s="58">
        <v>1</v>
      </c>
      <c r="DP34" s="59">
        <f t="shared" si="22"/>
        <v>5.1099999999999985</v>
      </c>
      <c r="DQ34" s="86">
        <v>5</v>
      </c>
      <c r="DR34" s="86">
        <f t="shared" si="23"/>
        <v>10.999999999999854</v>
      </c>
      <c r="DS34" s="98"/>
      <c r="DU34" s="86" t="s">
        <v>5</v>
      </c>
      <c r="DV34" s="86">
        <v>26</v>
      </c>
      <c r="DW34" s="58">
        <v>5.15</v>
      </c>
      <c r="DX34" s="96"/>
      <c r="DY34" s="96"/>
      <c r="DZ34" s="53">
        <v>18.559999999999999</v>
      </c>
      <c r="EA34" s="58">
        <f t="shared" si="24"/>
        <v>13.409999999999998</v>
      </c>
      <c r="EB34" s="97">
        <v>7.3</v>
      </c>
      <c r="EC34" s="58">
        <v>1</v>
      </c>
      <c r="ED34" s="59">
        <f t="shared" si="25"/>
        <v>5.1099999999999985</v>
      </c>
      <c r="EE34" s="86">
        <v>5</v>
      </c>
      <c r="EF34" s="86">
        <f t="shared" si="26"/>
        <v>10.999999999999854</v>
      </c>
      <c r="EG34" s="98"/>
    </row>
    <row r="35" spans="1:139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>
        <v>0</v>
      </c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>
        <v>13.15</v>
      </c>
      <c r="T35" s="52">
        <v>15.68</v>
      </c>
      <c r="U35" s="52">
        <f t="shared" si="3"/>
        <v>2.5299999999999994</v>
      </c>
      <c r="V35" s="56"/>
      <c r="W35" s="52"/>
      <c r="X35" s="57">
        <f t="shared" si="4"/>
        <v>2.5299999999999994</v>
      </c>
      <c r="Y35" s="55">
        <v>2</v>
      </c>
      <c r="Z35" s="55">
        <f t="shared" si="5"/>
        <v>52.999999999999936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>
        <v>0</v>
      </c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>
        <v>0</v>
      </c>
      <c r="BA35" s="55">
        <f t="shared" si="11"/>
        <v>0</v>
      </c>
      <c r="BB35" s="95"/>
      <c r="BC35" s="55" t="s">
        <v>6</v>
      </c>
      <c r="BD35" s="55">
        <v>27</v>
      </c>
      <c r="BE35" s="52"/>
      <c r="BF35" s="52"/>
      <c r="BG35" s="52"/>
      <c r="BH35" s="52"/>
      <c r="BI35" s="52">
        <f t="shared" si="12"/>
        <v>0</v>
      </c>
      <c r="BJ35" s="56"/>
      <c r="BK35" s="52"/>
      <c r="BL35" s="57">
        <f t="shared" si="13"/>
        <v>0</v>
      </c>
      <c r="BM35" s="55">
        <v>0</v>
      </c>
      <c r="BN35" s="55">
        <f t="shared" si="14"/>
        <v>0</v>
      </c>
      <c r="BO35" s="95"/>
      <c r="BQ35" s="55" t="s">
        <v>6</v>
      </c>
      <c r="BR35" s="55">
        <v>27</v>
      </c>
      <c r="BS35" s="52"/>
      <c r="BT35" s="52"/>
      <c r="BU35" s="52"/>
      <c r="BV35" s="52"/>
      <c r="BW35" s="52">
        <f t="shared" si="15"/>
        <v>0</v>
      </c>
      <c r="BX35" s="56"/>
      <c r="BY35" s="52"/>
      <c r="BZ35" s="57">
        <f t="shared" si="16"/>
        <v>0</v>
      </c>
      <c r="CA35" s="55">
        <v>0</v>
      </c>
      <c r="CB35" s="55">
        <f t="shared" si="17"/>
        <v>0</v>
      </c>
      <c r="CC35" s="95"/>
      <c r="CE35" s="55" t="s">
        <v>6</v>
      </c>
      <c r="CF35" s="55">
        <v>27</v>
      </c>
      <c r="CG35" s="52"/>
      <c r="CH35" s="52"/>
      <c r="CI35" s="52">
        <v>13</v>
      </c>
      <c r="CJ35" s="52">
        <v>16.09</v>
      </c>
      <c r="CK35" s="52">
        <f t="shared" si="18"/>
        <v>3.09</v>
      </c>
      <c r="CL35" s="56"/>
      <c r="CM35" s="52"/>
      <c r="CN35" s="57">
        <f t="shared" si="19"/>
        <v>3.09</v>
      </c>
      <c r="CO35" s="55">
        <v>3</v>
      </c>
      <c r="CP35" s="55">
        <f t="shared" si="20"/>
        <v>8.9999999999999858</v>
      </c>
      <c r="CQ35" s="95"/>
      <c r="CS35" s="86"/>
      <c r="CT35" s="86"/>
      <c r="CU35" s="58"/>
      <c r="CV35" s="58"/>
      <c r="CW35" s="58"/>
      <c r="CX35" s="58"/>
      <c r="CY35" s="58"/>
      <c r="CZ35" s="97"/>
      <c r="DA35" s="58"/>
      <c r="DB35" s="59"/>
      <c r="DC35" s="86"/>
      <c r="DD35" s="86"/>
      <c r="DE35" s="98"/>
      <c r="DG35" s="55" t="s">
        <v>6</v>
      </c>
      <c r="DH35" s="55">
        <v>27</v>
      </c>
      <c r="DI35" s="52"/>
      <c r="DJ35" s="52"/>
      <c r="DK35" s="52"/>
      <c r="DL35" s="52"/>
      <c r="DM35" s="52">
        <f t="shared" si="21"/>
        <v>0</v>
      </c>
      <c r="DN35" s="56"/>
      <c r="DO35" s="52"/>
      <c r="DP35" s="57">
        <f t="shared" si="22"/>
        <v>0</v>
      </c>
      <c r="DQ35" s="55">
        <v>0</v>
      </c>
      <c r="DR35" s="55">
        <f t="shared" si="23"/>
        <v>0</v>
      </c>
      <c r="DS35" s="95"/>
      <c r="DU35" s="55" t="s">
        <v>6</v>
      </c>
      <c r="DV35" s="55">
        <v>27</v>
      </c>
      <c r="DW35" s="52"/>
      <c r="DX35" s="52"/>
      <c r="DY35" s="52"/>
      <c r="DZ35" s="52"/>
      <c r="EA35" s="52">
        <f t="shared" si="24"/>
        <v>0</v>
      </c>
      <c r="EB35" s="56"/>
      <c r="EC35" s="52"/>
      <c r="ED35" s="57">
        <f t="shared" si="25"/>
        <v>0</v>
      </c>
      <c r="EE35" s="55">
        <v>0</v>
      </c>
      <c r="EF35" s="55">
        <f t="shared" si="26"/>
        <v>0</v>
      </c>
      <c r="EG35" s="95"/>
    </row>
    <row r="36" spans="1:139" ht="17.149999999999999" customHeight="1" x14ac:dyDescent="0.35">
      <c r="A36" s="86" t="s">
        <v>1</v>
      </c>
      <c r="B36" s="86">
        <v>28</v>
      </c>
      <c r="C36" s="58">
        <v>5.15</v>
      </c>
      <c r="D36" s="96"/>
      <c r="E36" s="96"/>
      <c r="F36" s="53">
        <v>17.61</v>
      </c>
      <c r="G36" s="58">
        <f t="shared" si="0"/>
        <v>12.459999999999999</v>
      </c>
      <c r="H36" s="97">
        <v>7.3</v>
      </c>
      <c r="I36" s="58">
        <v>1</v>
      </c>
      <c r="J36" s="59">
        <f t="shared" si="1"/>
        <v>4.1599999999999993</v>
      </c>
      <c r="K36" s="86">
        <v>4</v>
      </c>
      <c r="L36" s="86">
        <f t="shared" si="2"/>
        <v>15.999999999999925</v>
      </c>
      <c r="M36" s="98"/>
      <c r="O36" s="86" t="s">
        <v>1</v>
      </c>
      <c r="P36" s="86">
        <v>28</v>
      </c>
      <c r="Q36" s="58">
        <v>5.15</v>
      </c>
      <c r="R36" s="96"/>
      <c r="S36" s="96"/>
      <c r="T36" s="53">
        <v>17.61</v>
      </c>
      <c r="U36" s="58">
        <f t="shared" si="3"/>
        <v>12.459999999999999</v>
      </c>
      <c r="V36" s="97">
        <v>7.3</v>
      </c>
      <c r="W36" s="58">
        <v>1</v>
      </c>
      <c r="X36" s="59">
        <f t="shared" si="4"/>
        <v>4.1599999999999993</v>
      </c>
      <c r="Y36" s="86">
        <v>4</v>
      </c>
      <c r="Z36" s="86">
        <f t="shared" si="5"/>
        <v>15.999999999999925</v>
      </c>
      <c r="AA36" s="98"/>
      <c r="AB36" s="86" t="s">
        <v>1</v>
      </c>
      <c r="AC36" s="86">
        <v>28</v>
      </c>
      <c r="AD36" s="58">
        <v>5.15</v>
      </c>
      <c r="AE36" s="96"/>
      <c r="AF36" s="96"/>
      <c r="AG36" s="53">
        <v>17.61</v>
      </c>
      <c r="AH36" s="58">
        <f t="shared" si="6"/>
        <v>12.459999999999999</v>
      </c>
      <c r="AI36" s="97">
        <v>7.3</v>
      </c>
      <c r="AJ36" s="58">
        <v>1</v>
      </c>
      <c r="AK36" s="59">
        <f t="shared" si="7"/>
        <v>4.1599999999999993</v>
      </c>
      <c r="AL36" s="86">
        <v>4</v>
      </c>
      <c r="AM36" s="86">
        <f t="shared" si="8"/>
        <v>15.999999999999925</v>
      </c>
      <c r="AN36" s="98"/>
      <c r="AP36" s="86" t="s">
        <v>1</v>
      </c>
      <c r="AQ36" s="86">
        <v>28</v>
      </c>
      <c r="AR36" s="58">
        <v>5.15</v>
      </c>
      <c r="AS36" s="96"/>
      <c r="AT36" s="96"/>
      <c r="AU36" s="53">
        <v>17.61</v>
      </c>
      <c r="AV36" s="58">
        <f t="shared" si="9"/>
        <v>12.459999999999999</v>
      </c>
      <c r="AW36" s="97">
        <v>7.3</v>
      </c>
      <c r="AX36" s="58">
        <v>1</v>
      </c>
      <c r="AY36" s="59">
        <f t="shared" si="10"/>
        <v>4.1599999999999993</v>
      </c>
      <c r="AZ36" s="86">
        <v>4</v>
      </c>
      <c r="BA36" s="86">
        <f t="shared" si="11"/>
        <v>15.999999999999925</v>
      </c>
      <c r="BB36" s="98"/>
      <c r="BC36" s="86" t="s">
        <v>1</v>
      </c>
      <c r="BD36" s="86">
        <v>28</v>
      </c>
      <c r="BE36" s="58">
        <v>5.15</v>
      </c>
      <c r="BF36" s="96"/>
      <c r="BG36" s="96"/>
      <c r="BH36" s="53">
        <v>17.61</v>
      </c>
      <c r="BI36" s="58">
        <f t="shared" si="12"/>
        <v>12.459999999999999</v>
      </c>
      <c r="BJ36" s="97">
        <v>7.3</v>
      </c>
      <c r="BK36" s="58">
        <v>1</v>
      </c>
      <c r="BL36" s="59">
        <f t="shared" si="13"/>
        <v>4.1599999999999993</v>
      </c>
      <c r="BM36" s="86">
        <v>4</v>
      </c>
      <c r="BN36" s="86">
        <f t="shared" si="14"/>
        <v>15.999999999999925</v>
      </c>
      <c r="BO36" s="98"/>
      <c r="BQ36" s="86" t="s">
        <v>1</v>
      </c>
      <c r="BR36" s="86">
        <v>28</v>
      </c>
      <c r="BS36" s="58">
        <v>5.15</v>
      </c>
      <c r="BT36" s="96"/>
      <c r="BU36" s="96"/>
      <c r="BV36" s="53">
        <v>17.61</v>
      </c>
      <c r="BW36" s="58">
        <f t="shared" si="15"/>
        <v>12.459999999999999</v>
      </c>
      <c r="BX36" s="97">
        <v>7.3</v>
      </c>
      <c r="BY36" s="58">
        <v>1</v>
      </c>
      <c r="BZ36" s="59">
        <f t="shared" si="16"/>
        <v>4.1599999999999993</v>
      </c>
      <c r="CA36" s="86">
        <v>4</v>
      </c>
      <c r="CB36" s="86">
        <f t="shared" si="17"/>
        <v>15.999999999999925</v>
      </c>
      <c r="CC36" s="98"/>
      <c r="CE36" s="86" t="s">
        <v>1</v>
      </c>
      <c r="CF36" s="86">
        <v>28</v>
      </c>
      <c r="CG36" s="58">
        <v>5.15</v>
      </c>
      <c r="CH36" s="96"/>
      <c r="CI36" s="96"/>
      <c r="CJ36" s="53">
        <v>17.61</v>
      </c>
      <c r="CK36" s="58">
        <f t="shared" si="18"/>
        <v>12.459999999999999</v>
      </c>
      <c r="CL36" s="97">
        <v>7.3</v>
      </c>
      <c r="CM36" s="58">
        <v>1</v>
      </c>
      <c r="CN36" s="59">
        <f t="shared" si="19"/>
        <v>4.1599999999999993</v>
      </c>
      <c r="CO36" s="86">
        <v>4</v>
      </c>
      <c r="CP36" s="86">
        <f t="shared" si="20"/>
        <v>15.999999999999925</v>
      </c>
      <c r="CQ36" s="98"/>
      <c r="CS36" s="86"/>
      <c r="CT36" s="86"/>
      <c r="CU36" s="58"/>
      <c r="CV36" s="58"/>
      <c r="CW36" s="58"/>
      <c r="CX36" s="58"/>
      <c r="CY36" s="58"/>
      <c r="CZ36" s="97"/>
      <c r="DA36" s="58"/>
      <c r="DB36" s="59"/>
      <c r="DC36" s="86"/>
      <c r="DD36" s="86"/>
      <c r="DE36" s="98"/>
      <c r="DG36" s="86" t="s">
        <v>1</v>
      </c>
      <c r="DH36" s="86">
        <v>28</v>
      </c>
      <c r="DI36" s="58">
        <v>5.15</v>
      </c>
      <c r="DJ36" s="96"/>
      <c r="DK36" s="96"/>
      <c r="DL36" s="53">
        <v>17.61</v>
      </c>
      <c r="DM36" s="58">
        <f t="shared" si="21"/>
        <v>12.459999999999999</v>
      </c>
      <c r="DN36" s="97">
        <v>7.3</v>
      </c>
      <c r="DO36" s="58">
        <v>1</v>
      </c>
      <c r="DP36" s="59">
        <f t="shared" si="22"/>
        <v>4.1599999999999993</v>
      </c>
      <c r="DQ36" s="86">
        <v>4</v>
      </c>
      <c r="DR36" s="86">
        <f t="shared" si="23"/>
        <v>15.999999999999925</v>
      </c>
      <c r="DS36" s="98"/>
      <c r="DU36" s="86" t="s">
        <v>1</v>
      </c>
      <c r="DV36" s="86">
        <v>28</v>
      </c>
      <c r="DW36" s="58">
        <v>5.15</v>
      </c>
      <c r="DX36" s="96"/>
      <c r="DY36" s="96"/>
      <c r="DZ36" s="53">
        <v>17.61</v>
      </c>
      <c r="EA36" s="58">
        <f t="shared" si="24"/>
        <v>12.459999999999999</v>
      </c>
      <c r="EB36" s="97">
        <v>7.3</v>
      </c>
      <c r="EC36" s="58">
        <v>1</v>
      </c>
      <c r="ED36" s="59">
        <f t="shared" si="25"/>
        <v>4.1599999999999993</v>
      </c>
      <c r="EE36" s="86">
        <v>4</v>
      </c>
      <c r="EF36" s="86">
        <f t="shared" si="26"/>
        <v>15.999999999999925</v>
      </c>
      <c r="EG36" s="98"/>
    </row>
    <row r="37" spans="1:139" ht="17.149999999999999" customHeight="1" x14ac:dyDescent="0.35">
      <c r="A37" s="86" t="s">
        <v>216</v>
      </c>
      <c r="B37" s="86">
        <v>29</v>
      </c>
      <c r="C37" s="58">
        <v>5.15</v>
      </c>
      <c r="D37" s="96"/>
      <c r="E37" s="96"/>
      <c r="F37" s="53">
        <v>18.43</v>
      </c>
      <c r="G37" s="58">
        <f t="shared" si="0"/>
        <v>13.28</v>
      </c>
      <c r="H37" s="97">
        <v>7.3</v>
      </c>
      <c r="I37" s="58">
        <v>1.4</v>
      </c>
      <c r="J37" s="59">
        <f t="shared" si="1"/>
        <v>4.58</v>
      </c>
      <c r="K37" s="86">
        <v>4</v>
      </c>
      <c r="L37" s="86">
        <f t="shared" si="2"/>
        <v>58.000000000000007</v>
      </c>
      <c r="M37" s="98"/>
      <c r="O37" s="86" t="s">
        <v>216</v>
      </c>
      <c r="P37" s="86">
        <v>29</v>
      </c>
      <c r="Q37" s="58">
        <v>5.15</v>
      </c>
      <c r="R37" s="96"/>
      <c r="S37" s="96"/>
      <c r="T37" s="53">
        <v>18.43</v>
      </c>
      <c r="U37" s="58">
        <f t="shared" si="3"/>
        <v>13.28</v>
      </c>
      <c r="V37" s="97">
        <v>7.3</v>
      </c>
      <c r="W37" s="58">
        <v>1.4</v>
      </c>
      <c r="X37" s="59">
        <f t="shared" si="4"/>
        <v>4.58</v>
      </c>
      <c r="Y37" s="86">
        <v>4</v>
      </c>
      <c r="Z37" s="86">
        <f t="shared" si="5"/>
        <v>58.000000000000007</v>
      </c>
      <c r="AA37" s="98"/>
      <c r="AB37" s="86" t="s">
        <v>216</v>
      </c>
      <c r="AC37" s="86">
        <v>29</v>
      </c>
      <c r="AD37" s="58">
        <v>5.15</v>
      </c>
      <c r="AE37" s="96"/>
      <c r="AF37" s="96"/>
      <c r="AG37" s="53">
        <v>18.43</v>
      </c>
      <c r="AH37" s="58">
        <f t="shared" si="6"/>
        <v>13.28</v>
      </c>
      <c r="AI37" s="97">
        <v>7.3</v>
      </c>
      <c r="AJ37" s="58">
        <v>1.4</v>
      </c>
      <c r="AK37" s="59">
        <f t="shared" si="7"/>
        <v>4.58</v>
      </c>
      <c r="AL37" s="86">
        <v>4</v>
      </c>
      <c r="AM37" s="86">
        <f t="shared" si="8"/>
        <v>58.000000000000007</v>
      </c>
      <c r="AN37" s="98"/>
      <c r="AP37" s="86" t="s">
        <v>216</v>
      </c>
      <c r="AQ37" s="86">
        <v>29</v>
      </c>
      <c r="AR37" s="58">
        <v>5.15</v>
      </c>
      <c r="AS37" s="96"/>
      <c r="AT37" s="96"/>
      <c r="AU37" s="53">
        <v>18.43</v>
      </c>
      <c r="AV37" s="58">
        <f t="shared" si="9"/>
        <v>13.28</v>
      </c>
      <c r="AW37" s="97">
        <v>7.3</v>
      </c>
      <c r="AX37" s="58">
        <v>1.4</v>
      </c>
      <c r="AY37" s="59">
        <f t="shared" si="10"/>
        <v>4.58</v>
      </c>
      <c r="AZ37" s="86">
        <v>4</v>
      </c>
      <c r="BA37" s="86">
        <f t="shared" si="11"/>
        <v>58.000000000000007</v>
      </c>
      <c r="BB37" s="98"/>
      <c r="BC37" s="86" t="s">
        <v>216</v>
      </c>
      <c r="BD37" s="86">
        <v>29</v>
      </c>
      <c r="BE37" s="58">
        <v>5.15</v>
      </c>
      <c r="BF37" s="96"/>
      <c r="BG37" s="96"/>
      <c r="BH37" s="53">
        <v>18.43</v>
      </c>
      <c r="BI37" s="58">
        <f t="shared" si="12"/>
        <v>13.28</v>
      </c>
      <c r="BJ37" s="97">
        <v>7.3</v>
      </c>
      <c r="BK37" s="58">
        <v>1.4</v>
      </c>
      <c r="BL37" s="59">
        <f t="shared" si="13"/>
        <v>4.58</v>
      </c>
      <c r="BM37" s="86">
        <v>4</v>
      </c>
      <c r="BN37" s="86">
        <f t="shared" si="14"/>
        <v>58.000000000000007</v>
      </c>
      <c r="BO37" s="98"/>
      <c r="BQ37" s="86" t="s">
        <v>216</v>
      </c>
      <c r="BR37" s="86">
        <v>29</v>
      </c>
      <c r="BS37" s="58">
        <v>5.15</v>
      </c>
      <c r="BT37" s="96"/>
      <c r="BU37" s="96"/>
      <c r="BV37" s="53">
        <v>18.43</v>
      </c>
      <c r="BW37" s="58">
        <f t="shared" si="15"/>
        <v>13.28</v>
      </c>
      <c r="BX37" s="97">
        <v>7.3</v>
      </c>
      <c r="BY37" s="58">
        <v>1.4</v>
      </c>
      <c r="BZ37" s="59">
        <f t="shared" si="16"/>
        <v>4.58</v>
      </c>
      <c r="CA37" s="86">
        <v>4</v>
      </c>
      <c r="CB37" s="86">
        <f t="shared" si="17"/>
        <v>58.000000000000007</v>
      </c>
      <c r="CC37" s="98"/>
      <c r="CE37" s="86" t="s">
        <v>216</v>
      </c>
      <c r="CF37" s="86">
        <v>29</v>
      </c>
      <c r="CG37" s="58">
        <v>5.15</v>
      </c>
      <c r="CH37" s="96"/>
      <c r="CI37" s="96"/>
      <c r="CJ37" s="53">
        <v>18.43</v>
      </c>
      <c r="CK37" s="58">
        <f t="shared" si="18"/>
        <v>13.28</v>
      </c>
      <c r="CL37" s="97">
        <v>7.3</v>
      </c>
      <c r="CM37" s="58">
        <v>1.4</v>
      </c>
      <c r="CN37" s="59">
        <f t="shared" si="19"/>
        <v>4.58</v>
      </c>
      <c r="CO37" s="86">
        <v>4</v>
      </c>
      <c r="CP37" s="86">
        <f t="shared" si="20"/>
        <v>58.000000000000007</v>
      </c>
      <c r="CQ37" s="98"/>
      <c r="CS37" s="62"/>
      <c r="CT37" s="86"/>
      <c r="CU37" s="58"/>
      <c r="CV37" s="58"/>
      <c r="CW37" s="58"/>
      <c r="CX37" s="58"/>
      <c r="CY37" s="58"/>
      <c r="CZ37" s="97"/>
      <c r="DA37" s="58"/>
      <c r="DB37" s="59"/>
      <c r="DC37" s="86"/>
      <c r="DD37" s="86"/>
      <c r="DE37" s="98"/>
      <c r="DG37" s="86" t="s">
        <v>216</v>
      </c>
      <c r="DH37" s="86">
        <v>29</v>
      </c>
      <c r="DI37" s="58">
        <v>5.15</v>
      </c>
      <c r="DJ37" s="96"/>
      <c r="DK37" s="96"/>
      <c r="DL37" s="53">
        <v>18.43</v>
      </c>
      <c r="DM37" s="58">
        <f t="shared" si="21"/>
        <v>13.28</v>
      </c>
      <c r="DN37" s="97">
        <v>7.3</v>
      </c>
      <c r="DO37" s="58">
        <v>1.4</v>
      </c>
      <c r="DP37" s="59">
        <f t="shared" si="22"/>
        <v>4.58</v>
      </c>
      <c r="DQ37" s="86">
        <v>4</v>
      </c>
      <c r="DR37" s="86">
        <f t="shared" si="23"/>
        <v>58.000000000000007</v>
      </c>
      <c r="DS37" s="98"/>
      <c r="DU37" s="86" t="s">
        <v>216</v>
      </c>
      <c r="DV37" s="86">
        <v>29</v>
      </c>
      <c r="DW37" s="58">
        <v>5.15</v>
      </c>
      <c r="DX37" s="96"/>
      <c r="DY37" s="96"/>
      <c r="DZ37" s="53">
        <v>18.43</v>
      </c>
      <c r="EA37" s="58">
        <f t="shared" si="24"/>
        <v>13.28</v>
      </c>
      <c r="EB37" s="97">
        <v>7.3</v>
      </c>
      <c r="EC37" s="58">
        <v>1.4</v>
      </c>
      <c r="ED37" s="59">
        <f t="shared" si="25"/>
        <v>4.58</v>
      </c>
      <c r="EE37" s="86">
        <v>4</v>
      </c>
      <c r="EF37" s="86">
        <f t="shared" si="26"/>
        <v>58.000000000000007</v>
      </c>
      <c r="EG37" s="98"/>
    </row>
    <row r="38" spans="1:139" ht="17.149999999999999" customHeight="1" x14ac:dyDescent="0.35">
      <c r="A38" s="86" t="s">
        <v>2</v>
      </c>
      <c r="B38" s="86">
        <v>30</v>
      </c>
      <c r="C38" s="58">
        <v>5.15</v>
      </c>
      <c r="D38" s="96"/>
      <c r="E38" s="96"/>
      <c r="F38" s="53">
        <v>16.86</v>
      </c>
      <c r="G38" s="58">
        <f t="shared" si="0"/>
        <v>11.709999999999999</v>
      </c>
      <c r="H38" s="97">
        <v>7.3</v>
      </c>
      <c r="I38" s="58">
        <v>1</v>
      </c>
      <c r="J38" s="59">
        <f t="shared" si="1"/>
        <v>3.4099999999999993</v>
      </c>
      <c r="K38" s="86">
        <v>3</v>
      </c>
      <c r="L38" s="86">
        <f t="shared" si="2"/>
        <v>40.999999999999929</v>
      </c>
      <c r="M38" s="98"/>
      <c r="O38" s="86" t="s">
        <v>2</v>
      </c>
      <c r="P38" s="86">
        <v>30</v>
      </c>
      <c r="Q38" s="58">
        <v>5.15</v>
      </c>
      <c r="R38" s="96"/>
      <c r="S38" s="96"/>
      <c r="T38" s="53">
        <v>16.86</v>
      </c>
      <c r="U38" s="58">
        <f t="shared" si="3"/>
        <v>11.709999999999999</v>
      </c>
      <c r="V38" s="97">
        <v>7.3</v>
      </c>
      <c r="W38" s="58">
        <v>1</v>
      </c>
      <c r="X38" s="59">
        <f t="shared" si="4"/>
        <v>3.4099999999999993</v>
      </c>
      <c r="Y38" s="86">
        <v>3</v>
      </c>
      <c r="Z38" s="86">
        <f t="shared" si="5"/>
        <v>40.999999999999929</v>
      </c>
      <c r="AA38" s="98"/>
      <c r="AB38" s="86" t="s">
        <v>2</v>
      </c>
      <c r="AC38" s="86">
        <v>30</v>
      </c>
      <c r="AD38" s="58">
        <v>5.15</v>
      </c>
      <c r="AE38" s="96"/>
      <c r="AF38" s="96"/>
      <c r="AG38" s="53">
        <v>16.86</v>
      </c>
      <c r="AH38" s="58">
        <f t="shared" si="6"/>
        <v>11.709999999999999</v>
      </c>
      <c r="AI38" s="97">
        <v>7.3</v>
      </c>
      <c r="AJ38" s="58">
        <v>1</v>
      </c>
      <c r="AK38" s="59">
        <f t="shared" si="7"/>
        <v>3.4099999999999993</v>
      </c>
      <c r="AL38" s="86">
        <v>3</v>
      </c>
      <c r="AM38" s="86">
        <f t="shared" si="8"/>
        <v>40.999999999999929</v>
      </c>
      <c r="AN38" s="98"/>
      <c r="AP38" s="86" t="s">
        <v>2</v>
      </c>
      <c r="AQ38" s="86">
        <v>30</v>
      </c>
      <c r="AR38" s="58">
        <v>5.15</v>
      </c>
      <c r="AS38" s="96"/>
      <c r="AT38" s="96"/>
      <c r="AU38" s="53">
        <v>16.86</v>
      </c>
      <c r="AV38" s="58">
        <f t="shared" si="9"/>
        <v>11.709999999999999</v>
      </c>
      <c r="AW38" s="97">
        <v>7.3</v>
      </c>
      <c r="AX38" s="58">
        <v>1</v>
      </c>
      <c r="AY38" s="59">
        <f t="shared" si="10"/>
        <v>3.4099999999999993</v>
      </c>
      <c r="AZ38" s="86">
        <v>3</v>
      </c>
      <c r="BA38" s="86">
        <f t="shared" si="11"/>
        <v>40.999999999999929</v>
      </c>
      <c r="BB38" s="98"/>
      <c r="BC38" s="86" t="s">
        <v>2</v>
      </c>
      <c r="BD38" s="86">
        <v>30</v>
      </c>
      <c r="BE38" s="58">
        <v>5.15</v>
      </c>
      <c r="BF38" s="96"/>
      <c r="BG38" s="96"/>
      <c r="BH38" s="53">
        <v>16.86</v>
      </c>
      <c r="BI38" s="58">
        <f t="shared" si="12"/>
        <v>11.709999999999999</v>
      </c>
      <c r="BJ38" s="97">
        <v>7.3</v>
      </c>
      <c r="BK38" s="58">
        <v>1</v>
      </c>
      <c r="BL38" s="59">
        <f t="shared" si="13"/>
        <v>3.4099999999999993</v>
      </c>
      <c r="BM38" s="86">
        <v>3</v>
      </c>
      <c r="BN38" s="86">
        <f t="shared" si="14"/>
        <v>40.999999999999929</v>
      </c>
      <c r="BO38" s="98"/>
      <c r="BQ38" s="86" t="s">
        <v>2</v>
      </c>
      <c r="BR38" s="86">
        <v>30</v>
      </c>
      <c r="BS38" s="58">
        <v>5.15</v>
      </c>
      <c r="BT38" s="96"/>
      <c r="BU38" s="96"/>
      <c r="BV38" s="53">
        <v>16.86</v>
      </c>
      <c r="BW38" s="58">
        <f t="shared" si="15"/>
        <v>11.709999999999999</v>
      </c>
      <c r="BX38" s="97">
        <v>7.3</v>
      </c>
      <c r="BY38" s="58">
        <v>1</v>
      </c>
      <c r="BZ38" s="59">
        <f t="shared" si="16"/>
        <v>3.4099999999999993</v>
      </c>
      <c r="CA38" s="86">
        <v>3</v>
      </c>
      <c r="CB38" s="86">
        <f t="shared" si="17"/>
        <v>40.999999999999929</v>
      </c>
      <c r="CC38" s="98"/>
      <c r="CE38" s="86" t="s">
        <v>2</v>
      </c>
      <c r="CF38" s="86">
        <v>30</v>
      </c>
      <c r="CG38" s="58">
        <v>5.15</v>
      </c>
      <c r="CH38" s="96"/>
      <c r="CI38" s="96"/>
      <c r="CJ38" s="53">
        <v>16.86</v>
      </c>
      <c r="CK38" s="58">
        <f t="shared" si="18"/>
        <v>11.709999999999999</v>
      </c>
      <c r="CL38" s="97">
        <v>7.3</v>
      </c>
      <c r="CM38" s="58">
        <v>1</v>
      </c>
      <c r="CN38" s="59">
        <f t="shared" si="19"/>
        <v>3.4099999999999993</v>
      </c>
      <c r="CO38" s="86">
        <v>3</v>
      </c>
      <c r="CP38" s="86">
        <f t="shared" si="20"/>
        <v>40.999999999999929</v>
      </c>
      <c r="CQ38" s="98"/>
      <c r="CS38" s="55"/>
      <c r="CT38" s="55"/>
      <c r="CU38" s="52"/>
      <c r="CV38" s="52"/>
      <c r="CW38" s="52"/>
      <c r="CX38" s="52"/>
      <c r="CY38" s="52"/>
      <c r="CZ38" s="56"/>
      <c r="DA38" s="52"/>
      <c r="DB38" s="57"/>
      <c r="DC38" s="55"/>
      <c r="DD38" s="82"/>
      <c r="DE38" s="95"/>
      <c r="DG38" s="86" t="s">
        <v>2</v>
      </c>
      <c r="DH38" s="86">
        <v>30</v>
      </c>
      <c r="DI38" s="58">
        <v>5.15</v>
      </c>
      <c r="DJ38" s="96"/>
      <c r="DK38" s="96"/>
      <c r="DL38" s="53">
        <v>16.86</v>
      </c>
      <c r="DM38" s="58">
        <f t="shared" si="21"/>
        <v>11.709999999999999</v>
      </c>
      <c r="DN38" s="97">
        <v>7.3</v>
      </c>
      <c r="DO38" s="58">
        <v>1</v>
      </c>
      <c r="DP38" s="59">
        <f t="shared" si="22"/>
        <v>3.4099999999999993</v>
      </c>
      <c r="DQ38" s="86">
        <v>3</v>
      </c>
      <c r="DR38" s="86">
        <f t="shared" si="23"/>
        <v>40.999999999999929</v>
      </c>
      <c r="DS38" s="98"/>
      <c r="DU38" s="86" t="s">
        <v>2</v>
      </c>
      <c r="DV38" s="86">
        <v>30</v>
      </c>
      <c r="DW38" s="58">
        <v>5.15</v>
      </c>
      <c r="DX38" s="96"/>
      <c r="DY38" s="96"/>
      <c r="DZ38" s="53">
        <v>16.86</v>
      </c>
      <c r="EA38" s="58">
        <f t="shared" si="24"/>
        <v>11.709999999999999</v>
      </c>
      <c r="EB38" s="97">
        <v>7.3</v>
      </c>
      <c r="EC38" s="58">
        <v>1</v>
      </c>
      <c r="ED38" s="59">
        <f t="shared" si="25"/>
        <v>3.4099999999999993</v>
      </c>
      <c r="EE38" s="86">
        <v>3</v>
      </c>
      <c r="EF38" s="86">
        <f t="shared" si="26"/>
        <v>40.999999999999929</v>
      </c>
      <c r="EG38" s="98"/>
    </row>
    <row r="39" spans="1:139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 s="86"/>
      <c r="BD39" s="86"/>
      <c r="BE39" s="58"/>
      <c r="BF39" s="96"/>
      <c r="BG39" s="96"/>
      <c r="BH39" s="58"/>
      <c r="BI39" s="58"/>
      <c r="BJ39" s="97"/>
      <c r="BK39" s="97"/>
      <c r="BL39" s="59"/>
      <c r="BM39" s="86"/>
      <c r="BN39" s="86"/>
      <c r="BO39" s="98"/>
      <c r="BP39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/>
      <c r="CE39" s="86"/>
      <c r="CF39" s="86"/>
      <c r="CG39" s="58"/>
      <c r="CH39" s="96"/>
      <c r="CI39" s="96"/>
      <c r="CJ39" s="58"/>
      <c r="CK39" s="58"/>
      <c r="CL39" s="97"/>
      <c r="CM39" s="97"/>
      <c r="CN39" s="59"/>
      <c r="CO39" s="86"/>
      <c r="CP39" s="86"/>
      <c r="CQ39" s="98"/>
      <c r="CR39"/>
      <c r="CS39" s="86"/>
      <c r="CT39" s="86"/>
      <c r="CU39" s="58"/>
      <c r="CV39" s="96"/>
      <c r="CW39" s="96"/>
      <c r="CX39" s="58"/>
      <c r="CY39" s="58"/>
      <c r="CZ39" s="97"/>
      <c r="DA39" s="58"/>
      <c r="DB39" s="59"/>
      <c r="DC39" s="86"/>
      <c r="DD39" s="86"/>
      <c r="DE39" s="98"/>
      <c r="DF39"/>
      <c r="DG39" s="86"/>
      <c r="DH39" s="86"/>
      <c r="DI39" s="58"/>
      <c r="DJ39" s="96"/>
      <c r="DK39" s="96"/>
      <c r="DL39" s="58"/>
      <c r="DM39" s="58"/>
      <c r="DN39" s="97"/>
      <c r="DO39" s="97"/>
      <c r="DP39" s="59"/>
      <c r="DQ39" s="86"/>
      <c r="DR39" s="86"/>
      <c r="DS39" s="98"/>
      <c r="DT39"/>
      <c r="DU39" s="86"/>
      <c r="DV39" s="86"/>
      <c r="DW39" s="58"/>
      <c r="DX39" s="96"/>
      <c r="DY39" s="96"/>
      <c r="DZ39" s="58"/>
      <c r="EA39" s="58"/>
      <c r="EB39" s="97"/>
      <c r="EC39" s="97"/>
      <c r="ED39" s="59"/>
      <c r="EE39" s="86"/>
      <c r="EF39" s="86"/>
      <c r="EG39" s="98"/>
      <c r="EH39"/>
      <c r="EI39"/>
    </row>
    <row r="40" spans="1:139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27">SUM(D40-C40)+(F40-E40)</f>
        <v>-4.3499999999999996</v>
      </c>
      <c r="H40" s="63"/>
      <c r="I40" s="53"/>
      <c r="J40" s="59"/>
      <c r="K40" s="62"/>
      <c r="L40" s="60">
        <f t="shared" ref="L40" si="28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29">SUM(R40-Q40)+(T40-S40)</f>
        <v>-4.3499999999999996</v>
      </c>
      <c r="V40" s="63"/>
      <c r="W40" s="53"/>
      <c r="X40" s="59"/>
      <c r="Y40" s="62"/>
      <c r="Z40" s="60">
        <f t="shared" ref="Z40" si="30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31">SUM(AE40-AD40)+(AG40-AF40)</f>
        <v>-4.3499999999999996</v>
      </c>
      <c r="AI40" s="63"/>
      <c r="AJ40" s="53"/>
      <c r="AK40" s="59"/>
      <c r="AL40" s="62"/>
      <c r="AM40" s="60">
        <f t="shared" ref="AM40" si="32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33">SUM(AS40-AR40)+(AU40-AT40)</f>
        <v>-4.3499999999999996</v>
      </c>
      <c r="AW40" s="63"/>
      <c r="AX40" s="53"/>
      <c r="AY40" s="59"/>
      <c r="AZ40" s="62"/>
      <c r="BA40" s="60">
        <f t="shared" ref="BA40" si="34">SUM(AY40-AZ40)*100</f>
        <v>0</v>
      </c>
      <c r="BB40" s="61"/>
      <c r="BC40" s="62" t="s">
        <v>4</v>
      </c>
      <c r="BD40" s="62">
        <v>32</v>
      </c>
      <c r="BE40" s="58">
        <v>4.3499999999999996</v>
      </c>
      <c r="BF40" s="53"/>
      <c r="BG40" s="53"/>
      <c r="BH40" s="53"/>
      <c r="BI40" s="58">
        <f t="shared" ref="BI40" si="35">SUM(BF40-BE40)+(BH40-BG40)</f>
        <v>-4.3499999999999996</v>
      </c>
      <c r="BJ40" s="63"/>
      <c r="BK40" s="53"/>
      <c r="BL40" s="59"/>
      <c r="BM40" s="62"/>
      <c r="BN40" s="60">
        <f t="shared" ref="BN40" si="36">SUM(BL40-BM40)*100</f>
        <v>0</v>
      </c>
      <c r="BO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37">SUM(BT40-BS40)+(BV40-BU40)</f>
        <v>-4.3499999999999996</v>
      </c>
      <c r="BX40" s="63"/>
      <c r="BY40" s="53"/>
      <c r="BZ40" s="59"/>
      <c r="CA40" s="62"/>
      <c r="CB40" s="60">
        <f t="shared" ref="CB40" si="38">SUM(BZ40-CA40)*100</f>
        <v>0</v>
      </c>
      <c r="CC40" s="61"/>
      <c r="CE40" s="62" t="s">
        <v>4</v>
      </c>
      <c r="CF40" s="62">
        <v>32</v>
      </c>
      <c r="CG40" s="58">
        <v>4.3499999999999996</v>
      </c>
      <c r="CH40" s="53"/>
      <c r="CI40" s="53"/>
      <c r="CJ40" s="53"/>
      <c r="CK40" s="58">
        <f t="shared" ref="CK40" si="39">SUM(CH40-CG40)+(CJ40-CI40)</f>
        <v>-4.3499999999999996</v>
      </c>
      <c r="CL40" s="63"/>
      <c r="CM40" s="53"/>
      <c r="CN40" s="59"/>
      <c r="CO40" s="62"/>
      <c r="CP40" s="60">
        <f t="shared" ref="CP40" si="40">SUM(CN40-CO40)*100</f>
        <v>0</v>
      </c>
      <c r="CQ40" s="61"/>
      <c r="CS40" s="62" t="s">
        <v>4</v>
      </c>
      <c r="CT40" s="62">
        <v>32</v>
      </c>
      <c r="CU40" s="58">
        <v>4.3499999999999996</v>
      </c>
      <c r="CV40" s="53"/>
      <c r="CW40" s="53"/>
      <c r="CX40" s="53"/>
      <c r="CY40" s="58">
        <f t="shared" ref="CY40" si="41">SUM(CV40-CU40)+(CX40-CW40)</f>
        <v>-4.3499999999999996</v>
      </c>
      <c r="CZ40" s="63"/>
      <c r="DA40" s="53"/>
      <c r="DB40" s="59"/>
      <c r="DC40" s="62"/>
      <c r="DD40" s="60">
        <f t="shared" ref="DD40" si="42">SUM(DB40-DC40)*100</f>
        <v>0</v>
      </c>
      <c r="DE40" s="61"/>
      <c r="DG40" s="62" t="s">
        <v>4</v>
      </c>
      <c r="DH40" s="62">
        <v>32</v>
      </c>
      <c r="DI40" s="58">
        <v>4.3499999999999996</v>
      </c>
      <c r="DJ40" s="53"/>
      <c r="DK40" s="53"/>
      <c r="DL40" s="53"/>
      <c r="DM40" s="58">
        <f t="shared" ref="DM40" si="43">SUM(DJ40-DI40)+(DL40-DK40)</f>
        <v>-4.3499999999999996</v>
      </c>
      <c r="DN40" s="63"/>
      <c r="DO40" s="53"/>
      <c r="DP40" s="59"/>
      <c r="DQ40" s="62"/>
      <c r="DR40" s="60">
        <f t="shared" ref="DR40" si="44">SUM(DP40-DQ40)*100</f>
        <v>0</v>
      </c>
      <c r="DS40" s="61"/>
      <c r="DU40" s="62" t="s">
        <v>4</v>
      </c>
      <c r="DV40" s="62">
        <v>32</v>
      </c>
      <c r="DW40" s="58">
        <v>4.3499999999999996</v>
      </c>
      <c r="DX40" s="53"/>
      <c r="DY40" s="53"/>
      <c r="DZ40" s="53"/>
      <c r="EA40" s="58">
        <f t="shared" ref="EA40" si="45">SUM(DX40-DW40)+(DZ40-DY40)</f>
        <v>-4.3499999999999996</v>
      </c>
      <c r="EB40" s="63"/>
      <c r="EC40" s="53"/>
      <c r="ED40" s="59"/>
      <c r="EE40" s="62"/>
      <c r="EF40" s="60">
        <f t="shared" ref="EF40" si="46">SUM(ED40-EE40)*100</f>
        <v>0</v>
      </c>
      <c r="EG40" s="61"/>
    </row>
    <row r="41" spans="1:139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C41" s="62" t="s">
        <v>5</v>
      </c>
      <c r="BD41" s="62">
        <v>33</v>
      </c>
      <c r="BE41" s="58">
        <v>4.3499999999999996</v>
      </c>
      <c r="BF41" s="53"/>
      <c r="BG41" s="53"/>
      <c r="BH41" s="53"/>
      <c r="BI41" s="53"/>
      <c r="BJ41" s="63"/>
      <c r="BK41" s="63"/>
      <c r="BL41" s="62"/>
      <c r="BM41" s="62"/>
      <c r="BN41" s="62"/>
      <c r="BO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E41" s="62" t="s">
        <v>5</v>
      </c>
      <c r="CF41" s="62">
        <v>33</v>
      </c>
      <c r="CG41" s="58">
        <v>4.3499999999999996</v>
      </c>
      <c r="CH41" s="53"/>
      <c r="CI41" s="53"/>
      <c r="CJ41" s="53"/>
      <c r="CK41" s="53"/>
      <c r="CL41" s="63"/>
      <c r="CM41" s="63"/>
      <c r="CN41" s="62"/>
      <c r="CO41" s="62"/>
      <c r="CP41" s="62"/>
      <c r="CQ41" s="61"/>
      <c r="CS41" s="62" t="s">
        <v>5</v>
      </c>
      <c r="CT41" s="62">
        <v>33</v>
      </c>
      <c r="CU41" s="58">
        <v>4.3499999999999996</v>
      </c>
      <c r="CV41" s="53"/>
      <c r="CW41" s="53"/>
      <c r="CX41" s="53"/>
      <c r="CY41" s="53"/>
      <c r="CZ41" s="63"/>
      <c r="DA41" s="63"/>
      <c r="DB41" s="62"/>
      <c r="DC41" s="62"/>
      <c r="DD41" s="62"/>
      <c r="DE41" s="61"/>
      <c r="DG41" s="62" t="s">
        <v>5</v>
      </c>
      <c r="DH41" s="62">
        <v>33</v>
      </c>
      <c r="DI41" s="58">
        <v>4.3499999999999996</v>
      </c>
      <c r="DJ41" s="53"/>
      <c r="DK41" s="53"/>
      <c r="DL41" s="53"/>
      <c r="DM41" s="53"/>
      <c r="DN41" s="63"/>
      <c r="DO41" s="63"/>
      <c r="DP41" s="62"/>
      <c r="DQ41" s="62"/>
      <c r="DR41" s="62"/>
      <c r="DS41" s="61"/>
      <c r="DU41" s="62" t="s">
        <v>5</v>
      </c>
      <c r="DV41" s="62">
        <v>33</v>
      </c>
      <c r="DW41" s="58">
        <v>4.3499999999999996</v>
      </c>
      <c r="DX41" s="53"/>
      <c r="DY41" s="53"/>
      <c r="DZ41" s="53"/>
      <c r="EA41" s="53"/>
      <c r="EB41" s="63"/>
      <c r="EC41" s="63"/>
      <c r="ED41" s="62"/>
      <c r="EE41" s="62"/>
      <c r="EF41" s="62"/>
      <c r="EG41" s="61"/>
    </row>
    <row r="42" spans="1:139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C42" s="62" t="s">
        <v>6</v>
      </c>
      <c r="BD42" s="62">
        <v>34</v>
      </c>
      <c r="BE42" s="58">
        <v>4.3499999999999996</v>
      </c>
      <c r="BF42" s="53"/>
      <c r="BG42" s="53"/>
      <c r="BH42" s="53"/>
      <c r="BI42" s="53"/>
      <c r="BJ42" s="63"/>
      <c r="BK42" s="63"/>
      <c r="BL42" s="62"/>
      <c r="BM42" s="62"/>
      <c r="BN42" s="62"/>
      <c r="BO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E42" s="62" t="s">
        <v>6</v>
      </c>
      <c r="CF42" s="62">
        <v>34</v>
      </c>
      <c r="CG42" s="58">
        <v>4.3499999999999996</v>
      </c>
      <c r="CH42" s="53"/>
      <c r="CI42" s="53"/>
      <c r="CJ42" s="53"/>
      <c r="CK42" s="53"/>
      <c r="CL42" s="63"/>
      <c r="CM42" s="63"/>
      <c r="CN42" s="62"/>
      <c r="CO42" s="62"/>
      <c r="CP42" s="62"/>
      <c r="CQ42" s="61"/>
      <c r="CS42" s="62" t="s">
        <v>6</v>
      </c>
      <c r="CT42" s="62">
        <v>34</v>
      </c>
      <c r="CU42" s="58">
        <v>4.3499999999999996</v>
      </c>
      <c r="CV42" s="53"/>
      <c r="CW42" s="53"/>
      <c r="CX42" s="53"/>
      <c r="CY42" s="53"/>
      <c r="CZ42" s="63"/>
      <c r="DA42" s="63"/>
      <c r="DB42" s="62"/>
      <c r="DC42" s="62"/>
      <c r="DD42" s="62"/>
      <c r="DE42" s="61"/>
      <c r="DG42" s="62" t="s">
        <v>6</v>
      </c>
      <c r="DH42" s="62">
        <v>34</v>
      </c>
      <c r="DI42" s="58">
        <v>4.3499999999999996</v>
      </c>
      <c r="DJ42" s="53"/>
      <c r="DK42" s="53"/>
      <c r="DL42" s="53"/>
      <c r="DM42" s="53"/>
      <c r="DN42" s="63"/>
      <c r="DO42" s="63"/>
      <c r="DP42" s="62"/>
      <c r="DQ42" s="62"/>
      <c r="DR42" s="62"/>
      <c r="DS42" s="61"/>
      <c r="DU42" s="62" t="s">
        <v>6</v>
      </c>
      <c r="DV42" s="62">
        <v>34</v>
      </c>
      <c r="DW42" s="58">
        <v>4.3499999999999996</v>
      </c>
      <c r="DX42" s="53"/>
      <c r="DY42" s="53"/>
      <c r="DZ42" s="53"/>
      <c r="EA42" s="53"/>
      <c r="EB42" s="63"/>
      <c r="EC42" s="63"/>
      <c r="ED42" s="62"/>
      <c r="EE42" s="62"/>
      <c r="EF42" s="62"/>
      <c r="EG42" s="61"/>
    </row>
    <row r="43" spans="1:139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C43" s="62" t="s">
        <v>1</v>
      </c>
      <c r="BD43" s="62">
        <v>35</v>
      </c>
      <c r="BE43" s="58">
        <v>4.3499999999999996</v>
      </c>
      <c r="BF43" s="53"/>
      <c r="BG43" s="53"/>
      <c r="BH43" s="53"/>
      <c r="BI43" s="53"/>
      <c r="BJ43" s="63"/>
      <c r="BK43" s="63"/>
      <c r="BL43" s="62"/>
      <c r="BM43" s="62"/>
      <c r="BN43" s="62"/>
      <c r="BO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E43" s="62" t="s">
        <v>1</v>
      </c>
      <c r="CF43" s="62">
        <v>35</v>
      </c>
      <c r="CG43" s="58">
        <v>4.3499999999999996</v>
      </c>
      <c r="CH43" s="53"/>
      <c r="CI43" s="53"/>
      <c r="CJ43" s="53"/>
      <c r="CK43" s="53"/>
      <c r="CL43" s="63"/>
      <c r="CM43" s="63"/>
      <c r="CN43" s="62"/>
      <c r="CO43" s="62"/>
      <c r="CP43" s="62"/>
      <c r="CQ43" s="61"/>
      <c r="CS43" s="62" t="s">
        <v>1</v>
      </c>
      <c r="CT43" s="62">
        <v>35</v>
      </c>
      <c r="CU43" s="58">
        <v>4.3499999999999996</v>
      </c>
      <c r="CV43" s="53"/>
      <c r="CW43" s="53"/>
      <c r="CX43" s="53"/>
      <c r="CY43" s="53"/>
      <c r="CZ43" s="63"/>
      <c r="DA43" s="63"/>
      <c r="DB43" s="62"/>
      <c r="DC43" s="62"/>
      <c r="DD43" s="62"/>
      <c r="DE43" s="61"/>
      <c r="DG43" s="62" t="s">
        <v>1</v>
      </c>
      <c r="DH43" s="62">
        <v>35</v>
      </c>
      <c r="DI43" s="58">
        <v>4.3499999999999996</v>
      </c>
      <c r="DJ43" s="53"/>
      <c r="DK43" s="53"/>
      <c r="DL43" s="53"/>
      <c r="DM43" s="53"/>
      <c r="DN43" s="63"/>
      <c r="DO43" s="63"/>
      <c r="DP43" s="62"/>
      <c r="DQ43" s="62"/>
      <c r="DR43" s="62"/>
      <c r="DS43" s="61"/>
      <c r="DU43" s="62" t="s">
        <v>1</v>
      </c>
      <c r="DV43" s="62">
        <v>35</v>
      </c>
      <c r="DW43" s="58">
        <v>4.3499999999999996</v>
      </c>
      <c r="DX43" s="53"/>
      <c r="DY43" s="53"/>
      <c r="DZ43" s="53"/>
      <c r="EA43" s="53"/>
      <c r="EB43" s="63"/>
      <c r="EC43" s="63"/>
      <c r="ED43" s="62"/>
      <c r="EE43" s="62"/>
      <c r="EF43" s="62"/>
      <c r="EG43" s="61"/>
    </row>
    <row r="44" spans="1:139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C44" s="8"/>
      <c r="BD44" s="7"/>
      <c r="BE44" s="64"/>
      <c r="BF44" s="64"/>
      <c r="BG44" s="64"/>
      <c r="BH44" s="64"/>
      <c r="BI44" s="64"/>
      <c r="BJ44" s="65"/>
      <c r="BK44" s="65"/>
      <c r="BL44" s="8"/>
      <c r="BM44" s="8"/>
      <c r="BN44" s="8"/>
      <c r="BO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E44" s="8"/>
      <c r="CF44" s="7"/>
      <c r="CG44" s="64"/>
      <c r="CH44" s="64"/>
      <c r="CI44" s="64"/>
      <c r="CJ44" s="64"/>
      <c r="CK44" s="64"/>
      <c r="CL44" s="65"/>
      <c r="CM44" s="65"/>
      <c r="CN44" s="8"/>
      <c r="CO44" s="8"/>
      <c r="CP44" s="8"/>
      <c r="CQ44" s="66"/>
      <c r="CS44" s="8"/>
      <c r="CT44" s="7"/>
      <c r="CU44" s="64"/>
      <c r="CV44" s="64"/>
      <c r="CW44" s="64"/>
      <c r="CX44" s="64"/>
      <c r="CY44" s="64"/>
      <c r="CZ44" s="65"/>
      <c r="DA44" s="65"/>
      <c r="DB44" s="8"/>
      <c r="DC44" s="8"/>
      <c r="DD44" s="8"/>
      <c r="DE44" s="66"/>
      <c r="DG44" s="8"/>
      <c r="DH44" s="7"/>
      <c r="DI44" s="64"/>
      <c r="DJ44" s="64"/>
      <c r="DK44" s="64"/>
      <c r="DL44" s="64"/>
      <c r="DM44" s="64"/>
      <c r="DN44" s="65"/>
      <c r="DO44" s="65"/>
      <c r="DP44" s="8"/>
      <c r="DQ44" s="8"/>
      <c r="DR44" s="8"/>
      <c r="DS44" s="66"/>
      <c r="DU44" s="8"/>
      <c r="DV44" s="7"/>
      <c r="DW44" s="64"/>
      <c r="DX44" s="64"/>
      <c r="DY44" s="64"/>
      <c r="DZ44" s="64"/>
      <c r="EA44" s="64"/>
      <c r="EB44" s="65"/>
      <c r="EC44" s="65"/>
      <c r="ED44" s="8"/>
      <c r="EE44" s="8"/>
      <c r="EF44" s="8"/>
      <c r="EG44" s="66"/>
    </row>
    <row r="45" spans="1:139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C45" s="38"/>
      <c r="BD45" s="38"/>
      <c r="BE45" s="24"/>
      <c r="BF45" s="24"/>
      <c r="BG45" s="135"/>
      <c r="BH45" s="24"/>
      <c r="BI45" s="24"/>
      <c r="BJ45" s="22"/>
      <c r="BK45" s="22"/>
      <c r="BL45" s="38"/>
      <c r="BM45" s="24"/>
      <c r="BN45" s="24"/>
      <c r="BO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E45" s="38"/>
      <c r="CF45" s="38"/>
      <c r="CG45" s="24"/>
      <c r="CH45" s="24"/>
      <c r="CI45" s="135"/>
      <c r="CJ45" s="24"/>
      <c r="CK45" s="24"/>
      <c r="CL45" s="22"/>
      <c r="CM45" s="22"/>
      <c r="CN45" s="38"/>
      <c r="CO45" s="24"/>
      <c r="CP45" s="24"/>
      <c r="CQ45" s="25"/>
      <c r="CS45" s="38"/>
      <c r="CT45" s="38"/>
      <c r="CU45" s="24"/>
      <c r="CV45" s="24"/>
      <c r="CX45" s="24"/>
      <c r="CY45" s="24"/>
      <c r="CZ45" s="22"/>
      <c r="DA45" s="22"/>
      <c r="DB45" s="38"/>
      <c r="DC45" s="24"/>
      <c r="DD45" s="24"/>
      <c r="DE45" s="25"/>
      <c r="DG45" s="38"/>
      <c r="DH45" s="38"/>
      <c r="DI45" s="24"/>
      <c r="DJ45" s="24"/>
      <c r="DK45" s="135"/>
      <c r="DL45" s="24"/>
      <c r="DM45" s="24"/>
      <c r="DN45" s="22"/>
      <c r="DO45" s="22"/>
      <c r="DP45" s="38"/>
      <c r="DQ45" s="24"/>
      <c r="DR45" s="24"/>
      <c r="DS45" s="25"/>
      <c r="DU45" s="38"/>
      <c r="DV45" s="38"/>
      <c r="DW45" s="24"/>
      <c r="DX45" s="24"/>
      <c r="DY45" s="135"/>
      <c r="DZ45" s="24"/>
      <c r="EA45" s="24"/>
      <c r="EB45" s="22"/>
      <c r="EC45" s="22"/>
      <c r="ED45" s="38"/>
      <c r="EE45" s="24"/>
      <c r="EF45" s="24"/>
      <c r="EG45" s="25"/>
    </row>
    <row r="46" spans="1:139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C46" s="160" t="s">
        <v>58</v>
      </c>
      <c r="BD46" s="161"/>
      <c r="BE46" s="148" t="s">
        <v>10</v>
      </c>
      <c r="BF46" s="149"/>
      <c r="BG46" s="148" t="s">
        <v>11</v>
      </c>
      <c r="BH46" s="149"/>
      <c r="BI46" s="146" t="s">
        <v>6</v>
      </c>
      <c r="BJ46" s="147"/>
      <c r="BK46" s="84"/>
      <c r="BL46" s="158" t="s">
        <v>16</v>
      </c>
      <c r="BM46" s="159"/>
      <c r="BN46" s="158" t="s">
        <v>17</v>
      </c>
      <c r="BO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E46" s="160" t="s">
        <v>58</v>
      </c>
      <c r="CF46" s="161"/>
      <c r="CG46" s="148" t="s">
        <v>10</v>
      </c>
      <c r="CH46" s="149"/>
      <c r="CI46" s="148" t="s">
        <v>11</v>
      </c>
      <c r="CJ46" s="149"/>
      <c r="CK46" s="146" t="s">
        <v>6</v>
      </c>
      <c r="CL46" s="147"/>
      <c r="CM46" s="84"/>
      <c r="CN46" s="158" t="s">
        <v>16</v>
      </c>
      <c r="CO46" s="159"/>
      <c r="CP46" s="158" t="s">
        <v>17</v>
      </c>
      <c r="CQ46" s="159"/>
      <c r="CS46" s="160" t="s">
        <v>58</v>
      </c>
      <c r="CT46" s="161"/>
      <c r="CU46" s="148" t="s">
        <v>10</v>
      </c>
      <c r="CV46" s="149"/>
      <c r="CW46" s="148" t="s">
        <v>11</v>
      </c>
      <c r="CX46" s="149"/>
      <c r="CY46" s="146" t="s">
        <v>6</v>
      </c>
      <c r="CZ46" s="147"/>
      <c r="DA46" s="84"/>
      <c r="DB46" s="158" t="s">
        <v>16</v>
      </c>
      <c r="DC46" s="159"/>
      <c r="DD46" s="158" t="s">
        <v>17</v>
      </c>
      <c r="DE46" s="159"/>
      <c r="DG46" s="160" t="s">
        <v>58</v>
      </c>
      <c r="DH46" s="161"/>
      <c r="DI46" s="148" t="s">
        <v>10</v>
      </c>
      <c r="DJ46" s="149"/>
      <c r="DK46" s="148" t="s">
        <v>11</v>
      </c>
      <c r="DL46" s="149"/>
      <c r="DM46" s="146" t="s">
        <v>6</v>
      </c>
      <c r="DN46" s="147"/>
      <c r="DO46" s="84"/>
      <c r="DP46" s="158" t="s">
        <v>16</v>
      </c>
      <c r="DQ46" s="159"/>
      <c r="DR46" s="158" t="s">
        <v>17</v>
      </c>
      <c r="DS46" s="159"/>
      <c r="DU46" s="160" t="s">
        <v>58</v>
      </c>
      <c r="DV46" s="161"/>
      <c r="DW46" s="148" t="s">
        <v>10</v>
      </c>
      <c r="DX46" s="149"/>
      <c r="DY46" s="148" t="s">
        <v>11</v>
      </c>
      <c r="DZ46" s="149"/>
      <c r="EA46" s="146" t="s">
        <v>6</v>
      </c>
      <c r="EB46" s="147"/>
      <c r="EC46" s="84"/>
      <c r="ED46" s="158" t="s">
        <v>16</v>
      </c>
      <c r="EE46" s="159"/>
      <c r="EF46" s="158" t="s">
        <v>17</v>
      </c>
      <c r="EG46" s="159"/>
    </row>
    <row r="47" spans="1:139" s="4" customFormat="1" ht="18.5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118.75</v>
      </c>
      <c r="F47" s="157"/>
      <c r="G47" s="150">
        <f>SUM(F51)</f>
        <v>10.633333333333335</v>
      </c>
      <c r="H47" s="151"/>
      <c r="I47" s="85"/>
      <c r="J47" s="152">
        <f>COUNT(E9)</f>
        <v>1</v>
      </c>
      <c r="K47" s="153"/>
      <c r="L47" s="152">
        <f>J51</f>
        <v>0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118.75</v>
      </c>
      <c r="T47" s="157"/>
      <c r="U47" s="150">
        <f>SUM(T51)</f>
        <v>17</v>
      </c>
      <c r="V47" s="151"/>
      <c r="W47" s="85"/>
      <c r="X47" s="152">
        <f>COUNT(S9)</f>
        <v>1</v>
      </c>
      <c r="Y47" s="153"/>
      <c r="Z47" s="152">
        <f>X51</f>
        <v>0</v>
      </c>
      <c r="AA47" s="153"/>
      <c r="AB47" s="162"/>
      <c r="AC47" s="163"/>
      <c r="AD47" s="154">
        <f>COUNT(AI10:AI13,AI15:AI20,AI22:AI27,AI29:AI34,AI36:AI38)</f>
        <v>24</v>
      </c>
      <c r="AE47" s="155"/>
      <c r="AF47" s="156">
        <f>SUM(AB51-AF51)</f>
        <v>113.61666666666667</v>
      </c>
      <c r="AG47" s="157"/>
      <c r="AH47" s="150">
        <f>SUM(AG51)</f>
        <v>4.0666666666666655</v>
      </c>
      <c r="AI47" s="151"/>
      <c r="AJ47" s="85"/>
      <c r="AK47" s="152">
        <f>COUNT(AF9)</f>
        <v>1</v>
      </c>
      <c r="AL47" s="153"/>
      <c r="AM47" s="152">
        <f>AK51</f>
        <v>0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118.75</v>
      </c>
      <c r="AU47" s="157"/>
      <c r="AV47" s="150">
        <f>SUM(AU51)</f>
        <v>11.783333333333331</v>
      </c>
      <c r="AW47" s="151"/>
      <c r="AX47" s="85"/>
      <c r="AY47" s="152">
        <f>COUNT(AT9)</f>
        <v>1</v>
      </c>
      <c r="AZ47" s="153"/>
      <c r="BA47" s="152">
        <f>AY51</f>
        <v>0</v>
      </c>
      <c r="BB47" s="153"/>
      <c r="BC47" s="162"/>
      <c r="BD47" s="163"/>
      <c r="BE47" s="154">
        <f>COUNT(BJ10:BJ13,BJ15:BJ20,BJ22:BJ27,BJ29:BJ34,BJ36:BJ38)</f>
        <v>24</v>
      </c>
      <c r="BF47" s="155"/>
      <c r="BG47" s="156">
        <f>SUM(BC51-BG51)</f>
        <v>103.30000000000001</v>
      </c>
      <c r="BH47" s="157"/>
      <c r="BI47" s="150">
        <f>SUM(BH51)</f>
        <v>0</v>
      </c>
      <c r="BJ47" s="151"/>
      <c r="BK47" s="85"/>
      <c r="BL47" s="152">
        <f>COUNT(BG9)</f>
        <v>1</v>
      </c>
      <c r="BM47" s="153"/>
      <c r="BN47" s="152">
        <f>BL51</f>
        <v>0</v>
      </c>
      <c r="BO47" s="153"/>
      <c r="BQ47" s="162"/>
      <c r="BR47" s="163"/>
      <c r="BS47" s="154">
        <f>COUNT(BX10:BX13,BX15:BX20,BX22:BX27,BX29:BX34,BX36:BX38)</f>
        <v>25</v>
      </c>
      <c r="BT47" s="155"/>
      <c r="BU47" s="156">
        <f>SUM(BQ51-BU51)</f>
        <v>118.75</v>
      </c>
      <c r="BV47" s="157"/>
      <c r="BW47" s="150">
        <f>SUM(BV51)</f>
        <v>0</v>
      </c>
      <c r="BX47" s="151"/>
      <c r="BY47" s="85"/>
      <c r="BZ47" s="152">
        <f>COUNT(BU9)</f>
        <v>1</v>
      </c>
      <c r="CA47" s="153"/>
      <c r="CB47" s="152">
        <f>BZ51</f>
        <v>0</v>
      </c>
      <c r="CC47" s="153"/>
      <c r="CE47" s="162"/>
      <c r="CF47" s="163"/>
      <c r="CG47" s="154">
        <f>COUNT(CL10:CL13,CL15:CL20,CL22:CL27,CL29:CL34,CL36:CL38)</f>
        <v>25</v>
      </c>
      <c r="CH47" s="155"/>
      <c r="CI47" s="156">
        <f>SUM(CE51-CI51)</f>
        <v>118.75</v>
      </c>
      <c r="CJ47" s="157"/>
      <c r="CK47" s="150">
        <f>SUM(CJ51)</f>
        <v>16.783333333333328</v>
      </c>
      <c r="CL47" s="151"/>
      <c r="CM47" s="85"/>
      <c r="CN47" s="152">
        <f>COUNT(CI9)</f>
        <v>1</v>
      </c>
      <c r="CO47" s="153"/>
      <c r="CP47" s="152">
        <f>CN51</f>
        <v>0</v>
      </c>
      <c r="CQ47" s="153"/>
      <c r="CS47" s="162"/>
      <c r="CT47" s="163"/>
      <c r="CU47" s="154">
        <f>COUNT(CZ11:CZ16,CZ18:CZ23,CZ25:CZ30,CZ32:CZ37,CZ39)</f>
        <v>0</v>
      </c>
      <c r="CV47" s="155"/>
      <c r="CW47" s="156">
        <f>SUM(CS51-CW51)</f>
        <v>0</v>
      </c>
      <c r="CX47" s="157"/>
      <c r="CY47" s="150">
        <f>SUM(CX51)</f>
        <v>0</v>
      </c>
      <c r="CZ47" s="151"/>
      <c r="DA47" s="85"/>
      <c r="DB47" s="152">
        <f>COUNT(CW9)</f>
        <v>0</v>
      </c>
      <c r="DC47" s="153"/>
      <c r="DD47" s="152">
        <f>DB51</f>
        <v>0</v>
      </c>
      <c r="DE47" s="153"/>
      <c r="DG47" s="162"/>
      <c r="DH47" s="163"/>
      <c r="DI47" s="154">
        <f>COUNT(DN10:DN13,DN15:DN20,DN22:DN27,DN29:DN34,DN36:DN38)</f>
        <v>24</v>
      </c>
      <c r="DJ47" s="155"/>
      <c r="DK47" s="156">
        <f>SUM(DG51-DK51)</f>
        <v>113.91666666666667</v>
      </c>
      <c r="DL47" s="157"/>
      <c r="DM47" s="150">
        <f>SUM(DL51)</f>
        <v>6.3333333333333321</v>
      </c>
      <c r="DN47" s="151"/>
      <c r="DO47" s="85"/>
      <c r="DP47" s="152">
        <f>COUNT(DK9)</f>
        <v>1</v>
      </c>
      <c r="DQ47" s="153"/>
      <c r="DR47" s="152">
        <f>DP51</f>
        <v>0</v>
      </c>
      <c r="DS47" s="153"/>
      <c r="DU47" s="162"/>
      <c r="DV47" s="163"/>
      <c r="DW47" s="154">
        <f>COUNT(EB10:EB13,EB15:EB20,EB22:EB27,EB29:EB34,EB36:EB38)</f>
        <v>25</v>
      </c>
      <c r="DX47" s="155"/>
      <c r="DY47" s="156">
        <f>SUM(DU51-DY51)</f>
        <v>117.5</v>
      </c>
      <c r="DZ47" s="157"/>
      <c r="EA47" s="150">
        <f>SUM(DZ51)</f>
        <v>10.933333333333332</v>
      </c>
      <c r="EB47" s="151"/>
      <c r="EC47" s="85"/>
      <c r="ED47" s="152">
        <f>COUNT(DY9)</f>
        <v>1</v>
      </c>
      <c r="EE47" s="153"/>
      <c r="EF47" s="152">
        <f>ED51</f>
        <v>0</v>
      </c>
      <c r="EG47" s="153"/>
    </row>
    <row r="48" spans="1:139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C48" s="38"/>
      <c r="BD48" s="38"/>
      <c r="BE48" s="24"/>
      <c r="BF48" s="24"/>
      <c r="BG48" s="24"/>
      <c r="BH48" s="24"/>
      <c r="BI48" s="24"/>
      <c r="BJ48" s="22"/>
      <c r="BK48" s="22"/>
      <c r="BL48" s="38"/>
      <c r="BM48" s="24"/>
      <c r="BN48" s="24"/>
      <c r="BO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E48" s="38"/>
      <c r="CF48" s="38"/>
      <c r="CG48" s="24"/>
      <c r="CH48" s="24"/>
      <c r="CI48" s="24"/>
      <c r="CJ48" s="24"/>
      <c r="CK48" s="24"/>
      <c r="CL48" s="22"/>
      <c r="CM48" s="22"/>
      <c r="CN48" s="38"/>
      <c r="CO48" s="24"/>
      <c r="CP48" s="24"/>
      <c r="CQ48" s="25"/>
      <c r="CS48" s="38"/>
      <c r="CT48" s="38"/>
      <c r="CU48" s="24"/>
      <c r="CV48" s="24"/>
      <c r="CW48" s="24"/>
      <c r="CX48" s="24"/>
      <c r="CY48" s="24"/>
      <c r="CZ48" s="22"/>
      <c r="DA48" s="22"/>
      <c r="DB48" s="38"/>
      <c r="DC48" s="24"/>
      <c r="DD48" s="24"/>
      <c r="DE48" s="25"/>
      <c r="DG48" s="38"/>
      <c r="DH48" s="38"/>
      <c r="DI48" s="24"/>
      <c r="DJ48" s="24"/>
      <c r="DK48" s="24"/>
      <c r="DL48" s="24"/>
      <c r="DM48" s="24"/>
      <c r="DN48" s="22"/>
      <c r="DO48" s="22"/>
      <c r="DP48" s="38"/>
      <c r="DQ48" s="24"/>
      <c r="DR48" s="24"/>
      <c r="DS48" s="25"/>
      <c r="DU48" s="38"/>
      <c r="DV48" s="38"/>
      <c r="DW48" s="24"/>
      <c r="DX48" s="24"/>
      <c r="DY48" s="24"/>
      <c r="DZ48" s="24"/>
      <c r="EA48" s="24"/>
      <c r="EB48" s="22"/>
      <c r="EC48" s="22"/>
      <c r="ED48" s="38"/>
      <c r="EE48" s="24"/>
      <c r="EF48" s="24"/>
      <c r="EG48" s="25"/>
    </row>
    <row r="49" spans="1:137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C49" s="38"/>
      <c r="BD49" s="38"/>
      <c r="BE49" s="24"/>
      <c r="BF49" s="24"/>
      <c r="BG49" s="24"/>
      <c r="BH49" s="24"/>
      <c r="BI49" s="24"/>
      <c r="BJ49" s="22"/>
      <c r="BK49" s="22"/>
      <c r="BL49" s="38"/>
      <c r="BM49" s="24"/>
      <c r="BN49" s="24"/>
      <c r="BO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E49" s="38"/>
      <c r="CF49" s="38"/>
      <c r="CG49" s="24"/>
      <c r="CH49" s="24"/>
      <c r="CI49" s="24"/>
      <c r="CJ49" s="24"/>
      <c r="CK49" s="24"/>
      <c r="CL49" s="22"/>
      <c r="CM49" s="22"/>
      <c r="CN49" s="38"/>
      <c r="CO49" s="24"/>
      <c r="CP49" s="24"/>
      <c r="CQ49" s="25"/>
      <c r="CS49" s="38"/>
      <c r="CT49" s="38"/>
      <c r="CU49" s="24"/>
      <c r="CV49" s="24"/>
      <c r="CW49" s="24"/>
      <c r="CX49" s="24"/>
      <c r="CY49" s="24"/>
      <c r="CZ49" s="22"/>
      <c r="DA49" s="22"/>
      <c r="DB49" s="38"/>
      <c r="DC49" s="24"/>
      <c r="DD49" s="24"/>
      <c r="DE49" s="25"/>
      <c r="DG49" s="38"/>
      <c r="DH49" s="38"/>
      <c r="DI49" s="24"/>
      <c r="DJ49" s="24"/>
      <c r="DK49" s="24"/>
      <c r="DL49" s="24"/>
      <c r="DM49" s="24"/>
      <c r="DN49" s="22"/>
      <c r="DO49" s="22"/>
      <c r="DP49" s="38"/>
      <c r="DQ49" s="24"/>
      <c r="DR49" s="24"/>
      <c r="DS49" s="25"/>
      <c r="DU49" s="38"/>
      <c r="DV49" s="38"/>
      <c r="DW49" s="24"/>
      <c r="DX49" s="24"/>
      <c r="DY49" s="24"/>
      <c r="DZ49" s="24"/>
      <c r="EA49" s="24"/>
      <c r="EB49" s="22"/>
      <c r="EC49" s="22"/>
      <c r="ED49" s="38"/>
      <c r="EE49" s="24"/>
      <c r="EF49" s="24"/>
      <c r="EG49" s="25"/>
    </row>
    <row r="50" spans="1:137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C50" s="140" t="s">
        <v>18</v>
      </c>
      <c r="BD50" s="141"/>
      <c r="BE50" s="41" t="s">
        <v>13</v>
      </c>
      <c r="BF50" s="41" t="s">
        <v>14</v>
      </c>
      <c r="BG50" s="26" t="s">
        <v>19</v>
      </c>
      <c r="BH50" s="27" t="s">
        <v>6</v>
      </c>
      <c r="BI50" s="28" t="s">
        <v>13</v>
      </c>
      <c r="BJ50" s="29" t="s">
        <v>14</v>
      </c>
      <c r="BK50" s="142"/>
      <c r="BL50" s="45" t="s">
        <v>16</v>
      </c>
      <c r="BM50" s="46" t="s">
        <v>13</v>
      </c>
      <c r="BN50" s="47" t="s">
        <v>14</v>
      </c>
      <c r="BO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E50" s="140" t="s">
        <v>18</v>
      </c>
      <c r="CF50" s="141"/>
      <c r="CG50" s="41" t="s">
        <v>13</v>
      </c>
      <c r="CH50" s="41" t="s">
        <v>14</v>
      </c>
      <c r="CI50" s="26" t="s">
        <v>19</v>
      </c>
      <c r="CJ50" s="27" t="s">
        <v>6</v>
      </c>
      <c r="CK50" s="28" t="s">
        <v>13</v>
      </c>
      <c r="CL50" s="29" t="s">
        <v>14</v>
      </c>
      <c r="CM50" s="142"/>
      <c r="CN50" s="45" t="s">
        <v>16</v>
      </c>
      <c r="CO50" s="46" t="s">
        <v>13</v>
      </c>
      <c r="CP50" s="47" t="s">
        <v>14</v>
      </c>
      <c r="CQ50" s="67"/>
      <c r="CS50" s="140" t="s">
        <v>18</v>
      </c>
      <c r="CT50" s="141"/>
      <c r="CU50" s="41" t="s">
        <v>13</v>
      </c>
      <c r="CV50" s="41" t="s">
        <v>14</v>
      </c>
      <c r="CW50" s="26" t="s">
        <v>19</v>
      </c>
      <c r="CX50" s="27" t="s">
        <v>6</v>
      </c>
      <c r="CY50" s="28" t="s">
        <v>13</v>
      </c>
      <c r="CZ50" s="29" t="s">
        <v>14</v>
      </c>
      <c r="DA50" s="142"/>
      <c r="DB50" s="45" t="s">
        <v>16</v>
      </c>
      <c r="DC50" s="46" t="s">
        <v>13</v>
      </c>
      <c r="DD50" s="47" t="s">
        <v>14</v>
      </c>
      <c r="DE50" s="67"/>
      <c r="DG50" s="140" t="s">
        <v>18</v>
      </c>
      <c r="DH50" s="141"/>
      <c r="DI50" s="41" t="s">
        <v>13</v>
      </c>
      <c r="DJ50" s="41" t="s">
        <v>14</v>
      </c>
      <c r="DK50" s="26" t="s">
        <v>19</v>
      </c>
      <c r="DL50" s="27" t="s">
        <v>6</v>
      </c>
      <c r="DM50" s="28" t="s">
        <v>13</v>
      </c>
      <c r="DN50" s="29" t="s">
        <v>14</v>
      </c>
      <c r="DO50" s="142"/>
      <c r="DP50" s="45" t="s">
        <v>16</v>
      </c>
      <c r="DQ50" s="46" t="s">
        <v>13</v>
      </c>
      <c r="DR50" s="47" t="s">
        <v>14</v>
      </c>
      <c r="DS50" s="67"/>
      <c r="DU50" s="140" t="s">
        <v>18</v>
      </c>
      <c r="DV50" s="141"/>
      <c r="DW50" s="41" t="s">
        <v>13</v>
      </c>
      <c r="DX50" s="41" t="s">
        <v>14</v>
      </c>
      <c r="DY50" s="26" t="s">
        <v>19</v>
      </c>
      <c r="DZ50" s="27" t="s">
        <v>6</v>
      </c>
      <c r="EA50" s="28" t="s">
        <v>13</v>
      </c>
      <c r="EB50" s="29" t="s">
        <v>14</v>
      </c>
      <c r="EC50" s="142"/>
      <c r="ED50" s="45" t="s">
        <v>16</v>
      </c>
      <c r="EE50" s="46" t="s">
        <v>13</v>
      </c>
      <c r="EF50" s="47" t="s">
        <v>14</v>
      </c>
      <c r="EG50" s="67"/>
    </row>
    <row r="51" spans="1:137" s="2" customFormat="1" ht="29" thickBot="1" x14ac:dyDescent="0.4">
      <c r="A51" s="144">
        <f>SUM(C51+D51/60)</f>
        <v>122.5</v>
      </c>
      <c r="B51" s="145"/>
      <c r="C51" s="30">
        <f>SUM(K10:K13,K15:K20,K22:K27,K29:K34,K36:K38)</f>
        <v>110</v>
      </c>
      <c r="D51" s="30">
        <f>SUM(L10:L13,L15:L20,L22:L27,L29:L34,L36:L38)</f>
        <v>750</v>
      </c>
      <c r="E51" s="104">
        <f>C47*0.15</f>
        <v>3.75</v>
      </c>
      <c r="F51" s="31">
        <f>SUM(G51+H51/60)</f>
        <v>10.633333333333335</v>
      </c>
      <c r="G51" s="32">
        <f>SUM(K14,K21,K28,K35)</f>
        <v>9</v>
      </c>
      <c r="H51" s="32">
        <f>SUM(L14,L21,L28,L35)</f>
        <v>98.000000000000043</v>
      </c>
      <c r="I51" s="143"/>
      <c r="J51" s="48">
        <f>(K51+L51/60)</f>
        <v>0</v>
      </c>
      <c r="K51" s="49">
        <f>SUM(K9)</f>
        <v>0</v>
      </c>
      <c r="L51" s="68">
        <f>SUM(L9)</f>
        <v>0</v>
      </c>
      <c r="M51" s="67"/>
      <c r="O51" s="144">
        <f>SUM(Q51+R51/60)</f>
        <v>122.5</v>
      </c>
      <c r="P51" s="145"/>
      <c r="Q51" s="30">
        <f>SUM(Y10:Y13,Y15:Y20,Y22:Y27,Y29:Y34,Y36:Y38)</f>
        <v>110</v>
      </c>
      <c r="R51" s="30">
        <f>SUM(Z10:Z13,Z15:Z20,Z22:Z27,Z29:Z34,Z36:Z38)</f>
        <v>750</v>
      </c>
      <c r="S51" s="104">
        <f>Q47*0.15</f>
        <v>3.75</v>
      </c>
      <c r="T51" s="31">
        <f>SUM(U51+V51/60)</f>
        <v>17</v>
      </c>
      <c r="U51" s="32">
        <f>SUM(Y14,Y21,Y28,Y35)</f>
        <v>16</v>
      </c>
      <c r="V51" s="32">
        <f>SUM(Z14,Z21,Z28,Z35)</f>
        <v>59.999999999999964</v>
      </c>
      <c r="W51" s="143"/>
      <c r="X51" s="48">
        <f>(Y51+Z51/60)</f>
        <v>0</v>
      </c>
      <c r="Y51" s="49">
        <f>SUM(Y9)</f>
        <v>0</v>
      </c>
      <c r="Z51" s="68">
        <f>SUM(Z9)</f>
        <v>0</v>
      </c>
      <c r="AA51" s="67"/>
      <c r="AB51" s="144">
        <f>SUM(AD51+AE51/60)</f>
        <v>117.21666666666667</v>
      </c>
      <c r="AC51" s="145"/>
      <c r="AD51" s="30">
        <f>SUM(AL10:AL13,AL15:AL20,AL22:AL27,AL29:AL34,AL36:AL38)</f>
        <v>105</v>
      </c>
      <c r="AE51" s="30">
        <f>SUM(AM10:AM13,AM15:AM20,AM22:AM27,AM29:AM34,AM36:AM38)</f>
        <v>732.99999999999989</v>
      </c>
      <c r="AF51" s="104">
        <f>AD47*0.15</f>
        <v>3.5999999999999996</v>
      </c>
      <c r="AG51" s="31">
        <f>SUM(AH51+AI51/60)</f>
        <v>4.0666666666666655</v>
      </c>
      <c r="AH51" s="32">
        <f>SUM(AL14,AL21,AL28,AL35)</f>
        <v>4</v>
      </c>
      <c r="AI51" s="32">
        <f>SUM(AM14,AM21,AM28,AM35)</f>
        <v>3.9999999999999147</v>
      </c>
      <c r="AJ51" s="143"/>
      <c r="AK51" s="48">
        <f>(AL51+AM51/60)</f>
        <v>0</v>
      </c>
      <c r="AL51" s="49">
        <f>SUM(AL9)</f>
        <v>0</v>
      </c>
      <c r="AM51" s="68">
        <f>SUM(AM9)</f>
        <v>0</v>
      </c>
      <c r="AN51" s="67"/>
      <c r="AP51" s="144">
        <f>SUM(AR51+AS51/60)</f>
        <v>122.5</v>
      </c>
      <c r="AQ51" s="145"/>
      <c r="AR51" s="30">
        <f>SUM(AZ10:AZ13,AZ15:AZ20,AZ22:AZ27,AZ29:AZ34,AZ36:AZ38)</f>
        <v>110</v>
      </c>
      <c r="AS51" s="30">
        <f>SUM(BA10:BA13,BA15:BA20,BA22:BA27,BA29:BA34,BA36:BA38)</f>
        <v>750</v>
      </c>
      <c r="AT51" s="104">
        <f>AR47*0.15</f>
        <v>3.75</v>
      </c>
      <c r="AU51" s="31">
        <f>SUM(AV51+AW51/60)</f>
        <v>11.783333333333331</v>
      </c>
      <c r="AV51" s="32">
        <f>SUM(AZ14,AZ21,AZ28,AZ35)</f>
        <v>11</v>
      </c>
      <c r="AW51" s="32">
        <f>SUM(BA14,BA21,BA28,BA35)</f>
        <v>46.999999999999886</v>
      </c>
      <c r="AX51" s="143"/>
      <c r="AY51" s="48">
        <f>(AZ51+BA51/60)</f>
        <v>0</v>
      </c>
      <c r="AZ51" s="49">
        <f>SUM(AZ9)</f>
        <v>0</v>
      </c>
      <c r="BA51" s="68">
        <f>SUM(BA9)</f>
        <v>0</v>
      </c>
      <c r="BB51" s="67"/>
      <c r="BC51" s="144">
        <f>SUM(BE51+BF51/60)</f>
        <v>106.9</v>
      </c>
      <c r="BD51" s="145"/>
      <c r="BE51" s="30">
        <f>SUM(BM10:BM13,BM15:BM20,BM22:BM27,BM29:BM34,BM36:BM38)</f>
        <v>96</v>
      </c>
      <c r="BF51" s="30">
        <f>SUM(BN10:BN13,BN15:BN20,BN22:BN27,BN29:BN34,BN36:BN38)</f>
        <v>654.00000000000011</v>
      </c>
      <c r="BG51" s="104">
        <f>BE47*0.15</f>
        <v>3.5999999999999996</v>
      </c>
      <c r="BH51" s="31">
        <f>SUM(BI51+BJ51/60)</f>
        <v>0</v>
      </c>
      <c r="BI51" s="32">
        <f>SUM(BM14,BM21,BM28,BM35)</f>
        <v>0</v>
      </c>
      <c r="BJ51" s="32">
        <f>SUM(BN14,BN21,BN28,BN35)</f>
        <v>0</v>
      </c>
      <c r="BK51" s="143"/>
      <c r="BL51" s="48">
        <f>(BM51+BN51/60)</f>
        <v>0</v>
      </c>
      <c r="BM51" s="49">
        <f>SUM(BM9)</f>
        <v>0</v>
      </c>
      <c r="BN51" s="68">
        <f>SUM(BN9)</f>
        <v>0</v>
      </c>
      <c r="BO51" s="67"/>
      <c r="BQ51" s="144">
        <f>SUM(BS51+BT51/60)</f>
        <v>122.5</v>
      </c>
      <c r="BR51" s="145"/>
      <c r="BS51" s="30">
        <f>SUM(CA10:CA13,CA15:CA20,CA22:CA27,CA29:CA34,CA36:CA38)</f>
        <v>110</v>
      </c>
      <c r="BT51" s="30">
        <f>SUM(CB10:CB13,CB15:CB20,CB22:CB27,CB29:CB34,CB36:CB38)</f>
        <v>750</v>
      </c>
      <c r="BU51" s="104">
        <f>BS47*0.15</f>
        <v>3.75</v>
      </c>
      <c r="BV51" s="31">
        <f>SUM(BW51+BX51/60)</f>
        <v>0</v>
      </c>
      <c r="BW51" s="32">
        <f>SUM(CA14,CA21,CA28,CA35)</f>
        <v>0</v>
      </c>
      <c r="BX51" s="32">
        <f>SUM(CB14,CB21,CB28,CB35)</f>
        <v>0</v>
      </c>
      <c r="BY51" s="143"/>
      <c r="BZ51" s="48">
        <f>(CA51+CB51/60)</f>
        <v>0</v>
      </c>
      <c r="CA51" s="49">
        <f>SUM(CA9)</f>
        <v>0</v>
      </c>
      <c r="CB51" s="68">
        <f>SUM(CB9)</f>
        <v>0</v>
      </c>
      <c r="CC51" s="67"/>
      <c r="CE51" s="144">
        <f>SUM(CG51+CH51/60)</f>
        <v>122.5</v>
      </c>
      <c r="CF51" s="145"/>
      <c r="CG51" s="30">
        <f>SUM(CO10:CO13,CO15:CO20,CO22:CO27,CO29:CO34,CO36:CO38)</f>
        <v>110</v>
      </c>
      <c r="CH51" s="30">
        <f>SUM(CP10:CP13,CP15:CP20,CP22:CP27,CP29:CP34,CP36:CP38)</f>
        <v>750</v>
      </c>
      <c r="CI51" s="104">
        <f>CG47*0.15</f>
        <v>3.75</v>
      </c>
      <c r="CJ51" s="31">
        <f>SUM(CK51+CL51/60)</f>
        <v>16.783333333333328</v>
      </c>
      <c r="CK51" s="32">
        <f>SUM(CO14,CO21,CO28,CO35)</f>
        <v>16</v>
      </c>
      <c r="CL51" s="32">
        <f>SUM(CP14,CP21,CP28,CP35)</f>
        <v>46.999999999999709</v>
      </c>
      <c r="CM51" s="143"/>
      <c r="CN51" s="48">
        <f>(CO51+CP51/60)</f>
        <v>0</v>
      </c>
      <c r="CO51" s="49">
        <f>SUM(CO9)</f>
        <v>0</v>
      </c>
      <c r="CP51" s="68">
        <f>SUM(CP9)</f>
        <v>0</v>
      </c>
      <c r="CQ51" s="67"/>
      <c r="CS51" s="144">
        <f>SUM(CU51+CV51/60)</f>
        <v>0</v>
      </c>
      <c r="CT51" s="145"/>
      <c r="CU51" s="30">
        <f>SUM(DC11:DC16,DC18:DC23,DC25:DC30,DC32:DC37,DC39)</f>
        <v>0</v>
      </c>
      <c r="CV51" s="30">
        <f>SUM(DD11:DD16,DD18:DD23,DD25:DD30,DD32:DD37,DD39)</f>
        <v>0</v>
      </c>
      <c r="CW51" s="104">
        <f>CU47*0.25</f>
        <v>0</v>
      </c>
      <c r="CX51" s="31">
        <f>SUM(CY51+CZ51/60)</f>
        <v>0</v>
      </c>
      <c r="CY51" s="32">
        <f>SUM(DC10,DC17,DC24,DC31,DC38)</f>
        <v>0</v>
      </c>
      <c r="CZ51" s="32">
        <f>SUM(DD10,DD17,DD24,DD31,DD38)</f>
        <v>0</v>
      </c>
      <c r="DA51" s="143"/>
      <c r="DB51" s="48">
        <f>(DC51+DD51/60)</f>
        <v>0</v>
      </c>
      <c r="DC51" s="49">
        <f>SUM(DC9)</f>
        <v>0</v>
      </c>
      <c r="DD51" s="68">
        <f>SUM(DD9)</f>
        <v>0</v>
      </c>
      <c r="DE51" s="67"/>
      <c r="DG51" s="144">
        <f>SUM(DI51+DJ51/60)</f>
        <v>117.51666666666667</v>
      </c>
      <c r="DH51" s="145"/>
      <c r="DI51" s="30">
        <f>SUM(DQ10:DQ13,DQ15:DQ20,DQ22:DQ27,DQ29:DQ34,DQ36:DQ38)</f>
        <v>106</v>
      </c>
      <c r="DJ51" s="30">
        <f>SUM(DR10:DR13,DR15:DR20,DR22:DR27,DR29:DR34,DR36:DR38)</f>
        <v>690.99999999999989</v>
      </c>
      <c r="DK51" s="104">
        <f>DI47*0.15</f>
        <v>3.5999999999999996</v>
      </c>
      <c r="DL51" s="31">
        <f>SUM(DM51+DN51/60)</f>
        <v>6.3333333333333321</v>
      </c>
      <c r="DM51" s="32">
        <f>SUM(DQ14,DQ21,DQ28,DQ35)</f>
        <v>6</v>
      </c>
      <c r="DN51" s="32">
        <f>SUM(DR14,DR21,DR28,DR35)</f>
        <v>19.999999999999929</v>
      </c>
      <c r="DO51" s="143"/>
      <c r="DP51" s="48">
        <f>(DQ51+DR51/60)</f>
        <v>0</v>
      </c>
      <c r="DQ51" s="49">
        <f>SUM(DQ9)</f>
        <v>0</v>
      </c>
      <c r="DR51" s="68">
        <f>SUM(DR9)</f>
        <v>0</v>
      </c>
      <c r="DS51" s="67"/>
      <c r="DU51" s="144">
        <f>SUM(DW51+DX51/60)</f>
        <v>121.25</v>
      </c>
      <c r="DV51" s="145"/>
      <c r="DW51" s="30">
        <f>SUM(EE10:EE13,EE15:EE20,EE22:EE27,EE29:EE34,EE36:EE38)</f>
        <v>110</v>
      </c>
      <c r="DX51" s="30">
        <f>SUM(EF10:EF13,EF15:EF20,EF22:EF27,EF29:EF34,EF36:EF38)</f>
        <v>675</v>
      </c>
      <c r="DY51" s="104">
        <f>DW47*0.15</f>
        <v>3.75</v>
      </c>
      <c r="DZ51" s="31">
        <f>SUM(EA51+EB51/60)</f>
        <v>10.933333333333332</v>
      </c>
      <c r="EA51" s="32">
        <f>SUM(EE14,EE21,EE28,EE35)</f>
        <v>10</v>
      </c>
      <c r="EB51" s="32">
        <f>SUM(EF14,EF21,EF28,EF35)</f>
        <v>55.999999999999872</v>
      </c>
      <c r="EC51" s="143"/>
      <c r="ED51" s="48">
        <f>(EE51+EF51/60)</f>
        <v>0</v>
      </c>
      <c r="EE51" s="49">
        <f>SUM(EE9)</f>
        <v>0</v>
      </c>
      <c r="EF51" s="68">
        <f>SUM(EF9)</f>
        <v>0</v>
      </c>
      <c r="EG51" s="67"/>
    </row>
    <row r="53" spans="1:137" x14ac:dyDescent="0.35">
      <c r="A53" t="s">
        <v>24</v>
      </c>
      <c r="C53" s="20" t="str">
        <f>+C2</f>
        <v>AHUMED KABIR</v>
      </c>
      <c r="E53" s="101"/>
      <c r="F53" s="101"/>
      <c r="O53" t="s">
        <v>24</v>
      </c>
      <c r="Q53" s="20" t="str">
        <f>+Q2</f>
        <v>ULLAH SANA</v>
      </c>
      <c r="S53" s="101"/>
      <c r="T53" s="101"/>
      <c r="AB53" t="s">
        <v>24</v>
      </c>
      <c r="AD53" s="20" t="str">
        <f>+AD2</f>
        <v>MD NOUSHED</v>
      </c>
      <c r="AF53" s="101"/>
      <c r="AG53" s="101"/>
      <c r="AP53" t="s">
        <v>24</v>
      </c>
      <c r="AR53" s="20" t="str">
        <f>+AR2</f>
        <v>SAGOR MD</v>
      </c>
      <c r="AT53" s="101"/>
      <c r="AU53" s="101"/>
      <c r="BC53" t="s">
        <v>24</v>
      </c>
      <c r="BE53" s="20" t="str">
        <f>+BE2</f>
        <v>HOSSAIN MD SHAMIM</v>
      </c>
      <c r="BG53" s="101"/>
      <c r="BH53" s="101"/>
      <c r="BQ53" t="s">
        <v>24</v>
      </c>
      <c r="BS53" s="20" t="str">
        <f>+BS2</f>
        <v>ISLAM NAEEM</v>
      </c>
      <c r="BU53" s="101"/>
      <c r="BV53" s="101"/>
      <c r="CE53" t="s">
        <v>24</v>
      </c>
      <c r="CG53" s="20" t="str">
        <f>+CG2</f>
        <v>KHANG BHIKHAI</v>
      </c>
      <c r="CI53" s="101"/>
      <c r="CJ53" s="101"/>
      <c r="CS53" t="s">
        <v>24</v>
      </c>
      <c r="CU53" s="20" t="str">
        <f>+CU2</f>
        <v xml:space="preserve">RAMESH </v>
      </c>
      <c r="CW53" s="101"/>
      <c r="CX53" s="101"/>
      <c r="DG53" t="s">
        <v>24</v>
      </c>
      <c r="DI53" s="20" t="str">
        <f>+DI2</f>
        <v>RAUT BARAI BIJAY</v>
      </c>
      <c r="DK53" s="101"/>
      <c r="DL53" s="101"/>
      <c r="DU53" t="s">
        <v>24</v>
      </c>
      <c r="DW53" s="20" t="str">
        <f>+DW2</f>
        <v>DAS MUKESH KUMAR</v>
      </c>
      <c r="DY53" s="101"/>
      <c r="DZ53" s="101"/>
    </row>
    <row r="54" spans="1:137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24</v>
      </c>
      <c r="AE54" s="13" t="s">
        <v>30</v>
      </c>
      <c r="AF54">
        <v>65.38</v>
      </c>
      <c r="AG54" t="s">
        <v>30</v>
      </c>
      <c r="AH54">
        <f>SUM(AD54*AF54)</f>
        <v>1569.12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C54" t="s">
        <v>25</v>
      </c>
      <c r="BE54" s="10">
        <f>+BE5</f>
        <v>24</v>
      </c>
      <c r="BF54" s="13" t="s">
        <v>30</v>
      </c>
      <c r="BG54">
        <v>65.38</v>
      </c>
      <c r="BH54" t="s">
        <v>30</v>
      </c>
      <c r="BI54">
        <f>SUM(BE54*BG54)</f>
        <v>1569.12</v>
      </c>
      <c r="BQ54" t="s">
        <v>25</v>
      </c>
      <c r="BS54" s="10">
        <f>+BS5</f>
        <v>25</v>
      </c>
      <c r="BT54" s="13" t="s">
        <v>30</v>
      </c>
      <c r="BU54">
        <v>65.38</v>
      </c>
      <c r="BV54" t="s">
        <v>30</v>
      </c>
      <c r="BW54">
        <f>SUM(BS54*BU54)</f>
        <v>1634.5</v>
      </c>
      <c r="CE54" t="s">
        <v>25</v>
      </c>
      <c r="CG54" s="10">
        <f>+CG5</f>
        <v>25</v>
      </c>
      <c r="CH54" s="13" t="s">
        <v>30</v>
      </c>
      <c r="CI54">
        <v>65.38</v>
      </c>
      <c r="CJ54" t="s">
        <v>30</v>
      </c>
      <c r="CK54">
        <f>SUM(CG54*CI54)</f>
        <v>1634.5</v>
      </c>
      <c r="CS54" t="s">
        <v>25</v>
      </c>
      <c r="CU54" s="10">
        <f>+CU5</f>
        <v>0</v>
      </c>
      <c r="CV54" s="13" t="s">
        <v>30</v>
      </c>
      <c r="CW54">
        <v>65.38</v>
      </c>
      <c r="CX54" t="s">
        <v>30</v>
      </c>
      <c r="CY54">
        <f>SUM(CU54*CW54)</f>
        <v>0</v>
      </c>
      <c r="DG54" t="s">
        <v>25</v>
      </c>
      <c r="DI54" s="10">
        <f>+DI5</f>
        <v>24</v>
      </c>
      <c r="DJ54" s="13" t="s">
        <v>30</v>
      </c>
      <c r="DK54">
        <v>65.38</v>
      </c>
      <c r="DL54" t="s">
        <v>30</v>
      </c>
      <c r="DM54">
        <f>SUM(DI54*DK54)</f>
        <v>1569.12</v>
      </c>
      <c r="DU54" t="s">
        <v>25</v>
      </c>
      <c r="DW54" s="10">
        <f>+DW5</f>
        <v>25</v>
      </c>
      <c r="DX54" s="13" t="s">
        <v>30</v>
      </c>
      <c r="DY54">
        <v>65.38</v>
      </c>
      <c r="DZ54" t="s">
        <v>30</v>
      </c>
      <c r="EA54">
        <f>SUM(DW54*DY54)</f>
        <v>1634.5</v>
      </c>
    </row>
    <row r="55" spans="1:137" x14ac:dyDescent="0.35">
      <c r="A55" t="s">
        <v>26</v>
      </c>
      <c r="C55" s="11">
        <f>+C6</f>
        <v>118.75</v>
      </c>
      <c r="D55" s="13" t="s">
        <v>30</v>
      </c>
      <c r="E55">
        <v>13.08</v>
      </c>
      <c r="F55" t="s">
        <v>30</v>
      </c>
      <c r="G55">
        <f>SUM(C55*E55)</f>
        <v>1553.25</v>
      </c>
      <c r="O55" t="s">
        <v>26</v>
      </c>
      <c r="Q55" s="11">
        <f>+Q6</f>
        <v>118.75</v>
      </c>
      <c r="R55" s="13" t="s">
        <v>30</v>
      </c>
      <c r="S55">
        <v>13.08</v>
      </c>
      <c r="T55" t="s">
        <v>30</v>
      </c>
      <c r="U55">
        <f>SUM(Q55*S55)</f>
        <v>1553.25</v>
      </c>
      <c r="AB55" t="s">
        <v>26</v>
      </c>
      <c r="AD55" s="11">
        <f>+AD6</f>
        <v>113.61666666666667</v>
      </c>
      <c r="AE55" s="13" t="s">
        <v>30</v>
      </c>
      <c r="AF55">
        <v>13.08</v>
      </c>
      <c r="AG55" t="s">
        <v>30</v>
      </c>
      <c r="AH55">
        <f>SUM(AD55*AF55)</f>
        <v>1486.106</v>
      </c>
      <c r="AP55" t="s">
        <v>26</v>
      </c>
      <c r="AR55" s="11">
        <f>+AR6</f>
        <v>118.75</v>
      </c>
      <c r="AS55" s="13" t="s">
        <v>30</v>
      </c>
      <c r="AT55">
        <v>13.08</v>
      </c>
      <c r="AU55" t="s">
        <v>30</v>
      </c>
      <c r="AV55">
        <f>SUM(AR55*AT55)</f>
        <v>1553.25</v>
      </c>
      <c r="BC55" t="s">
        <v>26</v>
      </c>
      <c r="BE55" s="11">
        <f>+BE6</f>
        <v>103.30000000000001</v>
      </c>
      <c r="BF55" s="13" t="s">
        <v>30</v>
      </c>
      <c r="BG55">
        <v>13.08</v>
      </c>
      <c r="BH55" t="s">
        <v>30</v>
      </c>
      <c r="BI55">
        <f>SUM(BE55*BG55)</f>
        <v>1351.1640000000002</v>
      </c>
      <c r="BQ55" t="s">
        <v>26</v>
      </c>
      <c r="BS55" s="11">
        <f>+BS6</f>
        <v>118.75</v>
      </c>
      <c r="BT55" s="13" t="s">
        <v>30</v>
      </c>
      <c r="BU55">
        <v>13.08</v>
      </c>
      <c r="BV55" t="s">
        <v>30</v>
      </c>
      <c r="BW55">
        <f>SUM(BS55*BU55)</f>
        <v>1553.25</v>
      </c>
      <c r="CE55" t="s">
        <v>26</v>
      </c>
      <c r="CG55" s="11">
        <f>+CG6</f>
        <v>118.75</v>
      </c>
      <c r="CH55" s="13" t="s">
        <v>30</v>
      </c>
      <c r="CI55">
        <v>13.08</v>
      </c>
      <c r="CJ55" t="s">
        <v>30</v>
      </c>
      <c r="CK55">
        <f>SUM(CG55*CI55)</f>
        <v>1553.25</v>
      </c>
      <c r="CS55" t="s">
        <v>26</v>
      </c>
      <c r="CU55" s="11">
        <f>+CU6</f>
        <v>0</v>
      </c>
      <c r="CV55" s="13" t="s">
        <v>30</v>
      </c>
      <c r="CW55">
        <v>13.08</v>
      </c>
      <c r="CX55" t="s">
        <v>30</v>
      </c>
      <c r="CY55">
        <f>SUM(CU55*CW55)</f>
        <v>0</v>
      </c>
      <c r="DG55" t="s">
        <v>26</v>
      </c>
      <c r="DI55" s="11">
        <f>+DI6</f>
        <v>113.91666666666667</v>
      </c>
      <c r="DJ55" s="13" t="s">
        <v>30</v>
      </c>
      <c r="DK55">
        <v>13.08</v>
      </c>
      <c r="DL55" t="s">
        <v>30</v>
      </c>
      <c r="DM55">
        <f>SUM(DI55*DK55)</f>
        <v>1490.03</v>
      </c>
      <c r="DU55" t="s">
        <v>26</v>
      </c>
      <c r="DW55" s="11">
        <f>+DW6</f>
        <v>117.5</v>
      </c>
      <c r="DX55" s="13" t="s">
        <v>30</v>
      </c>
      <c r="DY55">
        <v>13.08</v>
      </c>
      <c r="DZ55" t="s">
        <v>30</v>
      </c>
      <c r="EA55">
        <f>SUM(DW55*DY55)</f>
        <v>1536.9</v>
      </c>
    </row>
    <row r="56" spans="1:137" x14ac:dyDescent="0.35">
      <c r="A56" t="s">
        <v>27</v>
      </c>
      <c r="C56" s="10">
        <f>+G5</f>
        <v>10.633333333333335</v>
      </c>
      <c r="D56" s="13" t="s">
        <v>30</v>
      </c>
      <c r="E56">
        <v>17.43</v>
      </c>
      <c r="F56" t="s">
        <v>30</v>
      </c>
      <c r="G56">
        <f>SUM(C56*E56)</f>
        <v>185.33900000000003</v>
      </c>
      <c r="O56" t="s">
        <v>27</v>
      </c>
      <c r="Q56" s="10">
        <f>+U5</f>
        <v>17</v>
      </c>
      <c r="R56" s="13" t="s">
        <v>30</v>
      </c>
      <c r="S56">
        <v>17.43</v>
      </c>
      <c r="T56" t="s">
        <v>30</v>
      </c>
      <c r="U56">
        <f>SUM(Q56*S56)</f>
        <v>296.31</v>
      </c>
      <c r="AB56" t="s">
        <v>27</v>
      </c>
      <c r="AD56" s="10">
        <f>+AH5</f>
        <v>4.0666666666666655</v>
      </c>
      <c r="AE56" s="13" t="s">
        <v>30</v>
      </c>
      <c r="AF56">
        <v>17.43</v>
      </c>
      <c r="AG56" t="s">
        <v>30</v>
      </c>
      <c r="AH56">
        <f>SUM(AD56*AF56)</f>
        <v>70.881999999999977</v>
      </c>
      <c r="AP56" t="s">
        <v>27</v>
      </c>
      <c r="AR56" s="10">
        <f>+AV5</f>
        <v>11.783333333333331</v>
      </c>
      <c r="AS56" s="13" t="s">
        <v>30</v>
      </c>
      <c r="AT56">
        <v>17.43</v>
      </c>
      <c r="AU56" t="s">
        <v>30</v>
      </c>
      <c r="AV56">
        <f>SUM(AR56*AT56)</f>
        <v>205.38349999999997</v>
      </c>
      <c r="BC56" t="s">
        <v>27</v>
      </c>
      <c r="BE56" s="10">
        <f>+BI5</f>
        <v>0</v>
      </c>
      <c r="BF56" s="13" t="s">
        <v>30</v>
      </c>
      <c r="BG56">
        <v>17.43</v>
      </c>
      <c r="BH56" t="s">
        <v>30</v>
      </c>
      <c r="BI56">
        <f>SUM(BE56*BG56)</f>
        <v>0</v>
      </c>
      <c r="BQ56" t="s">
        <v>27</v>
      </c>
      <c r="BS56" s="10">
        <f>+BW5</f>
        <v>0</v>
      </c>
      <c r="BT56" s="13" t="s">
        <v>30</v>
      </c>
      <c r="BU56">
        <v>17.43</v>
      </c>
      <c r="BV56" t="s">
        <v>30</v>
      </c>
      <c r="BW56">
        <f>SUM(BS56*BU56)</f>
        <v>0</v>
      </c>
      <c r="CE56" t="s">
        <v>27</v>
      </c>
      <c r="CG56" s="10">
        <f>+CK5</f>
        <v>16.783333333333328</v>
      </c>
      <c r="CH56" s="13" t="s">
        <v>30</v>
      </c>
      <c r="CI56">
        <v>17.43</v>
      </c>
      <c r="CJ56" t="s">
        <v>30</v>
      </c>
      <c r="CK56">
        <f>SUM(CG56*CI56)</f>
        <v>292.53349999999989</v>
      </c>
      <c r="CS56" t="s">
        <v>27</v>
      </c>
      <c r="CU56" s="10">
        <f>+CY5</f>
        <v>0</v>
      </c>
      <c r="CV56" s="13" t="s">
        <v>30</v>
      </c>
      <c r="CW56">
        <v>17.43</v>
      </c>
      <c r="CX56" t="s">
        <v>30</v>
      </c>
      <c r="CY56">
        <f>SUM(CU56*CW56)</f>
        <v>0</v>
      </c>
      <c r="DG56" t="s">
        <v>27</v>
      </c>
      <c r="DI56" s="10">
        <f>+DM5</f>
        <v>6.3333333333333321</v>
      </c>
      <c r="DJ56" s="13" t="s">
        <v>30</v>
      </c>
      <c r="DK56">
        <v>17.43</v>
      </c>
      <c r="DL56" t="s">
        <v>30</v>
      </c>
      <c r="DM56">
        <f>SUM(DI56*DK56)</f>
        <v>110.38999999999997</v>
      </c>
      <c r="DU56" t="s">
        <v>27</v>
      </c>
      <c r="DW56" s="10">
        <f>+EA5</f>
        <v>10.933333333333332</v>
      </c>
      <c r="DX56" s="13" t="s">
        <v>30</v>
      </c>
      <c r="DY56">
        <v>17.43</v>
      </c>
      <c r="DZ56" t="s">
        <v>30</v>
      </c>
      <c r="EA56">
        <f>SUM(DW56*DY56)</f>
        <v>190.56799999999998</v>
      </c>
    </row>
    <row r="57" spans="1:137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C57" t="s">
        <v>28</v>
      </c>
      <c r="BE57" s="10">
        <f>+BN5</f>
        <v>1</v>
      </c>
      <c r="BF57" s="13" t="s">
        <v>30</v>
      </c>
      <c r="BG57">
        <v>65.38</v>
      </c>
      <c r="BH57" t="s">
        <v>30</v>
      </c>
      <c r="BI57">
        <f>SUM(BE57*BG57)</f>
        <v>65.38</v>
      </c>
      <c r="BQ57" t="s">
        <v>28</v>
      </c>
      <c r="BS57" s="10">
        <f>+CB5</f>
        <v>1</v>
      </c>
      <c r="BT57" s="13" t="s">
        <v>30</v>
      </c>
      <c r="BU57">
        <v>65.38</v>
      </c>
      <c r="BV57" t="s">
        <v>30</v>
      </c>
      <c r="BW57">
        <f>SUM(BS57*BU57)</f>
        <v>65.38</v>
      </c>
      <c r="CE57" t="s">
        <v>28</v>
      </c>
      <c r="CG57" s="10">
        <f>+CP5</f>
        <v>1</v>
      </c>
      <c r="CH57" s="13" t="s">
        <v>30</v>
      </c>
      <c r="CI57">
        <v>65.38</v>
      </c>
      <c r="CJ57" t="s">
        <v>30</v>
      </c>
      <c r="CK57">
        <f>SUM(CG57*CI57)</f>
        <v>65.38</v>
      </c>
      <c r="CS57" t="s">
        <v>28</v>
      </c>
      <c r="CU57" s="10">
        <f>+DD5</f>
        <v>0</v>
      </c>
      <c r="CV57" s="13" t="s">
        <v>30</v>
      </c>
      <c r="CW57">
        <v>65.38</v>
      </c>
      <c r="CX57" t="s">
        <v>30</v>
      </c>
      <c r="CY57">
        <f>SUM(CU57*CW57)</f>
        <v>0</v>
      </c>
      <c r="DG57" t="s">
        <v>28</v>
      </c>
      <c r="DI57" s="10">
        <f>+DR5</f>
        <v>1</v>
      </c>
      <c r="DJ57" s="13" t="s">
        <v>30</v>
      </c>
      <c r="DK57">
        <v>65.38</v>
      </c>
      <c r="DL57" t="s">
        <v>30</v>
      </c>
      <c r="DM57">
        <f>SUM(DI57*DK57)</f>
        <v>65.38</v>
      </c>
      <c r="DU57" t="s">
        <v>28</v>
      </c>
      <c r="DW57" s="10">
        <f>+EF5</f>
        <v>1</v>
      </c>
      <c r="DX57" s="13" t="s">
        <v>30</v>
      </c>
      <c r="DY57">
        <v>65.38</v>
      </c>
      <c r="DZ57" t="s">
        <v>30</v>
      </c>
      <c r="EA57">
        <f>SUM(DW57*DY57)</f>
        <v>65.38</v>
      </c>
    </row>
    <row r="58" spans="1:137" x14ac:dyDescent="0.35">
      <c r="A58" t="s">
        <v>29</v>
      </c>
      <c r="C58" s="10">
        <f>+L6</f>
        <v>0</v>
      </c>
      <c r="D58" s="13" t="s">
        <v>30</v>
      </c>
      <c r="E58">
        <v>17.43</v>
      </c>
      <c r="F58" t="s">
        <v>30</v>
      </c>
      <c r="G58">
        <f>SUM(C58*E58)</f>
        <v>0</v>
      </c>
      <c r="O58" t="s">
        <v>29</v>
      </c>
      <c r="Q58" s="10">
        <f>+Z6</f>
        <v>0</v>
      </c>
      <c r="R58" s="13" t="s">
        <v>30</v>
      </c>
      <c r="S58">
        <v>17.43</v>
      </c>
      <c r="T58" t="s">
        <v>30</v>
      </c>
      <c r="U58">
        <f>SUM(Q58*S58)</f>
        <v>0</v>
      </c>
      <c r="AB58" t="s">
        <v>29</v>
      </c>
      <c r="AD58" s="10">
        <f>+AM6</f>
        <v>0</v>
      </c>
      <c r="AE58" s="13" t="s">
        <v>30</v>
      </c>
      <c r="AF58">
        <v>17.43</v>
      </c>
      <c r="AG58" t="s">
        <v>30</v>
      </c>
      <c r="AH58">
        <f>SUM(AD58*AF58)</f>
        <v>0</v>
      </c>
      <c r="AP58" t="s">
        <v>29</v>
      </c>
      <c r="AR58" s="10">
        <f>+BA6</f>
        <v>0</v>
      </c>
      <c r="AS58" s="13" t="s">
        <v>30</v>
      </c>
      <c r="AT58">
        <v>17.43</v>
      </c>
      <c r="AU58" t="s">
        <v>30</v>
      </c>
      <c r="AV58">
        <f>SUM(AR58*AT58)</f>
        <v>0</v>
      </c>
      <c r="BC58" t="s">
        <v>29</v>
      </c>
      <c r="BE58" s="10">
        <f>+BN6</f>
        <v>0</v>
      </c>
      <c r="BF58" s="13" t="s">
        <v>30</v>
      </c>
      <c r="BG58">
        <v>17.43</v>
      </c>
      <c r="BH58" t="s">
        <v>30</v>
      </c>
      <c r="BI58">
        <f>SUM(BE58*BG58)</f>
        <v>0</v>
      </c>
      <c r="BQ58" t="s">
        <v>29</v>
      </c>
      <c r="BS58" s="10">
        <f>+CB6</f>
        <v>0</v>
      </c>
      <c r="BT58" s="13" t="s">
        <v>30</v>
      </c>
      <c r="BU58">
        <v>17.43</v>
      </c>
      <c r="BV58" t="s">
        <v>30</v>
      </c>
      <c r="BW58">
        <f>SUM(BS58*BU58)</f>
        <v>0</v>
      </c>
      <c r="CE58" t="s">
        <v>29</v>
      </c>
      <c r="CG58" s="10">
        <f>+CP6</f>
        <v>0</v>
      </c>
      <c r="CH58" s="13" t="s">
        <v>30</v>
      </c>
      <c r="CI58">
        <v>17.43</v>
      </c>
      <c r="CJ58" t="s">
        <v>30</v>
      </c>
      <c r="CK58">
        <f>SUM(CG58*CI58)</f>
        <v>0</v>
      </c>
      <c r="CS58" t="s">
        <v>29</v>
      </c>
      <c r="CU58" s="10">
        <f>+DD6</f>
        <v>0</v>
      </c>
      <c r="CV58" s="13" t="s">
        <v>30</v>
      </c>
      <c r="CW58">
        <v>17.43</v>
      </c>
      <c r="CX58" t="s">
        <v>30</v>
      </c>
      <c r="CY58">
        <f>SUM(CU58*CW58)</f>
        <v>0</v>
      </c>
      <c r="DG58" t="s">
        <v>29</v>
      </c>
      <c r="DI58" s="10">
        <f>+DR6</f>
        <v>0</v>
      </c>
      <c r="DJ58" s="13" t="s">
        <v>30</v>
      </c>
      <c r="DK58">
        <v>17.43</v>
      </c>
      <c r="DL58" t="s">
        <v>30</v>
      </c>
      <c r="DM58">
        <f>SUM(DI58*DK58)</f>
        <v>0</v>
      </c>
      <c r="DU58" t="s">
        <v>29</v>
      </c>
      <c r="DW58" s="10">
        <f>+EF6</f>
        <v>0</v>
      </c>
      <c r="DX58" s="13" t="s">
        <v>30</v>
      </c>
      <c r="DY58">
        <v>17.43</v>
      </c>
      <c r="DZ58" t="s">
        <v>30</v>
      </c>
      <c r="EA58">
        <f>SUM(DW58*DY58)</f>
        <v>0</v>
      </c>
    </row>
    <row r="59" spans="1:137" x14ac:dyDescent="0.35">
      <c r="D59" s="13"/>
      <c r="E59" s="14"/>
      <c r="F59" s="14" t="s">
        <v>30</v>
      </c>
      <c r="G59" s="14">
        <f>SUM(G54:G58)</f>
        <v>3438.4690000000001</v>
      </c>
      <c r="R59" s="13"/>
      <c r="S59" s="14"/>
      <c r="T59" s="14" t="s">
        <v>30</v>
      </c>
      <c r="U59" s="14">
        <f>SUM(U54:U58)</f>
        <v>3549.44</v>
      </c>
      <c r="AE59" s="13"/>
      <c r="AF59" s="14"/>
      <c r="AG59" s="14" t="s">
        <v>30</v>
      </c>
      <c r="AH59" s="14">
        <f>SUM(AH54:AH58)</f>
        <v>3191.4879999999998</v>
      </c>
      <c r="AS59" s="13"/>
      <c r="AT59" s="14"/>
      <c r="AU59" s="14" t="s">
        <v>30</v>
      </c>
      <c r="AV59" s="14">
        <f>SUM(AV54:AV58)</f>
        <v>3458.5135</v>
      </c>
      <c r="BF59" s="13"/>
      <c r="BG59" s="14"/>
      <c r="BH59" s="14" t="s">
        <v>30</v>
      </c>
      <c r="BI59" s="14">
        <f>SUM(BI54:BI58)</f>
        <v>2985.6640000000002</v>
      </c>
      <c r="BT59" s="13"/>
      <c r="BU59" s="14"/>
      <c r="BV59" s="14" t="s">
        <v>30</v>
      </c>
      <c r="BW59" s="14">
        <f>SUM(BW54:BW58)</f>
        <v>3253.13</v>
      </c>
      <c r="CH59" s="13"/>
      <c r="CI59" s="14"/>
      <c r="CJ59" s="14" t="s">
        <v>30</v>
      </c>
      <c r="CK59" s="14">
        <f>SUM(CK54:CK58)</f>
        <v>3545.6635000000001</v>
      </c>
      <c r="CV59" s="13"/>
      <c r="CW59" s="14"/>
      <c r="CX59" s="14" t="s">
        <v>30</v>
      </c>
      <c r="CY59" s="14">
        <f>SUM(CY54:CY58)</f>
        <v>0</v>
      </c>
      <c r="DJ59" s="13"/>
      <c r="DK59" s="14"/>
      <c r="DL59" s="14" t="s">
        <v>30</v>
      </c>
      <c r="DM59" s="14">
        <f>SUM(DM54:DM58)</f>
        <v>3234.9199999999996</v>
      </c>
      <c r="DX59" s="13"/>
      <c r="DY59" s="14"/>
      <c r="DZ59" s="14" t="s">
        <v>30</v>
      </c>
      <c r="EA59" s="14">
        <f>SUM(EA54:EA58)</f>
        <v>3427.348</v>
      </c>
    </row>
    <row r="60" spans="1:137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  <c r="BF60" s="13"/>
      <c r="BG60" t="s">
        <v>31</v>
      </c>
      <c r="BH60" t="s">
        <v>30</v>
      </c>
      <c r="BI60">
        <v>200</v>
      </c>
      <c r="BT60" s="13"/>
      <c r="BU60" t="s">
        <v>31</v>
      </c>
      <c r="BV60" t="s">
        <v>30</v>
      </c>
      <c r="BW60">
        <v>200</v>
      </c>
      <c r="CH60" s="13"/>
      <c r="CI60" t="s">
        <v>31</v>
      </c>
      <c r="CJ60" t="s">
        <v>30</v>
      </c>
      <c r="CK60">
        <v>200</v>
      </c>
      <c r="CV60" s="13"/>
      <c r="CW60" t="s">
        <v>31</v>
      </c>
      <c r="CX60" t="s">
        <v>30</v>
      </c>
      <c r="CY60">
        <v>200</v>
      </c>
      <c r="DJ60" s="13"/>
      <c r="DK60" t="s">
        <v>31</v>
      </c>
      <c r="DL60" t="s">
        <v>30</v>
      </c>
      <c r="DM60">
        <v>200</v>
      </c>
      <c r="DX60" s="13"/>
      <c r="DY60" t="s">
        <v>31</v>
      </c>
      <c r="DZ60" t="s">
        <v>30</v>
      </c>
      <c r="EA60">
        <v>200</v>
      </c>
    </row>
    <row r="62" spans="1:137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G62" s="15" t="s">
        <v>32</v>
      </c>
      <c r="BH62" s="15" t="s">
        <v>30</v>
      </c>
      <c r="BI62" s="15">
        <v>550</v>
      </c>
      <c r="BJ62" s="16"/>
      <c r="BK62" s="16"/>
      <c r="BL62" s="17"/>
      <c r="BO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I62" s="15" t="s">
        <v>32</v>
      </c>
      <c r="CJ62" s="15" t="s">
        <v>30</v>
      </c>
      <c r="CK62" s="15">
        <v>550</v>
      </c>
      <c r="CL62" s="16"/>
      <c r="CM62" s="16"/>
      <c r="CN62" s="17"/>
      <c r="CQ62" s="18"/>
      <c r="CW62" s="15" t="s">
        <v>32</v>
      </c>
      <c r="CX62" s="15" t="s">
        <v>30</v>
      </c>
      <c r="CY62" s="15">
        <v>550</v>
      </c>
      <c r="CZ62" s="16"/>
      <c r="DA62" s="16"/>
      <c r="DB62" s="17"/>
      <c r="DE62" s="18"/>
      <c r="DK62" s="15" t="s">
        <v>32</v>
      </c>
      <c r="DL62" s="15" t="s">
        <v>30</v>
      </c>
      <c r="DM62" s="15">
        <v>550</v>
      </c>
      <c r="DN62" s="16"/>
      <c r="DO62" s="16"/>
      <c r="DP62" s="17"/>
      <c r="DS62" s="18"/>
      <c r="DY62" s="15" t="s">
        <v>32</v>
      </c>
      <c r="DZ62" s="15" t="s">
        <v>30</v>
      </c>
      <c r="EA62" s="15">
        <v>550</v>
      </c>
      <c r="EB62" s="16"/>
      <c r="EC62" s="16"/>
      <c r="ED62" s="17"/>
      <c r="EG62" s="18"/>
    </row>
    <row r="63" spans="1:137" ht="15" thickBot="1" x14ac:dyDescent="0.4">
      <c r="E63" t="s">
        <v>33</v>
      </c>
      <c r="F63" s="19" t="s">
        <v>30</v>
      </c>
      <c r="G63" s="19">
        <f>SUM(G59+G60+G61-G62)</f>
        <v>3088.4690000000001</v>
      </c>
      <c r="S63" t="s">
        <v>33</v>
      </c>
      <c r="T63" s="19" t="s">
        <v>30</v>
      </c>
      <c r="U63" s="19">
        <f>SUM(U59+U60+U61-U62)</f>
        <v>3199.44</v>
      </c>
      <c r="AF63" t="s">
        <v>33</v>
      </c>
      <c r="AG63" s="19" t="s">
        <v>30</v>
      </c>
      <c r="AH63" s="19">
        <f>SUM(AH59+AH60+AH61-AH62)</f>
        <v>2841.4879999999998</v>
      </c>
      <c r="AT63" t="s">
        <v>33</v>
      </c>
      <c r="AU63" s="19" t="s">
        <v>30</v>
      </c>
      <c r="AV63" s="19">
        <f>SUM(AV59+AV60+AV61-AV62)</f>
        <v>3108.5135</v>
      </c>
      <c r="BG63" t="s">
        <v>33</v>
      </c>
      <c r="BH63" s="19" t="s">
        <v>30</v>
      </c>
      <c r="BI63" s="19">
        <f>SUM(BI59+BI60+BI61-BI62)</f>
        <v>2635.6640000000002</v>
      </c>
      <c r="BU63" t="s">
        <v>33</v>
      </c>
      <c r="BV63" s="19" t="s">
        <v>30</v>
      </c>
      <c r="BW63" s="19">
        <f>SUM(BW59+BW60+BW61-BW62)</f>
        <v>2903.13</v>
      </c>
      <c r="CI63" t="s">
        <v>33</v>
      </c>
      <c r="CJ63" s="19" t="s">
        <v>30</v>
      </c>
      <c r="CK63" s="19">
        <f>SUM(CK59+CK60+CK61-CK62)</f>
        <v>3195.6635000000001</v>
      </c>
      <c r="CW63" t="s">
        <v>33</v>
      </c>
      <c r="CX63" s="19" t="s">
        <v>30</v>
      </c>
      <c r="CY63" s="19">
        <f>SUM(CY59+CY60+CY61-CY62)</f>
        <v>-350</v>
      </c>
      <c r="DK63" t="s">
        <v>33</v>
      </c>
      <c r="DL63" s="19" t="s">
        <v>30</v>
      </c>
      <c r="DM63" s="19">
        <f>SUM(DM59+DM60+DM61-DM62)</f>
        <v>2884.9199999999996</v>
      </c>
      <c r="DY63" t="s">
        <v>33</v>
      </c>
      <c r="DZ63" s="19" t="s">
        <v>30</v>
      </c>
      <c r="EA63" s="19">
        <f>SUM(EA59+EA60+EA61-EA62)</f>
        <v>3077.348</v>
      </c>
    </row>
    <row r="64" spans="1:137" ht="15" thickTop="1" x14ac:dyDescent="0.35">
      <c r="DG64" s="112"/>
      <c r="DH64" s="112"/>
      <c r="DI64" s="112"/>
      <c r="DJ64" s="112"/>
      <c r="DK64" s="113"/>
      <c r="DL64" s="22"/>
      <c r="DM64" s="22"/>
      <c r="DN64" s="106"/>
      <c r="DO64" s="38"/>
      <c r="DP64" s="107"/>
      <c r="DQ64" s="108"/>
    </row>
    <row r="65" spans="111:121" x14ac:dyDescent="0.35">
      <c r="DG65" s="112"/>
      <c r="DH65" s="112"/>
      <c r="DI65" s="112"/>
      <c r="DJ65" s="112"/>
      <c r="DK65" s="113"/>
      <c r="DL65" s="22"/>
      <c r="DM65" s="22"/>
      <c r="DN65" s="106"/>
      <c r="DO65" s="38"/>
      <c r="DP65" s="107"/>
      <c r="DQ65" s="108"/>
    </row>
    <row r="66" spans="111:121" x14ac:dyDescent="0.35">
      <c r="DG66" s="112"/>
      <c r="DH66" s="112"/>
      <c r="DI66" s="112"/>
      <c r="DJ66" s="112"/>
      <c r="DK66" s="113"/>
      <c r="DL66" s="22"/>
      <c r="DM66" s="22"/>
      <c r="DN66" s="106"/>
      <c r="DO66" s="38"/>
      <c r="DP66" s="107"/>
      <c r="DQ66" s="108"/>
    </row>
    <row r="67" spans="111:121" x14ac:dyDescent="0.35">
      <c r="DG67" s="114"/>
      <c r="DH67" s="114"/>
      <c r="DI67" s="114"/>
      <c r="DJ67" s="114"/>
      <c r="DK67" s="115"/>
      <c r="DL67" s="116"/>
      <c r="DM67" s="116"/>
      <c r="DN67" s="109"/>
      <c r="DO67" s="110"/>
      <c r="DP67" s="110"/>
      <c r="DQ67" s="111"/>
    </row>
    <row r="68" spans="111:121" x14ac:dyDescent="0.35">
      <c r="DG68" s="112"/>
      <c r="DH68" s="112"/>
      <c r="DI68" s="112"/>
      <c r="DJ68" s="112"/>
      <c r="DK68" s="113"/>
      <c r="DL68" s="22"/>
      <c r="DM68" s="22"/>
      <c r="DN68" s="106"/>
      <c r="DO68" s="38"/>
      <c r="DP68" s="107"/>
      <c r="DQ68" s="108"/>
    </row>
    <row r="69" spans="111:121" x14ac:dyDescent="0.35">
      <c r="DG69" s="112"/>
      <c r="DH69" s="112"/>
      <c r="DI69" s="112"/>
      <c r="DJ69" s="112"/>
      <c r="DK69" s="113"/>
      <c r="DL69" s="22"/>
      <c r="DM69" s="22"/>
      <c r="DN69" s="106"/>
      <c r="DO69" s="38"/>
      <c r="DP69" s="107"/>
      <c r="DQ69" s="108"/>
    </row>
    <row r="70" spans="111:121" x14ac:dyDescent="0.35">
      <c r="DG70" s="112"/>
      <c r="DH70" s="112"/>
      <c r="DI70" s="112"/>
      <c r="DJ70" s="112"/>
      <c r="DK70" s="113"/>
      <c r="DL70" s="22"/>
      <c r="DM70" s="22"/>
      <c r="DN70" s="106"/>
      <c r="DO70" s="38"/>
      <c r="DP70" s="107"/>
      <c r="DQ70" s="108"/>
    </row>
    <row r="71" spans="111:121" x14ac:dyDescent="0.35">
      <c r="DG71" s="112"/>
      <c r="DH71" s="112"/>
      <c r="DI71" s="112"/>
      <c r="DJ71" s="112"/>
      <c r="DK71" s="113"/>
      <c r="DL71" s="22"/>
      <c r="DM71" s="22"/>
      <c r="DN71" s="106"/>
      <c r="DO71" s="38"/>
      <c r="DP71" s="107"/>
      <c r="DQ71" s="108"/>
    </row>
    <row r="72" spans="111:121" x14ac:dyDescent="0.35">
      <c r="DG72" s="112"/>
      <c r="DH72" s="112"/>
      <c r="DI72" s="112"/>
      <c r="DJ72" s="112"/>
      <c r="DK72" s="113"/>
      <c r="DL72" s="22"/>
      <c r="DM72" s="22"/>
      <c r="DN72" s="106"/>
      <c r="DO72" s="38"/>
      <c r="DP72" s="107"/>
      <c r="DQ72" s="108"/>
    </row>
    <row r="73" spans="111:121" x14ac:dyDescent="0.35">
      <c r="DG73" s="112"/>
      <c r="DH73" s="112"/>
      <c r="DI73" s="112"/>
      <c r="DJ73" s="112"/>
      <c r="DK73" s="113"/>
      <c r="DL73" s="22"/>
      <c r="DM73" s="22"/>
      <c r="DN73" s="106"/>
      <c r="DO73" s="38"/>
      <c r="DP73" s="107"/>
      <c r="DQ73" s="108"/>
    </row>
    <row r="74" spans="111:121" x14ac:dyDescent="0.35">
      <c r="DG74" s="114"/>
      <c r="DH74" s="114"/>
      <c r="DI74" s="114"/>
      <c r="DJ74" s="114"/>
      <c r="DK74" s="115"/>
      <c r="DL74" s="116"/>
      <c r="DM74" s="116"/>
      <c r="DN74" s="109"/>
      <c r="DO74" s="110"/>
      <c r="DP74" s="110"/>
      <c r="DQ74" s="111"/>
    </row>
    <row r="75" spans="111:121" x14ac:dyDescent="0.35">
      <c r="DG75" s="112"/>
      <c r="DH75" s="112"/>
      <c r="DI75" s="112"/>
      <c r="DJ75" s="112"/>
      <c r="DK75" s="113"/>
      <c r="DL75" s="22"/>
      <c r="DM75" s="22"/>
      <c r="DN75" s="106"/>
      <c r="DO75" s="38"/>
      <c r="DP75" s="107"/>
      <c r="DQ75" s="108"/>
    </row>
    <row r="76" spans="111:121" x14ac:dyDescent="0.35">
      <c r="DG76" s="112"/>
      <c r="DH76" s="112"/>
      <c r="DI76" s="112"/>
      <c r="DJ76" s="112"/>
      <c r="DK76" s="113"/>
      <c r="DL76" s="22"/>
      <c r="DM76" s="22"/>
      <c r="DN76" s="106"/>
      <c r="DO76" s="38"/>
      <c r="DP76" s="107"/>
      <c r="DQ76" s="108"/>
    </row>
    <row r="77" spans="111:121" x14ac:dyDescent="0.35">
      <c r="DG77" s="112"/>
      <c r="DH77" s="112"/>
      <c r="DI77" s="112"/>
      <c r="DJ77" s="112"/>
      <c r="DK77" s="113"/>
      <c r="DL77" s="22"/>
      <c r="DM77" s="22"/>
      <c r="DN77" s="106"/>
      <c r="DO77" s="38"/>
      <c r="DP77" s="107"/>
      <c r="DQ77" s="108"/>
    </row>
    <row r="78" spans="111:121" x14ac:dyDescent="0.35">
      <c r="DG78" s="112"/>
      <c r="DH78" s="112"/>
      <c r="DI78" s="112"/>
      <c r="DJ78" s="112"/>
      <c r="DK78" s="113"/>
      <c r="DL78" s="22"/>
      <c r="DM78" s="22"/>
      <c r="DN78" s="106"/>
      <c r="DO78" s="38"/>
      <c r="DP78" s="107"/>
      <c r="DQ78" s="108"/>
    </row>
    <row r="79" spans="111:121" x14ac:dyDescent="0.35">
      <c r="DG79" s="112"/>
      <c r="DH79" s="112"/>
      <c r="DI79" s="112"/>
      <c r="DJ79" s="112"/>
      <c r="DK79" s="113"/>
      <c r="DL79" s="22"/>
      <c r="DM79" s="22"/>
      <c r="DN79" s="106"/>
      <c r="DO79" s="38"/>
      <c r="DP79" s="107"/>
      <c r="DQ79" s="108"/>
    </row>
    <row r="80" spans="111:121" x14ac:dyDescent="0.35">
      <c r="DG80" s="112"/>
      <c r="DH80" s="112"/>
      <c r="DI80" s="112"/>
      <c r="DJ80" s="112"/>
      <c r="DK80" s="113"/>
      <c r="DL80" s="22"/>
      <c r="DM80" s="22"/>
      <c r="DN80" s="106"/>
      <c r="DO80" s="38"/>
      <c r="DP80" s="107"/>
      <c r="DQ80" s="108"/>
    </row>
    <row r="81" spans="111:121" x14ac:dyDescent="0.35">
      <c r="DG81" s="114"/>
      <c r="DH81" s="114"/>
      <c r="DI81" s="114"/>
      <c r="DJ81" s="114"/>
      <c r="DK81" s="115"/>
      <c r="DL81" s="116"/>
      <c r="DM81" s="116"/>
      <c r="DN81" s="109"/>
      <c r="DO81" s="110"/>
      <c r="DP81" s="110"/>
      <c r="DQ81" s="111"/>
    </row>
    <row r="82" spans="111:121" x14ac:dyDescent="0.35">
      <c r="DG82" s="112"/>
      <c r="DH82" s="112"/>
      <c r="DI82" s="112"/>
      <c r="DJ82" s="112"/>
      <c r="DK82" s="113"/>
      <c r="DL82" s="22"/>
      <c r="DM82" s="22"/>
      <c r="DN82" s="106"/>
      <c r="DO82" s="38"/>
      <c r="DP82" s="107"/>
      <c r="DQ82" s="108"/>
    </row>
    <row r="83" spans="111:121" x14ac:dyDescent="0.35">
      <c r="DG83" s="112"/>
      <c r="DH83" s="112"/>
      <c r="DI83" s="112"/>
      <c r="DJ83" s="112"/>
      <c r="DK83" s="113"/>
      <c r="DL83" s="22"/>
      <c r="DM83" s="22"/>
      <c r="DN83" s="106"/>
      <c r="DO83" s="38"/>
      <c r="DP83" s="107"/>
      <c r="DQ83" s="108"/>
    </row>
    <row r="84" spans="111:121" x14ac:dyDescent="0.35">
      <c r="DG84" s="112"/>
      <c r="DH84" s="112"/>
      <c r="DI84" s="112"/>
      <c r="DJ84" s="112"/>
      <c r="DK84" s="113"/>
      <c r="DL84" s="22"/>
      <c r="DM84" s="22"/>
      <c r="DN84" s="106"/>
      <c r="DO84" s="38"/>
      <c r="DP84" s="107"/>
      <c r="DQ84" s="108"/>
    </row>
    <row r="85" spans="111:121" x14ac:dyDescent="0.35">
      <c r="DG85" s="112"/>
      <c r="DH85" s="112"/>
      <c r="DI85" s="112"/>
      <c r="DJ85" s="112"/>
      <c r="DK85" s="113"/>
      <c r="DL85" s="22"/>
      <c r="DM85" s="22"/>
      <c r="DN85" s="106"/>
      <c r="DO85" s="38"/>
      <c r="DP85" s="107"/>
      <c r="DQ85" s="108"/>
    </row>
    <row r="86" spans="111:121" x14ac:dyDescent="0.35">
      <c r="DG86" s="117"/>
      <c r="DH86" s="117"/>
      <c r="DI86" s="117"/>
      <c r="DJ86" s="117"/>
      <c r="DK86" s="117"/>
      <c r="DL86" s="118"/>
      <c r="DM86" s="118"/>
      <c r="DN86" s="119"/>
      <c r="DO86" s="119"/>
      <c r="DP86" s="119"/>
      <c r="DQ86" s="108"/>
    </row>
    <row r="87" spans="111:121" x14ac:dyDescent="0.35">
      <c r="DG87" s="117"/>
      <c r="DH87" s="117"/>
      <c r="DI87" s="117"/>
      <c r="DJ87" s="117"/>
      <c r="DK87" s="117"/>
      <c r="DL87" s="118"/>
      <c r="DM87" s="118"/>
      <c r="DN87" s="119"/>
      <c r="DO87" s="119"/>
      <c r="DP87" s="119"/>
      <c r="DQ87" s="108"/>
    </row>
    <row r="88" spans="111:121" x14ac:dyDescent="0.35">
      <c r="DG88" s="117"/>
      <c r="DH88" s="117"/>
      <c r="DI88" s="117"/>
      <c r="DJ88" s="117"/>
      <c r="DK88" s="117"/>
      <c r="DL88" s="118"/>
      <c r="DM88" s="118"/>
      <c r="DN88" s="119"/>
      <c r="DO88" s="119"/>
      <c r="DP88" s="119"/>
      <c r="DQ88" s="108"/>
    </row>
    <row r="89" spans="111:121" x14ac:dyDescent="0.35">
      <c r="DG89" s="117"/>
      <c r="DH89" s="117"/>
      <c r="DI89" s="117"/>
      <c r="DJ89" s="117"/>
      <c r="DK89" s="117"/>
      <c r="DL89" s="118"/>
      <c r="DM89" s="118"/>
      <c r="DN89" s="119"/>
      <c r="DO89" s="119"/>
      <c r="DP89" s="119"/>
      <c r="DQ89" s="108"/>
    </row>
    <row r="90" spans="111:121" x14ac:dyDescent="0.35">
      <c r="DG90" s="120"/>
      <c r="DH90" s="120"/>
      <c r="DI90" s="120"/>
      <c r="DJ90" s="120"/>
      <c r="DK90" s="120"/>
      <c r="DL90" s="118"/>
      <c r="DM90" s="118"/>
      <c r="DN90" s="119"/>
      <c r="DO90" s="119"/>
      <c r="DP90" s="119"/>
      <c r="DQ90" s="108"/>
    </row>
    <row r="91" spans="111:121" x14ac:dyDescent="0.35">
      <c r="DG91" s="24"/>
      <c r="DH91" s="24"/>
      <c r="DI91" s="24"/>
      <c r="DJ91" s="24"/>
      <c r="DK91" s="24"/>
      <c r="DL91" s="22"/>
      <c r="DM91" s="22"/>
      <c r="DN91" s="38"/>
      <c r="DO91" s="24"/>
      <c r="DP91" s="24"/>
      <c r="DQ91" s="25"/>
    </row>
    <row r="92" spans="111:121" x14ac:dyDescent="0.35">
      <c r="DG92" s="167"/>
      <c r="DH92" s="167"/>
      <c r="DI92" s="167"/>
      <c r="DJ92" s="167"/>
      <c r="DK92" s="168"/>
      <c r="DL92" s="168"/>
      <c r="DM92" s="121"/>
      <c r="DN92" s="169"/>
      <c r="DO92" s="169"/>
      <c r="DP92" s="169"/>
      <c r="DQ92" s="169"/>
    </row>
    <row r="93" spans="111:121" x14ac:dyDescent="0.35">
      <c r="DG93" s="170"/>
      <c r="DH93" s="167"/>
      <c r="DI93" s="171"/>
      <c r="DJ93" s="167"/>
      <c r="DK93" s="172"/>
      <c r="DL93" s="168"/>
      <c r="DM93" s="121"/>
      <c r="DN93" s="173"/>
      <c r="DO93" s="169"/>
      <c r="DP93" s="173"/>
      <c r="DQ93" s="173"/>
    </row>
    <row r="94" spans="111:121" x14ac:dyDescent="0.35">
      <c r="DG94" s="24"/>
      <c r="DH94" s="24"/>
      <c r="DI94" s="24"/>
      <c r="DJ94" s="24"/>
      <c r="DK94" s="24"/>
      <c r="DL94" s="22"/>
      <c r="DM94" s="22"/>
      <c r="DN94" s="38"/>
      <c r="DO94" s="24"/>
      <c r="DP94" s="24"/>
      <c r="DQ94" s="25"/>
    </row>
    <row r="95" spans="111:121" x14ac:dyDescent="0.35">
      <c r="DG95" s="24"/>
      <c r="DH95" s="24"/>
      <c r="DI95" s="24"/>
      <c r="DJ95" s="24"/>
      <c r="DK95" s="24"/>
      <c r="DL95" s="22"/>
      <c r="DM95" s="22"/>
      <c r="DN95" s="38"/>
      <c r="DO95" s="24"/>
      <c r="DP95" s="24"/>
      <c r="DQ95" s="25"/>
    </row>
    <row r="96" spans="111:121" x14ac:dyDescent="0.35">
      <c r="DG96" s="39"/>
      <c r="DH96" s="39"/>
      <c r="DI96" s="124"/>
      <c r="DJ96" s="121"/>
      <c r="DK96" s="121"/>
      <c r="DL96" s="123"/>
      <c r="DM96" s="123"/>
      <c r="DN96" s="122"/>
      <c r="DO96" s="122"/>
      <c r="DP96" s="122"/>
      <c r="DQ96" s="39"/>
    </row>
    <row r="97" spans="111:121" x14ac:dyDescent="0.35">
      <c r="DG97" s="22"/>
      <c r="DH97" s="22"/>
      <c r="DI97" s="125"/>
      <c r="DJ97" s="116"/>
      <c r="DK97" s="116"/>
      <c r="DL97" s="116"/>
      <c r="DM97" s="116"/>
      <c r="DN97" s="126"/>
      <c r="DO97" s="126"/>
      <c r="DP97" s="126"/>
      <c r="DQ97" s="38"/>
    </row>
  </sheetData>
  <mergeCells count="171">
    <mergeCell ref="CE1:CQ1"/>
    <mergeCell ref="A8:B8"/>
    <mergeCell ref="O8:P8"/>
    <mergeCell ref="AB8:AC8"/>
    <mergeCell ref="AP8:AQ8"/>
    <mergeCell ref="BC8:BD8"/>
    <mergeCell ref="BQ8:BR8"/>
    <mergeCell ref="A1:M1"/>
    <mergeCell ref="O1:AA1"/>
    <mergeCell ref="AB1:AN1"/>
    <mergeCell ref="AP1:BB1"/>
    <mergeCell ref="BC1:BO1"/>
    <mergeCell ref="BQ1:CC1"/>
    <mergeCell ref="CE8:CF8"/>
    <mergeCell ref="BS47:BT47"/>
    <mergeCell ref="BU47:BV47"/>
    <mergeCell ref="AH46:AI46"/>
    <mergeCell ref="AK46:AL46"/>
    <mergeCell ref="AM46:AN46"/>
    <mergeCell ref="AP46:AQ47"/>
    <mergeCell ref="AR46:AS46"/>
    <mergeCell ref="AT46:AU46"/>
    <mergeCell ref="U46:V46"/>
    <mergeCell ref="X46:Y46"/>
    <mergeCell ref="Z46:AA46"/>
    <mergeCell ref="AB46:AC47"/>
    <mergeCell ref="AD46:AE46"/>
    <mergeCell ref="AF46:AG46"/>
    <mergeCell ref="U47:V47"/>
    <mergeCell ref="X47:Y47"/>
    <mergeCell ref="Z47:AA47"/>
    <mergeCell ref="AD47:AE47"/>
    <mergeCell ref="AM47:AN47"/>
    <mergeCell ref="AR47:AS47"/>
    <mergeCell ref="AT47:AU47"/>
    <mergeCell ref="BG47:BH47"/>
    <mergeCell ref="BZ47:CA47"/>
    <mergeCell ref="BI46:BJ46"/>
    <mergeCell ref="BL46:BM46"/>
    <mergeCell ref="BN46:BO46"/>
    <mergeCell ref="BQ46:BR47"/>
    <mergeCell ref="BS46:BT46"/>
    <mergeCell ref="BU46:BV46"/>
    <mergeCell ref="AV46:AW46"/>
    <mergeCell ref="AY46:AZ46"/>
    <mergeCell ref="BA46:BB46"/>
    <mergeCell ref="BC46:BD47"/>
    <mergeCell ref="BE46:BF46"/>
    <mergeCell ref="BG46:BH46"/>
    <mergeCell ref="AV47:AW47"/>
    <mergeCell ref="AY47:AZ47"/>
    <mergeCell ref="BA47:BB47"/>
    <mergeCell ref="BE47:BF47"/>
    <mergeCell ref="BI47:BJ47"/>
    <mergeCell ref="BL47:BM47"/>
    <mergeCell ref="BN47:BO47"/>
    <mergeCell ref="L46:M46"/>
    <mergeCell ref="O46:P47"/>
    <mergeCell ref="Q46:R46"/>
    <mergeCell ref="S46:T46"/>
    <mergeCell ref="CK46:CL46"/>
    <mergeCell ref="CN46:CO46"/>
    <mergeCell ref="CP46:CQ46"/>
    <mergeCell ref="C47:D47"/>
    <mergeCell ref="E47:F47"/>
    <mergeCell ref="G47:H47"/>
    <mergeCell ref="J47:K47"/>
    <mergeCell ref="L47:M47"/>
    <mergeCell ref="Q47:R47"/>
    <mergeCell ref="S47:T47"/>
    <mergeCell ref="CE46:CF47"/>
    <mergeCell ref="CG46:CH46"/>
    <mergeCell ref="CI46:CJ46"/>
    <mergeCell ref="BW46:BX46"/>
    <mergeCell ref="BZ46:CA46"/>
    <mergeCell ref="CB46:CC46"/>
    <mergeCell ref="BW47:BX47"/>
    <mergeCell ref="AF47:AG47"/>
    <mergeCell ref="AH47:AI47"/>
    <mergeCell ref="AK47:AL47"/>
    <mergeCell ref="CB47:CC47"/>
    <mergeCell ref="A51:B51"/>
    <mergeCell ref="O51:P51"/>
    <mergeCell ref="AB51:AC51"/>
    <mergeCell ref="AP51:AQ51"/>
    <mergeCell ref="BC51:BD51"/>
    <mergeCell ref="BQ51:BR51"/>
    <mergeCell ref="AX50:AX51"/>
    <mergeCell ref="BC50:BD50"/>
    <mergeCell ref="BK50:BK51"/>
    <mergeCell ref="BQ50:BR50"/>
    <mergeCell ref="BY50:BY51"/>
    <mergeCell ref="A50:B50"/>
    <mergeCell ref="I50:I51"/>
    <mergeCell ref="O50:P50"/>
    <mergeCell ref="W50:W51"/>
    <mergeCell ref="AB50:AC50"/>
    <mergeCell ref="AJ50:AJ51"/>
    <mergeCell ref="AP50:AQ50"/>
    <mergeCell ref="A46:B47"/>
    <mergeCell ref="C46:D46"/>
    <mergeCell ref="E46:F46"/>
    <mergeCell ref="G46:H46"/>
    <mergeCell ref="J46:K46"/>
    <mergeCell ref="CS50:CT50"/>
    <mergeCell ref="DA50:DA51"/>
    <mergeCell ref="CS51:CT51"/>
    <mergeCell ref="CE51:CF51"/>
    <mergeCell ref="CE50:CF50"/>
    <mergeCell ref="CM50:CM51"/>
    <mergeCell ref="CK47:CL47"/>
    <mergeCell ref="CN47:CO47"/>
    <mergeCell ref="CP47:CQ47"/>
    <mergeCell ref="CG47:CH47"/>
    <mergeCell ref="CI47:CJ47"/>
    <mergeCell ref="DD46:DE46"/>
    <mergeCell ref="DG46:DH47"/>
    <mergeCell ref="DI46:DJ46"/>
    <mergeCell ref="DK46:DL46"/>
    <mergeCell ref="DM46:DN46"/>
    <mergeCell ref="DP46:DQ46"/>
    <mergeCell ref="DR47:DS47"/>
    <mergeCell ref="CS1:DE1"/>
    <mergeCell ref="DG1:DS1"/>
    <mergeCell ref="CS8:CT8"/>
    <mergeCell ref="DG8:DH8"/>
    <mergeCell ref="CS46:CT47"/>
    <mergeCell ref="CU46:CV46"/>
    <mergeCell ref="CW46:CX46"/>
    <mergeCell ref="CY46:CZ46"/>
    <mergeCell ref="DB46:DC46"/>
    <mergeCell ref="CU47:CV47"/>
    <mergeCell ref="CW47:CX47"/>
    <mergeCell ref="CY47:CZ47"/>
    <mergeCell ref="DB47:DC47"/>
    <mergeCell ref="DD47:DE47"/>
    <mergeCell ref="DB2:DE2"/>
    <mergeCell ref="DG92:DH92"/>
    <mergeCell ref="DI92:DJ92"/>
    <mergeCell ref="DK92:DL92"/>
    <mergeCell ref="DN92:DO92"/>
    <mergeCell ref="DP92:DQ92"/>
    <mergeCell ref="DG93:DH93"/>
    <mergeCell ref="DI93:DJ93"/>
    <mergeCell ref="DK93:DL93"/>
    <mergeCell ref="DN93:DO93"/>
    <mergeCell ref="DP93:DQ93"/>
    <mergeCell ref="DG50:DH50"/>
    <mergeCell ref="DO50:DO51"/>
    <mergeCell ref="DG51:DH51"/>
    <mergeCell ref="DU1:EG1"/>
    <mergeCell ref="DU8:DV8"/>
    <mergeCell ref="DU46:DV47"/>
    <mergeCell ref="DW46:DX46"/>
    <mergeCell ref="DR46:DS46"/>
    <mergeCell ref="DI47:DJ47"/>
    <mergeCell ref="DK47:DL47"/>
    <mergeCell ref="DM47:DN47"/>
    <mergeCell ref="DP47:DQ47"/>
    <mergeCell ref="DU50:DV50"/>
    <mergeCell ref="EC50:EC51"/>
    <mergeCell ref="DU51:DV51"/>
    <mergeCell ref="DW47:DX47"/>
    <mergeCell ref="DY47:DZ47"/>
    <mergeCell ref="EA47:EB47"/>
    <mergeCell ref="ED47:EE47"/>
    <mergeCell ref="EF47:EG47"/>
    <mergeCell ref="EF46:EG46"/>
    <mergeCell ref="DY46:DZ46"/>
    <mergeCell ref="EA46:EB46"/>
    <mergeCell ref="ED46:EE46"/>
  </mergeCells>
  <printOptions verticalCentered="1"/>
  <pageMargins left="0.23622047244094491" right="0" top="0" bottom="0" header="0" footer="0"/>
  <pageSetup paperSize="9" scale="54" orientation="landscape" r:id="rId1"/>
  <colBreaks count="4" manualBreakCount="4">
    <brk id="27" max="62" man="1"/>
    <brk id="54" max="62" man="1"/>
    <brk id="81" max="62" man="1"/>
    <brk id="109" max="6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70B6-E855-4FD2-8D85-FDE958624A20}">
  <sheetPr>
    <tabColor theme="7" tint="0.79998168889431442"/>
  </sheetPr>
  <dimension ref="A1:BB97"/>
  <sheetViews>
    <sheetView tabSelected="1" view="pageBreakPreview" topLeftCell="AA1" zoomScale="85" zoomScaleNormal="85" zoomScaleSheetLayoutView="85" workbookViewId="0">
      <selection activeCell="G10" sqref="G10"/>
    </sheetView>
  </sheetViews>
  <sheetFormatPr defaultColWidth="8.81640625" defaultRowHeight="14.5" x14ac:dyDescent="0.35"/>
  <cols>
    <col min="1" max="2" width="5.7265625" customWidth="1"/>
    <col min="3" max="3" width="9.453125" bestFit="1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7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11.26953125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54296875" style="3" customWidth="1"/>
    <col min="24" max="24" width="8.81640625" style="2"/>
    <col min="25" max="25" width="7" customWidth="1"/>
    <col min="26" max="26" width="9" bestFit="1" customWidth="1"/>
    <col min="27" max="27" width="13.81640625" style="1" customWidth="1"/>
    <col min="28" max="29" width="5.7265625" customWidth="1"/>
    <col min="30" max="30" width="10.1796875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7" style="3" customWidth="1"/>
    <col min="37" max="37" width="8.81640625" style="2"/>
    <col min="38" max="38" width="7" customWidth="1"/>
    <col min="39" max="39" width="9" bestFit="1" customWidth="1"/>
    <col min="40" max="40" width="12.81640625" style="1" customWidth="1"/>
    <col min="41" max="41" width="7.7265625" customWidth="1"/>
    <col min="42" max="43" width="5.7265625" customWidth="1"/>
    <col min="44" max="44" width="1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54296875" style="3" customWidth="1"/>
    <col min="51" max="51" width="8.81640625" style="2"/>
    <col min="52" max="52" width="7" customWidth="1"/>
    <col min="53" max="53" width="9" bestFit="1" customWidth="1"/>
    <col min="54" max="54" width="15.453125" style="1" customWidth="1"/>
  </cols>
  <sheetData>
    <row r="1" spans="1:54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$A$1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$A$1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tr">
        <f>$A$1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</row>
    <row r="2" spans="1:54" s="78" customFormat="1" ht="39.75" customHeight="1" x14ac:dyDescent="0.35">
      <c r="A2" s="78" t="s">
        <v>20</v>
      </c>
      <c r="C2" s="79" t="s">
        <v>42</v>
      </c>
      <c r="D2" s="79"/>
      <c r="E2" s="79"/>
      <c r="F2" s="79"/>
      <c r="G2" s="79" t="s">
        <v>41</v>
      </c>
      <c r="H2" s="80"/>
      <c r="I2" s="80"/>
      <c r="J2" s="80"/>
      <c r="K2" s="80"/>
      <c r="L2" s="80"/>
      <c r="M2" s="80"/>
      <c r="O2" s="78" t="s">
        <v>20</v>
      </c>
      <c r="Q2" s="79" t="s">
        <v>93</v>
      </c>
      <c r="R2" s="79"/>
      <c r="S2" s="79"/>
      <c r="T2" s="79"/>
      <c r="U2" s="79" t="s">
        <v>94</v>
      </c>
      <c r="V2" s="80"/>
      <c r="W2" s="80"/>
      <c r="X2" s="79"/>
      <c r="Y2" s="79"/>
      <c r="Z2" s="79"/>
      <c r="AA2" s="79"/>
      <c r="AB2" s="78" t="s">
        <v>20</v>
      </c>
      <c r="AD2" s="79" t="s">
        <v>95</v>
      </c>
      <c r="AE2" s="79"/>
      <c r="AF2" s="79"/>
      <c r="AG2" s="79"/>
      <c r="AH2" s="79"/>
      <c r="AI2" s="79" t="s">
        <v>96</v>
      </c>
      <c r="AJ2" s="79"/>
      <c r="AK2" s="79"/>
      <c r="AL2" s="79"/>
      <c r="AM2" s="79"/>
      <c r="AN2" s="79"/>
      <c r="AP2" s="78" t="s">
        <v>20</v>
      </c>
      <c r="AR2" s="81" t="s">
        <v>97</v>
      </c>
      <c r="AS2" s="79"/>
      <c r="AT2" s="79"/>
      <c r="AU2" s="79"/>
      <c r="AV2" s="79" t="s">
        <v>98</v>
      </c>
      <c r="AW2" s="80"/>
      <c r="AX2" s="80"/>
      <c r="AY2" s="79"/>
      <c r="AZ2" s="79"/>
      <c r="BA2" s="79"/>
      <c r="BB2" s="79"/>
    </row>
    <row r="3" spans="1:54" ht="3" customHeight="1" x14ac:dyDescent="0.35"/>
    <row r="4" spans="1:54" x14ac:dyDescent="0.35">
      <c r="H4" s="6"/>
      <c r="I4" s="6"/>
      <c r="V4" s="6"/>
      <c r="W4" s="6"/>
      <c r="AI4" s="6"/>
      <c r="AJ4" s="6"/>
      <c r="AW4" s="6"/>
      <c r="AX4" s="6"/>
    </row>
    <row r="5" spans="1:54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0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25</v>
      </c>
      <c r="AE5" s="69" t="s">
        <v>22</v>
      </c>
      <c r="AF5" s="69"/>
      <c r="AG5" s="69" t="s">
        <v>23</v>
      </c>
      <c r="AH5" s="70">
        <f>SUM(AH47)</f>
        <v>0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</row>
    <row r="6" spans="1:54" s="74" customFormat="1" ht="20.149999999999999" customHeight="1" x14ac:dyDescent="0.35">
      <c r="A6" s="69" t="s">
        <v>21</v>
      </c>
      <c r="B6" s="69"/>
      <c r="C6" s="75">
        <f>SUM(E47)</f>
        <v>102.46666666666668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8.0500000000000025</v>
      </c>
      <c r="M6" s="73" t="s">
        <v>12</v>
      </c>
      <c r="O6" s="69" t="s">
        <v>21</v>
      </c>
      <c r="P6" s="69"/>
      <c r="Q6" s="75">
        <f>SUM(S47)</f>
        <v>102.46666666666668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10.666666666666664</v>
      </c>
      <c r="AA6" s="73" t="s">
        <v>12</v>
      </c>
      <c r="AB6" s="69" t="s">
        <v>21</v>
      </c>
      <c r="AC6" s="69"/>
      <c r="AD6" s="75">
        <f>SUM(AF47)</f>
        <v>102.46666666666668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8.0500000000000025</v>
      </c>
      <c r="AN6" s="73" t="s">
        <v>12</v>
      </c>
      <c r="AP6" s="69" t="s">
        <v>21</v>
      </c>
      <c r="AQ6" s="69"/>
      <c r="AR6" s="75">
        <f>SUM(AT47)</f>
        <v>102.46666666666668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8.0500000000000025</v>
      </c>
      <c r="BB6" s="73" t="s">
        <v>12</v>
      </c>
    </row>
    <row r="7" spans="1:54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</row>
    <row r="8" spans="1:54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</row>
    <row r="9" spans="1:54" ht="17.149999999999999" customHeight="1" x14ac:dyDescent="0.35">
      <c r="A9" s="88" t="s">
        <v>216</v>
      </c>
      <c r="B9" s="88">
        <v>1</v>
      </c>
      <c r="C9" s="89">
        <v>11.1</v>
      </c>
      <c r="D9" s="138"/>
      <c r="E9" s="138">
        <v>0</v>
      </c>
      <c r="F9" s="89">
        <v>20.53</v>
      </c>
      <c r="G9" s="89">
        <f t="shared" ref="G9:G38" si="0">SUM(D9-C9)+(F9-E9)</f>
        <v>9.4300000000000015</v>
      </c>
      <c r="H9" s="90"/>
      <c r="I9" s="89">
        <v>1.4</v>
      </c>
      <c r="J9" s="91">
        <f t="shared" ref="J9:J38" si="1">SUM((G9-H9)-I9)</f>
        <v>8.0300000000000011</v>
      </c>
      <c r="K9" s="88">
        <v>8</v>
      </c>
      <c r="L9" s="88">
        <f t="shared" ref="L9:L38" si="2">SUM(J9-K9)*100</f>
        <v>3.0000000000001137</v>
      </c>
      <c r="M9" s="134"/>
      <c r="O9" s="88" t="s">
        <v>216</v>
      </c>
      <c r="P9" s="88">
        <v>1</v>
      </c>
      <c r="Q9" s="89">
        <v>11.1</v>
      </c>
      <c r="R9" s="138"/>
      <c r="S9" s="138">
        <v>0</v>
      </c>
      <c r="T9" s="89">
        <v>22.9</v>
      </c>
      <c r="U9" s="89">
        <f t="shared" ref="U9:U38" si="3">SUM(R9-Q9)+(T9-S9)</f>
        <v>11.799999999999999</v>
      </c>
      <c r="V9" s="90"/>
      <c r="W9" s="89">
        <v>1.4</v>
      </c>
      <c r="X9" s="91">
        <f t="shared" ref="X9:X38" si="4">SUM((U9-V9)-W9)</f>
        <v>10.399999999999999</v>
      </c>
      <c r="Y9" s="88">
        <v>10</v>
      </c>
      <c r="Z9" s="88">
        <f t="shared" ref="Z9:Z38" si="5">SUM(X9-Y9)*100</f>
        <v>39.999999999999858</v>
      </c>
      <c r="AA9" s="134"/>
      <c r="AB9" s="88" t="s">
        <v>216</v>
      </c>
      <c r="AC9" s="88">
        <v>1</v>
      </c>
      <c r="AD9" s="89">
        <v>11.1</v>
      </c>
      <c r="AE9" s="138"/>
      <c r="AF9" s="138">
        <v>0</v>
      </c>
      <c r="AG9" s="89">
        <v>20.53</v>
      </c>
      <c r="AH9" s="89">
        <f t="shared" ref="AH9:AH38" si="6">SUM(AE9-AD9)+(AG9-AF9)</f>
        <v>9.4300000000000015</v>
      </c>
      <c r="AI9" s="90"/>
      <c r="AJ9" s="89">
        <v>1.4</v>
      </c>
      <c r="AK9" s="91">
        <f t="shared" ref="AK9:AK38" si="7">SUM((AH9-AI9)-AJ9)</f>
        <v>8.0300000000000011</v>
      </c>
      <c r="AL9" s="88">
        <v>8</v>
      </c>
      <c r="AM9" s="88">
        <f t="shared" ref="AM9:AM38" si="8">SUM(AK9-AL9)*100</f>
        <v>3.0000000000001137</v>
      </c>
      <c r="AN9" s="134"/>
      <c r="AP9" s="88" t="s">
        <v>216</v>
      </c>
      <c r="AQ9" s="88">
        <v>1</v>
      </c>
      <c r="AR9" s="89">
        <v>11.1</v>
      </c>
      <c r="AS9" s="138"/>
      <c r="AT9" s="138">
        <v>0</v>
      </c>
      <c r="AU9" s="89">
        <v>20.53</v>
      </c>
      <c r="AV9" s="89">
        <f t="shared" ref="AV9:AV38" si="9">SUM(AS9-AR9)+(AU9-AT9)</f>
        <v>9.4300000000000015</v>
      </c>
      <c r="AW9" s="90"/>
      <c r="AX9" s="89">
        <v>1.4</v>
      </c>
      <c r="AY9" s="91">
        <f t="shared" ref="AY9:AY38" si="10">SUM((AV9-AW9)-AX9)</f>
        <v>8.0300000000000011</v>
      </c>
      <c r="AZ9" s="88">
        <v>8</v>
      </c>
      <c r="BA9" s="88">
        <f t="shared" ref="BA9:BA38" si="11">SUM(AY9-AZ9)*100</f>
        <v>3.0000000000001137</v>
      </c>
      <c r="BB9" s="134"/>
    </row>
    <row r="10" spans="1:54" s="54" customFormat="1" ht="17.149999999999999" customHeight="1" x14ac:dyDescent="0.35">
      <c r="A10" s="86" t="s">
        <v>2</v>
      </c>
      <c r="B10" s="86">
        <v>2</v>
      </c>
      <c r="C10" s="58">
        <v>11.1</v>
      </c>
      <c r="D10" s="96"/>
      <c r="E10" s="96"/>
      <c r="F10" s="53">
        <v>25.41</v>
      </c>
      <c r="G10" s="58">
        <f t="shared" si="0"/>
        <v>14.31</v>
      </c>
      <c r="H10" s="97">
        <v>7.3</v>
      </c>
      <c r="I10" s="58">
        <v>1</v>
      </c>
      <c r="J10" s="59">
        <f t="shared" si="1"/>
        <v>6.0100000000000007</v>
      </c>
      <c r="K10" s="86">
        <v>6</v>
      </c>
      <c r="L10" s="86">
        <f t="shared" si="2"/>
        <v>1.0000000000000675</v>
      </c>
      <c r="M10" s="98"/>
      <c r="N10"/>
      <c r="O10" s="86" t="s">
        <v>2</v>
      </c>
      <c r="P10" s="86">
        <v>2</v>
      </c>
      <c r="Q10" s="58">
        <v>11.1</v>
      </c>
      <c r="R10" s="96"/>
      <c r="S10" s="96"/>
      <c r="T10" s="53">
        <v>25.41</v>
      </c>
      <c r="U10" s="58">
        <f t="shared" si="3"/>
        <v>14.31</v>
      </c>
      <c r="V10" s="97">
        <v>7.3</v>
      </c>
      <c r="W10" s="58">
        <v>1</v>
      </c>
      <c r="X10" s="59">
        <f t="shared" si="4"/>
        <v>6.0100000000000007</v>
      </c>
      <c r="Y10" s="86">
        <v>6</v>
      </c>
      <c r="Z10" s="86">
        <f t="shared" si="5"/>
        <v>1.0000000000000675</v>
      </c>
      <c r="AA10" s="98"/>
      <c r="AB10" s="86" t="s">
        <v>2</v>
      </c>
      <c r="AC10" s="86">
        <v>2</v>
      </c>
      <c r="AD10" s="58">
        <v>11.1</v>
      </c>
      <c r="AE10" s="96"/>
      <c r="AF10" s="96"/>
      <c r="AG10" s="53">
        <v>25.41</v>
      </c>
      <c r="AH10" s="58">
        <f t="shared" si="6"/>
        <v>14.31</v>
      </c>
      <c r="AI10" s="97">
        <v>7.3</v>
      </c>
      <c r="AJ10" s="58">
        <v>1</v>
      </c>
      <c r="AK10" s="59">
        <f t="shared" si="7"/>
        <v>6.0100000000000007</v>
      </c>
      <c r="AL10" s="86">
        <v>6</v>
      </c>
      <c r="AM10" s="86">
        <f t="shared" si="8"/>
        <v>1.0000000000000675</v>
      </c>
      <c r="AN10" s="98"/>
      <c r="AO10"/>
      <c r="AP10" s="86" t="s">
        <v>2</v>
      </c>
      <c r="AQ10" s="86">
        <v>2</v>
      </c>
      <c r="AR10" s="58">
        <v>11.1</v>
      </c>
      <c r="AS10" s="96"/>
      <c r="AT10" s="96"/>
      <c r="AU10" s="53">
        <v>25.41</v>
      </c>
      <c r="AV10" s="58">
        <f t="shared" si="9"/>
        <v>14.31</v>
      </c>
      <c r="AW10" s="97">
        <v>7.3</v>
      </c>
      <c r="AX10" s="58">
        <v>1</v>
      </c>
      <c r="AY10" s="59">
        <f t="shared" si="10"/>
        <v>6.0100000000000007</v>
      </c>
      <c r="AZ10" s="86">
        <v>6</v>
      </c>
      <c r="BA10" s="86">
        <f t="shared" si="11"/>
        <v>1.0000000000000675</v>
      </c>
      <c r="BB10" s="98"/>
    </row>
    <row r="11" spans="1:54" s="54" customFormat="1" ht="17.149999999999999" customHeight="1" x14ac:dyDescent="0.35">
      <c r="A11" s="86" t="s">
        <v>3</v>
      </c>
      <c r="B11" s="86">
        <v>3</v>
      </c>
      <c r="C11" s="58">
        <v>11.1</v>
      </c>
      <c r="D11" s="96"/>
      <c r="E11" s="96"/>
      <c r="F11" s="53">
        <v>25.56</v>
      </c>
      <c r="G11" s="58">
        <f t="shared" si="0"/>
        <v>14.459999999999999</v>
      </c>
      <c r="H11" s="97">
        <v>7.3</v>
      </c>
      <c r="I11" s="58">
        <v>1</v>
      </c>
      <c r="J11" s="59">
        <f t="shared" si="1"/>
        <v>6.1599999999999993</v>
      </c>
      <c r="K11" s="86">
        <v>6</v>
      </c>
      <c r="L11" s="86">
        <f t="shared" si="2"/>
        <v>15.999999999999925</v>
      </c>
      <c r="M11" s="87"/>
      <c r="N11"/>
      <c r="O11" s="86" t="s">
        <v>3</v>
      </c>
      <c r="P11" s="86">
        <v>3</v>
      </c>
      <c r="Q11" s="58">
        <v>11.1</v>
      </c>
      <c r="R11" s="96"/>
      <c r="S11" s="96"/>
      <c r="T11" s="53">
        <v>25.56</v>
      </c>
      <c r="U11" s="58">
        <f t="shared" si="3"/>
        <v>14.459999999999999</v>
      </c>
      <c r="V11" s="97">
        <v>7.3</v>
      </c>
      <c r="W11" s="58">
        <v>1</v>
      </c>
      <c r="X11" s="59">
        <f t="shared" si="4"/>
        <v>6.1599999999999993</v>
      </c>
      <c r="Y11" s="86">
        <v>6</v>
      </c>
      <c r="Z11" s="86">
        <f t="shared" si="5"/>
        <v>15.999999999999925</v>
      </c>
      <c r="AA11" s="87"/>
      <c r="AB11" s="86" t="s">
        <v>3</v>
      </c>
      <c r="AC11" s="86">
        <v>3</v>
      </c>
      <c r="AD11" s="58">
        <v>11.1</v>
      </c>
      <c r="AE11" s="96"/>
      <c r="AF11" s="96"/>
      <c r="AG11" s="53">
        <v>25.56</v>
      </c>
      <c r="AH11" s="58">
        <f t="shared" si="6"/>
        <v>14.459999999999999</v>
      </c>
      <c r="AI11" s="97">
        <v>7.3</v>
      </c>
      <c r="AJ11" s="58">
        <v>1</v>
      </c>
      <c r="AK11" s="59">
        <f t="shared" si="7"/>
        <v>6.1599999999999993</v>
      </c>
      <c r="AL11" s="86">
        <v>6</v>
      </c>
      <c r="AM11" s="86">
        <f t="shared" si="8"/>
        <v>15.999999999999925</v>
      </c>
      <c r="AN11" s="87"/>
      <c r="AO11"/>
      <c r="AP11" s="86" t="s">
        <v>3</v>
      </c>
      <c r="AQ11" s="86">
        <v>3</v>
      </c>
      <c r="AR11" s="58">
        <v>11.1</v>
      </c>
      <c r="AS11" s="96"/>
      <c r="AT11" s="96"/>
      <c r="AU11" s="53">
        <v>25.56</v>
      </c>
      <c r="AV11" s="58">
        <f t="shared" si="9"/>
        <v>14.459999999999999</v>
      </c>
      <c r="AW11" s="97">
        <v>7.3</v>
      </c>
      <c r="AX11" s="58">
        <v>1</v>
      </c>
      <c r="AY11" s="59">
        <f t="shared" si="10"/>
        <v>6.1599999999999993</v>
      </c>
      <c r="AZ11" s="86">
        <v>6</v>
      </c>
      <c r="BA11" s="86">
        <f t="shared" si="11"/>
        <v>15.999999999999925</v>
      </c>
      <c r="BB11" s="87"/>
    </row>
    <row r="12" spans="1:54" ht="17.149999999999999" customHeight="1" x14ac:dyDescent="0.35">
      <c r="A12" s="86" t="s">
        <v>4</v>
      </c>
      <c r="B12" s="86">
        <v>4</v>
      </c>
      <c r="C12" s="58">
        <v>11.1</v>
      </c>
      <c r="D12" s="96"/>
      <c r="E12" s="96"/>
      <c r="F12" s="53">
        <v>26.6</v>
      </c>
      <c r="G12" s="58">
        <f t="shared" si="0"/>
        <v>15.500000000000002</v>
      </c>
      <c r="H12" s="97">
        <v>7.3</v>
      </c>
      <c r="I12" s="58">
        <v>1</v>
      </c>
      <c r="J12" s="59">
        <f t="shared" si="1"/>
        <v>7.2000000000000028</v>
      </c>
      <c r="K12" s="86">
        <v>7</v>
      </c>
      <c r="L12" s="86">
        <f t="shared" si="2"/>
        <v>20.000000000000284</v>
      </c>
      <c r="M12" s="98"/>
      <c r="O12" s="86" t="s">
        <v>4</v>
      </c>
      <c r="P12" s="86">
        <v>4</v>
      </c>
      <c r="Q12" s="58">
        <v>11.1</v>
      </c>
      <c r="R12" s="96"/>
      <c r="S12" s="96"/>
      <c r="T12" s="53">
        <v>26.6</v>
      </c>
      <c r="U12" s="58">
        <f t="shared" si="3"/>
        <v>15.500000000000002</v>
      </c>
      <c r="V12" s="97">
        <v>7.3</v>
      </c>
      <c r="W12" s="58">
        <v>1</v>
      </c>
      <c r="X12" s="59">
        <f t="shared" si="4"/>
        <v>7.2000000000000028</v>
      </c>
      <c r="Y12" s="86">
        <v>7</v>
      </c>
      <c r="Z12" s="86">
        <f t="shared" si="5"/>
        <v>20.000000000000284</v>
      </c>
      <c r="AA12" s="98"/>
      <c r="AB12" s="86" t="s">
        <v>4</v>
      </c>
      <c r="AC12" s="86">
        <v>4</v>
      </c>
      <c r="AD12" s="58">
        <v>11.1</v>
      </c>
      <c r="AE12" s="96"/>
      <c r="AF12" s="96"/>
      <c r="AG12" s="53">
        <v>26.6</v>
      </c>
      <c r="AH12" s="58">
        <f t="shared" si="6"/>
        <v>15.500000000000002</v>
      </c>
      <c r="AI12" s="97">
        <v>7.3</v>
      </c>
      <c r="AJ12" s="58">
        <v>1</v>
      </c>
      <c r="AK12" s="59">
        <f t="shared" si="7"/>
        <v>7.2000000000000028</v>
      </c>
      <c r="AL12" s="86">
        <v>7</v>
      </c>
      <c r="AM12" s="86">
        <f t="shared" si="8"/>
        <v>20.000000000000284</v>
      </c>
      <c r="AN12" s="98"/>
      <c r="AP12" s="86" t="s">
        <v>4</v>
      </c>
      <c r="AQ12" s="86">
        <v>4</v>
      </c>
      <c r="AR12" s="58">
        <v>11.1</v>
      </c>
      <c r="AS12" s="96"/>
      <c r="AT12" s="96"/>
      <c r="AU12" s="53">
        <v>26.6</v>
      </c>
      <c r="AV12" s="58">
        <f t="shared" si="9"/>
        <v>15.500000000000002</v>
      </c>
      <c r="AW12" s="97">
        <v>7.3</v>
      </c>
      <c r="AX12" s="58">
        <v>1</v>
      </c>
      <c r="AY12" s="59">
        <f t="shared" si="10"/>
        <v>7.2000000000000028</v>
      </c>
      <c r="AZ12" s="86">
        <v>7</v>
      </c>
      <c r="BA12" s="86">
        <f t="shared" si="11"/>
        <v>20.000000000000284</v>
      </c>
      <c r="BB12" s="98"/>
    </row>
    <row r="13" spans="1:54" ht="17.149999999999999" customHeight="1" x14ac:dyDescent="0.35">
      <c r="A13" s="86" t="s">
        <v>5</v>
      </c>
      <c r="B13" s="86">
        <v>5</v>
      </c>
      <c r="C13" s="58">
        <v>11.1</v>
      </c>
      <c r="D13" s="96"/>
      <c r="E13" s="96"/>
      <c r="F13" s="53">
        <v>24.95</v>
      </c>
      <c r="G13" s="58">
        <f t="shared" si="0"/>
        <v>13.85</v>
      </c>
      <c r="H13" s="97">
        <v>7.3</v>
      </c>
      <c r="I13" s="58">
        <v>1</v>
      </c>
      <c r="J13" s="59">
        <f t="shared" si="1"/>
        <v>5.55</v>
      </c>
      <c r="K13" s="86">
        <v>5</v>
      </c>
      <c r="L13" s="86">
        <f t="shared" si="2"/>
        <v>54.999999999999986</v>
      </c>
      <c r="M13" s="98"/>
      <c r="O13" s="86" t="s">
        <v>5</v>
      </c>
      <c r="P13" s="86">
        <v>5</v>
      </c>
      <c r="Q13" s="58">
        <v>11.1</v>
      </c>
      <c r="R13" s="96"/>
      <c r="S13" s="96"/>
      <c r="T13" s="53">
        <v>24.95</v>
      </c>
      <c r="U13" s="58">
        <f t="shared" si="3"/>
        <v>13.85</v>
      </c>
      <c r="V13" s="97">
        <v>7.3</v>
      </c>
      <c r="W13" s="58">
        <v>1</v>
      </c>
      <c r="X13" s="59">
        <f t="shared" si="4"/>
        <v>5.55</v>
      </c>
      <c r="Y13" s="86">
        <v>5</v>
      </c>
      <c r="Z13" s="86">
        <f t="shared" si="5"/>
        <v>54.999999999999986</v>
      </c>
      <c r="AA13" s="98"/>
      <c r="AB13" s="86" t="s">
        <v>5</v>
      </c>
      <c r="AC13" s="86">
        <v>5</v>
      </c>
      <c r="AD13" s="58">
        <v>11.1</v>
      </c>
      <c r="AE13" s="96"/>
      <c r="AF13" s="96"/>
      <c r="AG13" s="53">
        <v>24.95</v>
      </c>
      <c r="AH13" s="58">
        <f t="shared" si="6"/>
        <v>13.85</v>
      </c>
      <c r="AI13" s="97">
        <v>7.3</v>
      </c>
      <c r="AJ13" s="58">
        <v>1</v>
      </c>
      <c r="AK13" s="59">
        <f t="shared" si="7"/>
        <v>5.55</v>
      </c>
      <c r="AL13" s="86">
        <v>5</v>
      </c>
      <c r="AM13" s="86">
        <f t="shared" si="8"/>
        <v>54.999999999999986</v>
      </c>
      <c r="AN13" s="98"/>
      <c r="AP13" s="86" t="s">
        <v>5</v>
      </c>
      <c r="AQ13" s="86">
        <v>5</v>
      </c>
      <c r="AR13" s="58">
        <v>11.1</v>
      </c>
      <c r="AS13" s="96"/>
      <c r="AT13" s="96"/>
      <c r="AU13" s="53">
        <v>24.95</v>
      </c>
      <c r="AV13" s="58">
        <f t="shared" si="9"/>
        <v>13.85</v>
      </c>
      <c r="AW13" s="97">
        <v>7.3</v>
      </c>
      <c r="AX13" s="58">
        <v>1</v>
      </c>
      <c r="AY13" s="59">
        <f t="shared" si="10"/>
        <v>5.55</v>
      </c>
      <c r="AZ13" s="86">
        <v>5</v>
      </c>
      <c r="BA13" s="86">
        <f t="shared" si="11"/>
        <v>54.999999999999986</v>
      </c>
      <c r="BB13" s="98"/>
    </row>
    <row r="14" spans="1:54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0"/>
        <v>0</v>
      </c>
      <c r="H14" s="56"/>
      <c r="I14" s="52"/>
      <c r="J14" s="57">
        <f t="shared" si="1"/>
        <v>0</v>
      </c>
      <c r="K14" s="55">
        <v>0</v>
      </c>
      <c r="L14" s="55">
        <f t="shared" si="2"/>
        <v>0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>
        <v>0</v>
      </c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>
        <f t="shared" si="6"/>
        <v>0</v>
      </c>
      <c r="AI14" s="56"/>
      <c r="AJ14" s="52"/>
      <c r="AK14" s="57">
        <f t="shared" si="7"/>
        <v>0</v>
      </c>
      <c r="AL14" s="55">
        <v>0</v>
      </c>
      <c r="AM14" s="55">
        <f t="shared" si="8"/>
        <v>0</v>
      </c>
      <c r="AN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>
        <v>0</v>
      </c>
      <c r="BA14" s="55">
        <f t="shared" si="11"/>
        <v>0</v>
      </c>
      <c r="BB14" s="95"/>
    </row>
    <row r="15" spans="1:54" ht="17.149999999999999" customHeight="1" x14ac:dyDescent="0.35">
      <c r="A15" s="86" t="s">
        <v>1</v>
      </c>
      <c r="B15" s="94">
        <v>7</v>
      </c>
      <c r="C15" s="58">
        <v>11.1</v>
      </c>
      <c r="D15" s="96"/>
      <c r="E15" s="96"/>
      <c r="F15" s="53">
        <v>22.88</v>
      </c>
      <c r="G15" s="58">
        <f t="shared" si="0"/>
        <v>11.78</v>
      </c>
      <c r="H15" s="97">
        <v>7.3</v>
      </c>
      <c r="I15" s="58">
        <v>1</v>
      </c>
      <c r="J15" s="59">
        <f t="shared" si="1"/>
        <v>3.4799999999999995</v>
      </c>
      <c r="K15" s="86">
        <v>3</v>
      </c>
      <c r="L15" s="86">
        <f t="shared" si="2"/>
        <v>47.999999999999957</v>
      </c>
      <c r="M15" s="98"/>
      <c r="O15" s="86" t="s">
        <v>1</v>
      </c>
      <c r="P15" s="94">
        <v>7</v>
      </c>
      <c r="Q15" s="58">
        <v>11.1</v>
      </c>
      <c r="R15" s="96"/>
      <c r="S15" s="96"/>
      <c r="T15" s="53">
        <v>22.88</v>
      </c>
      <c r="U15" s="58">
        <f t="shared" si="3"/>
        <v>11.78</v>
      </c>
      <c r="V15" s="97">
        <v>7.3</v>
      </c>
      <c r="W15" s="58">
        <v>1</v>
      </c>
      <c r="X15" s="59">
        <f t="shared" si="4"/>
        <v>3.4799999999999995</v>
      </c>
      <c r="Y15" s="86">
        <v>3</v>
      </c>
      <c r="Z15" s="86">
        <f t="shared" si="5"/>
        <v>47.999999999999957</v>
      </c>
      <c r="AA15" s="98"/>
      <c r="AB15" s="86" t="s">
        <v>1</v>
      </c>
      <c r="AC15" s="94">
        <v>7</v>
      </c>
      <c r="AD15" s="58">
        <v>11.1</v>
      </c>
      <c r="AE15" s="96"/>
      <c r="AF15" s="96"/>
      <c r="AG15" s="53">
        <v>22.88</v>
      </c>
      <c r="AH15" s="58">
        <f t="shared" si="6"/>
        <v>11.78</v>
      </c>
      <c r="AI15" s="97">
        <v>7.3</v>
      </c>
      <c r="AJ15" s="58">
        <v>1</v>
      </c>
      <c r="AK15" s="59">
        <f t="shared" si="7"/>
        <v>3.4799999999999995</v>
      </c>
      <c r="AL15" s="86">
        <v>3</v>
      </c>
      <c r="AM15" s="86">
        <f t="shared" si="8"/>
        <v>47.999999999999957</v>
      </c>
      <c r="AN15" s="98"/>
      <c r="AP15" s="86" t="s">
        <v>1</v>
      </c>
      <c r="AQ15" s="94">
        <v>7</v>
      </c>
      <c r="AR15" s="58">
        <v>11.1</v>
      </c>
      <c r="AS15" s="96"/>
      <c r="AT15" s="96"/>
      <c r="AU15" s="53">
        <v>22.88</v>
      </c>
      <c r="AV15" s="58">
        <f t="shared" si="9"/>
        <v>11.78</v>
      </c>
      <c r="AW15" s="97">
        <v>7.3</v>
      </c>
      <c r="AX15" s="58">
        <v>1</v>
      </c>
      <c r="AY15" s="59">
        <f t="shared" si="10"/>
        <v>3.4799999999999995</v>
      </c>
      <c r="AZ15" s="86">
        <v>3</v>
      </c>
      <c r="BA15" s="86">
        <f t="shared" si="11"/>
        <v>47.999999999999957</v>
      </c>
      <c r="BB15" s="98"/>
    </row>
    <row r="16" spans="1:54" ht="17.149999999999999" customHeight="1" x14ac:dyDescent="0.35">
      <c r="A16" s="86" t="s">
        <v>216</v>
      </c>
      <c r="B16" s="86">
        <v>8</v>
      </c>
      <c r="C16" s="58">
        <v>11.1</v>
      </c>
      <c r="D16" s="96"/>
      <c r="E16" s="96"/>
      <c r="F16" s="53">
        <v>23.45</v>
      </c>
      <c r="G16" s="58">
        <f t="shared" si="0"/>
        <v>12.35</v>
      </c>
      <c r="H16" s="97">
        <v>7.3</v>
      </c>
      <c r="I16" s="58">
        <v>1</v>
      </c>
      <c r="J16" s="59">
        <f t="shared" si="1"/>
        <v>4.05</v>
      </c>
      <c r="K16" s="86">
        <v>4</v>
      </c>
      <c r="L16" s="86">
        <f t="shared" si="2"/>
        <v>4.9999999999999822</v>
      </c>
      <c r="M16" s="87"/>
      <c r="O16" s="86" t="s">
        <v>216</v>
      </c>
      <c r="P16" s="86">
        <v>8</v>
      </c>
      <c r="Q16" s="58">
        <v>11.1</v>
      </c>
      <c r="R16" s="96"/>
      <c r="S16" s="96"/>
      <c r="T16" s="53">
        <v>23.45</v>
      </c>
      <c r="U16" s="58">
        <f t="shared" si="3"/>
        <v>12.35</v>
      </c>
      <c r="V16" s="97">
        <v>7.3</v>
      </c>
      <c r="W16" s="58">
        <v>1</v>
      </c>
      <c r="X16" s="59">
        <f t="shared" si="4"/>
        <v>4.05</v>
      </c>
      <c r="Y16" s="86">
        <v>4</v>
      </c>
      <c r="Z16" s="86">
        <f t="shared" si="5"/>
        <v>4.9999999999999822</v>
      </c>
      <c r="AA16" s="87"/>
      <c r="AB16" s="86" t="s">
        <v>216</v>
      </c>
      <c r="AC16" s="86">
        <v>8</v>
      </c>
      <c r="AD16" s="58">
        <v>11.1</v>
      </c>
      <c r="AE16" s="96"/>
      <c r="AF16" s="96"/>
      <c r="AG16" s="53">
        <v>23.45</v>
      </c>
      <c r="AH16" s="58">
        <f t="shared" si="6"/>
        <v>12.35</v>
      </c>
      <c r="AI16" s="97">
        <v>7.3</v>
      </c>
      <c r="AJ16" s="58">
        <v>1</v>
      </c>
      <c r="AK16" s="59">
        <f t="shared" si="7"/>
        <v>4.05</v>
      </c>
      <c r="AL16" s="86">
        <v>4</v>
      </c>
      <c r="AM16" s="86">
        <f t="shared" si="8"/>
        <v>4.9999999999999822</v>
      </c>
      <c r="AN16" s="87"/>
      <c r="AP16" s="86" t="s">
        <v>216</v>
      </c>
      <c r="AQ16" s="86">
        <v>8</v>
      </c>
      <c r="AR16" s="58">
        <v>11.1</v>
      </c>
      <c r="AS16" s="96"/>
      <c r="AT16" s="96"/>
      <c r="AU16" s="53">
        <v>23.45</v>
      </c>
      <c r="AV16" s="58">
        <f t="shared" si="9"/>
        <v>12.35</v>
      </c>
      <c r="AW16" s="97">
        <v>7.3</v>
      </c>
      <c r="AX16" s="58">
        <v>1</v>
      </c>
      <c r="AY16" s="59">
        <f t="shared" si="10"/>
        <v>4.05</v>
      </c>
      <c r="AZ16" s="86">
        <v>4</v>
      </c>
      <c r="BA16" s="86">
        <f t="shared" si="11"/>
        <v>4.9999999999999822</v>
      </c>
      <c r="BB16" s="87"/>
    </row>
    <row r="17" spans="1:54" ht="17.149999999999999" customHeight="1" x14ac:dyDescent="0.35">
      <c r="A17" s="86" t="s">
        <v>2</v>
      </c>
      <c r="B17" s="86">
        <v>9</v>
      </c>
      <c r="C17" s="58">
        <v>11.1</v>
      </c>
      <c r="D17" s="96"/>
      <c r="E17" s="96"/>
      <c r="F17" s="53">
        <v>22.57</v>
      </c>
      <c r="G17" s="58">
        <f t="shared" si="0"/>
        <v>11.47</v>
      </c>
      <c r="H17" s="97">
        <v>7.3</v>
      </c>
      <c r="I17" s="58">
        <v>1</v>
      </c>
      <c r="J17" s="59">
        <f t="shared" si="1"/>
        <v>3.1700000000000008</v>
      </c>
      <c r="K17" s="86">
        <v>3</v>
      </c>
      <c r="L17" s="86">
        <f t="shared" si="2"/>
        <v>17.000000000000082</v>
      </c>
      <c r="M17" s="98"/>
      <c r="O17" s="86" t="s">
        <v>2</v>
      </c>
      <c r="P17" s="86">
        <v>9</v>
      </c>
      <c r="Q17" s="58">
        <v>11.1</v>
      </c>
      <c r="R17" s="96"/>
      <c r="S17" s="96"/>
      <c r="T17" s="53">
        <v>22.57</v>
      </c>
      <c r="U17" s="58">
        <f t="shared" si="3"/>
        <v>11.47</v>
      </c>
      <c r="V17" s="97">
        <v>7.3</v>
      </c>
      <c r="W17" s="58">
        <v>1</v>
      </c>
      <c r="X17" s="59">
        <f t="shared" si="4"/>
        <v>3.1700000000000008</v>
      </c>
      <c r="Y17" s="86">
        <v>3</v>
      </c>
      <c r="Z17" s="86">
        <f t="shared" si="5"/>
        <v>17.000000000000082</v>
      </c>
      <c r="AA17" s="98"/>
      <c r="AB17" s="86" t="s">
        <v>2</v>
      </c>
      <c r="AC17" s="86">
        <v>9</v>
      </c>
      <c r="AD17" s="58">
        <v>11.1</v>
      </c>
      <c r="AE17" s="96"/>
      <c r="AF17" s="96"/>
      <c r="AG17" s="53">
        <v>22.57</v>
      </c>
      <c r="AH17" s="58">
        <f t="shared" si="6"/>
        <v>11.47</v>
      </c>
      <c r="AI17" s="97">
        <v>7.3</v>
      </c>
      <c r="AJ17" s="58">
        <v>1</v>
      </c>
      <c r="AK17" s="59">
        <f t="shared" si="7"/>
        <v>3.1700000000000008</v>
      </c>
      <c r="AL17" s="86">
        <v>3</v>
      </c>
      <c r="AM17" s="86">
        <f t="shared" si="8"/>
        <v>17.000000000000082</v>
      </c>
      <c r="AN17" s="98"/>
      <c r="AP17" s="86" t="s">
        <v>2</v>
      </c>
      <c r="AQ17" s="86">
        <v>9</v>
      </c>
      <c r="AR17" s="58">
        <v>11.1</v>
      </c>
      <c r="AS17" s="96"/>
      <c r="AT17" s="96"/>
      <c r="AU17" s="53">
        <v>22.57</v>
      </c>
      <c r="AV17" s="58">
        <f t="shared" si="9"/>
        <v>11.47</v>
      </c>
      <c r="AW17" s="97">
        <v>7.3</v>
      </c>
      <c r="AX17" s="58">
        <v>1</v>
      </c>
      <c r="AY17" s="59">
        <f t="shared" si="10"/>
        <v>3.1700000000000008</v>
      </c>
      <c r="AZ17" s="86">
        <v>3</v>
      </c>
      <c r="BA17" s="86">
        <f t="shared" si="11"/>
        <v>17.000000000000082</v>
      </c>
      <c r="BB17" s="98"/>
    </row>
    <row r="18" spans="1:54" s="54" customFormat="1" ht="17.149999999999999" customHeight="1" x14ac:dyDescent="0.35">
      <c r="A18" s="86" t="s">
        <v>225</v>
      </c>
      <c r="B18" s="86">
        <v>10</v>
      </c>
      <c r="C18" s="58">
        <v>11.1</v>
      </c>
      <c r="D18" s="96"/>
      <c r="E18" s="96"/>
      <c r="F18" s="53">
        <v>21.81</v>
      </c>
      <c r="G18" s="58">
        <f t="shared" si="0"/>
        <v>10.709999999999999</v>
      </c>
      <c r="H18" s="97">
        <v>7.3</v>
      </c>
      <c r="I18" s="58">
        <v>1</v>
      </c>
      <c r="J18" s="59">
        <f t="shared" si="1"/>
        <v>2.4099999999999993</v>
      </c>
      <c r="K18" s="86">
        <v>2</v>
      </c>
      <c r="L18" s="86">
        <f t="shared" si="2"/>
        <v>40.999999999999929</v>
      </c>
      <c r="M18" s="98"/>
      <c r="N18"/>
      <c r="O18" s="86" t="s">
        <v>225</v>
      </c>
      <c r="P18" s="86">
        <v>10</v>
      </c>
      <c r="Q18" s="58">
        <v>11.1</v>
      </c>
      <c r="R18" s="96"/>
      <c r="S18" s="96"/>
      <c r="T18" s="53">
        <v>21.81</v>
      </c>
      <c r="U18" s="58">
        <f t="shared" si="3"/>
        <v>10.709999999999999</v>
      </c>
      <c r="V18" s="97">
        <v>7.3</v>
      </c>
      <c r="W18" s="58">
        <v>1</v>
      </c>
      <c r="X18" s="59">
        <f t="shared" si="4"/>
        <v>2.4099999999999993</v>
      </c>
      <c r="Y18" s="86">
        <v>2</v>
      </c>
      <c r="Z18" s="86">
        <f t="shared" si="5"/>
        <v>40.999999999999929</v>
      </c>
      <c r="AA18" s="98"/>
      <c r="AB18" s="86" t="s">
        <v>225</v>
      </c>
      <c r="AC18" s="86">
        <v>10</v>
      </c>
      <c r="AD18" s="58">
        <v>11.1</v>
      </c>
      <c r="AE18" s="96"/>
      <c r="AF18" s="96"/>
      <c r="AG18" s="53">
        <v>21.81</v>
      </c>
      <c r="AH18" s="58">
        <f t="shared" si="6"/>
        <v>10.709999999999999</v>
      </c>
      <c r="AI18" s="97">
        <v>7.3</v>
      </c>
      <c r="AJ18" s="58">
        <v>1</v>
      </c>
      <c r="AK18" s="59">
        <f t="shared" si="7"/>
        <v>2.4099999999999993</v>
      </c>
      <c r="AL18" s="86">
        <v>2</v>
      </c>
      <c r="AM18" s="86">
        <f t="shared" si="8"/>
        <v>40.999999999999929</v>
      </c>
      <c r="AN18" s="98"/>
      <c r="AO18"/>
      <c r="AP18" s="86" t="s">
        <v>225</v>
      </c>
      <c r="AQ18" s="86">
        <v>10</v>
      </c>
      <c r="AR18" s="58">
        <v>11.1</v>
      </c>
      <c r="AS18" s="96"/>
      <c r="AT18" s="96"/>
      <c r="AU18" s="53">
        <v>21.81</v>
      </c>
      <c r="AV18" s="58">
        <f t="shared" si="9"/>
        <v>10.709999999999999</v>
      </c>
      <c r="AW18" s="97">
        <v>7.3</v>
      </c>
      <c r="AX18" s="58">
        <v>1</v>
      </c>
      <c r="AY18" s="59">
        <f t="shared" si="10"/>
        <v>2.4099999999999993</v>
      </c>
      <c r="AZ18" s="86">
        <v>2</v>
      </c>
      <c r="BA18" s="86">
        <f t="shared" si="11"/>
        <v>40.999999999999929</v>
      </c>
      <c r="BB18" s="98"/>
    </row>
    <row r="19" spans="1:54" ht="17.149999999999999" customHeight="1" x14ac:dyDescent="0.35">
      <c r="A19" s="86" t="s">
        <v>4</v>
      </c>
      <c r="B19" s="86">
        <v>11</v>
      </c>
      <c r="C19" s="58">
        <v>11.1</v>
      </c>
      <c r="D19" s="96"/>
      <c r="E19" s="96"/>
      <c r="F19" s="53">
        <v>21.75</v>
      </c>
      <c r="G19" s="58">
        <f t="shared" si="0"/>
        <v>10.65</v>
      </c>
      <c r="H19" s="97">
        <v>7.3</v>
      </c>
      <c r="I19" s="58">
        <v>1</v>
      </c>
      <c r="J19" s="59">
        <f t="shared" si="1"/>
        <v>2.3500000000000005</v>
      </c>
      <c r="K19" s="86">
        <v>2</v>
      </c>
      <c r="L19" s="86">
        <f t="shared" si="2"/>
        <v>35.000000000000057</v>
      </c>
      <c r="M19" s="98"/>
      <c r="O19" s="86" t="s">
        <v>4</v>
      </c>
      <c r="P19" s="86">
        <v>11</v>
      </c>
      <c r="Q19" s="58">
        <v>11.1</v>
      </c>
      <c r="R19" s="96"/>
      <c r="S19" s="96"/>
      <c r="T19" s="53">
        <v>21.75</v>
      </c>
      <c r="U19" s="58">
        <f t="shared" si="3"/>
        <v>10.65</v>
      </c>
      <c r="V19" s="97">
        <v>7.3</v>
      </c>
      <c r="W19" s="58">
        <v>1</v>
      </c>
      <c r="X19" s="59">
        <f t="shared" si="4"/>
        <v>2.3500000000000005</v>
      </c>
      <c r="Y19" s="86">
        <v>2</v>
      </c>
      <c r="Z19" s="86">
        <f t="shared" si="5"/>
        <v>35.000000000000057</v>
      </c>
      <c r="AA19" s="98"/>
      <c r="AB19" s="86" t="s">
        <v>4</v>
      </c>
      <c r="AC19" s="86">
        <v>11</v>
      </c>
      <c r="AD19" s="58">
        <v>11.1</v>
      </c>
      <c r="AE19" s="96"/>
      <c r="AF19" s="96"/>
      <c r="AG19" s="53">
        <v>21.75</v>
      </c>
      <c r="AH19" s="58">
        <f t="shared" si="6"/>
        <v>10.65</v>
      </c>
      <c r="AI19" s="97">
        <v>7.3</v>
      </c>
      <c r="AJ19" s="58">
        <v>1</v>
      </c>
      <c r="AK19" s="59">
        <f t="shared" si="7"/>
        <v>2.3500000000000005</v>
      </c>
      <c r="AL19" s="86">
        <v>2</v>
      </c>
      <c r="AM19" s="86">
        <f t="shared" si="8"/>
        <v>35.000000000000057</v>
      </c>
      <c r="AN19" s="98"/>
      <c r="AP19" s="86" t="s">
        <v>4</v>
      </c>
      <c r="AQ19" s="86">
        <v>11</v>
      </c>
      <c r="AR19" s="58">
        <v>11.1</v>
      </c>
      <c r="AS19" s="96"/>
      <c r="AT19" s="96"/>
      <c r="AU19" s="53">
        <v>21.75</v>
      </c>
      <c r="AV19" s="58">
        <f t="shared" si="9"/>
        <v>10.65</v>
      </c>
      <c r="AW19" s="97">
        <v>7.3</v>
      </c>
      <c r="AX19" s="58">
        <v>1</v>
      </c>
      <c r="AY19" s="59">
        <f t="shared" si="10"/>
        <v>2.3500000000000005</v>
      </c>
      <c r="AZ19" s="86">
        <v>2</v>
      </c>
      <c r="BA19" s="86">
        <f t="shared" si="11"/>
        <v>35.000000000000057</v>
      </c>
      <c r="BB19" s="98"/>
    </row>
    <row r="20" spans="1:54" ht="17.149999999999999" customHeight="1" x14ac:dyDescent="0.35">
      <c r="A20" s="86" t="s">
        <v>5</v>
      </c>
      <c r="B20" s="86">
        <v>12</v>
      </c>
      <c r="C20" s="58">
        <v>11.1</v>
      </c>
      <c r="D20" s="96"/>
      <c r="E20" s="96"/>
      <c r="F20" s="53">
        <v>21.61</v>
      </c>
      <c r="G20" s="58">
        <f t="shared" si="0"/>
        <v>10.51</v>
      </c>
      <c r="H20" s="97">
        <v>7.3</v>
      </c>
      <c r="I20" s="58">
        <v>1</v>
      </c>
      <c r="J20" s="59">
        <f t="shared" si="1"/>
        <v>2.21</v>
      </c>
      <c r="K20" s="86">
        <v>2</v>
      </c>
      <c r="L20" s="86">
        <f t="shared" si="2"/>
        <v>20.999999999999996</v>
      </c>
      <c r="M20" s="98"/>
      <c r="O20" s="86" t="s">
        <v>5</v>
      </c>
      <c r="P20" s="86">
        <v>12</v>
      </c>
      <c r="Q20" s="58">
        <v>11.1</v>
      </c>
      <c r="R20" s="96"/>
      <c r="S20" s="96"/>
      <c r="T20" s="53">
        <v>21.61</v>
      </c>
      <c r="U20" s="58">
        <f t="shared" si="3"/>
        <v>10.51</v>
      </c>
      <c r="V20" s="97">
        <v>7.3</v>
      </c>
      <c r="W20" s="58">
        <v>1</v>
      </c>
      <c r="X20" s="59">
        <f t="shared" si="4"/>
        <v>2.21</v>
      </c>
      <c r="Y20" s="86">
        <v>2</v>
      </c>
      <c r="Z20" s="86">
        <f t="shared" si="5"/>
        <v>20.999999999999996</v>
      </c>
      <c r="AA20" s="98"/>
      <c r="AB20" s="86" t="s">
        <v>5</v>
      </c>
      <c r="AC20" s="86">
        <v>12</v>
      </c>
      <c r="AD20" s="58">
        <v>11.1</v>
      </c>
      <c r="AE20" s="96"/>
      <c r="AF20" s="96"/>
      <c r="AG20" s="53">
        <v>21.61</v>
      </c>
      <c r="AH20" s="58">
        <f t="shared" si="6"/>
        <v>10.51</v>
      </c>
      <c r="AI20" s="97">
        <v>7.3</v>
      </c>
      <c r="AJ20" s="58">
        <v>1</v>
      </c>
      <c r="AK20" s="59">
        <f t="shared" si="7"/>
        <v>2.21</v>
      </c>
      <c r="AL20" s="86">
        <v>2</v>
      </c>
      <c r="AM20" s="86">
        <f t="shared" si="8"/>
        <v>20.999999999999996</v>
      </c>
      <c r="AN20" s="98"/>
      <c r="AP20" s="86" t="s">
        <v>5</v>
      </c>
      <c r="AQ20" s="86">
        <v>12</v>
      </c>
      <c r="AR20" s="58">
        <v>11.1</v>
      </c>
      <c r="AS20" s="96"/>
      <c r="AT20" s="96"/>
      <c r="AU20" s="53">
        <v>21.61</v>
      </c>
      <c r="AV20" s="58">
        <f t="shared" si="9"/>
        <v>10.51</v>
      </c>
      <c r="AW20" s="97">
        <v>7.3</v>
      </c>
      <c r="AX20" s="58">
        <v>1</v>
      </c>
      <c r="AY20" s="59">
        <f t="shared" si="10"/>
        <v>2.21</v>
      </c>
      <c r="AZ20" s="86">
        <v>2</v>
      </c>
      <c r="BA20" s="86">
        <f t="shared" si="11"/>
        <v>20.999999999999996</v>
      </c>
      <c r="BB20" s="98"/>
    </row>
    <row r="21" spans="1:54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0"/>
        <v>0</v>
      </c>
      <c r="H21" s="56"/>
      <c r="I21" s="52"/>
      <c r="J21" s="57">
        <f t="shared" si="1"/>
        <v>0</v>
      </c>
      <c r="K21" s="55">
        <v>0</v>
      </c>
      <c r="L21" s="55">
        <f t="shared" si="2"/>
        <v>0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>
        <v>0</v>
      </c>
      <c r="Z21" s="55">
        <f t="shared" si="5"/>
        <v>0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>
        <f t="shared" si="6"/>
        <v>0</v>
      </c>
      <c r="AI21" s="56"/>
      <c r="AJ21" s="52"/>
      <c r="AK21" s="57">
        <f t="shared" si="7"/>
        <v>0</v>
      </c>
      <c r="AL21" s="55">
        <v>0</v>
      </c>
      <c r="AM21" s="55">
        <f t="shared" si="8"/>
        <v>0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>
        <v>0</v>
      </c>
      <c r="BA21" s="55">
        <f t="shared" si="11"/>
        <v>0</v>
      </c>
      <c r="BB21" s="137"/>
    </row>
    <row r="22" spans="1:54" ht="17.149999999999999" customHeight="1" x14ac:dyDescent="0.35">
      <c r="A22" s="86" t="s">
        <v>1</v>
      </c>
      <c r="B22" s="94">
        <v>14</v>
      </c>
      <c r="C22" s="58">
        <v>11.1</v>
      </c>
      <c r="D22" s="96"/>
      <c r="E22" s="96"/>
      <c r="F22" s="53">
        <v>21.61</v>
      </c>
      <c r="G22" s="58">
        <f t="shared" si="0"/>
        <v>10.51</v>
      </c>
      <c r="H22" s="97">
        <v>7.3</v>
      </c>
      <c r="I22" s="58">
        <v>1</v>
      </c>
      <c r="J22" s="59">
        <f t="shared" si="1"/>
        <v>2.21</v>
      </c>
      <c r="K22" s="86">
        <v>2</v>
      </c>
      <c r="L22" s="86">
        <f t="shared" si="2"/>
        <v>20.999999999999996</v>
      </c>
      <c r="M22" s="98"/>
      <c r="O22" s="86" t="s">
        <v>1</v>
      </c>
      <c r="P22" s="94">
        <v>14</v>
      </c>
      <c r="Q22" s="58">
        <v>11.1</v>
      </c>
      <c r="R22" s="96"/>
      <c r="S22" s="96"/>
      <c r="T22" s="53">
        <v>21.61</v>
      </c>
      <c r="U22" s="58">
        <f t="shared" si="3"/>
        <v>10.51</v>
      </c>
      <c r="V22" s="97">
        <v>7.3</v>
      </c>
      <c r="W22" s="58">
        <v>1</v>
      </c>
      <c r="X22" s="59">
        <f t="shared" si="4"/>
        <v>2.21</v>
      </c>
      <c r="Y22" s="86">
        <v>2</v>
      </c>
      <c r="Z22" s="86">
        <f t="shared" si="5"/>
        <v>20.999999999999996</v>
      </c>
      <c r="AA22" s="98"/>
      <c r="AB22" s="86" t="s">
        <v>1</v>
      </c>
      <c r="AC22" s="94">
        <v>14</v>
      </c>
      <c r="AD22" s="58">
        <v>11.1</v>
      </c>
      <c r="AE22" s="96"/>
      <c r="AF22" s="96"/>
      <c r="AG22" s="53">
        <v>21.61</v>
      </c>
      <c r="AH22" s="58">
        <f t="shared" si="6"/>
        <v>10.51</v>
      </c>
      <c r="AI22" s="97">
        <v>7.3</v>
      </c>
      <c r="AJ22" s="58">
        <v>1</v>
      </c>
      <c r="AK22" s="59">
        <f t="shared" si="7"/>
        <v>2.21</v>
      </c>
      <c r="AL22" s="86">
        <v>2</v>
      </c>
      <c r="AM22" s="86">
        <f t="shared" si="8"/>
        <v>20.999999999999996</v>
      </c>
      <c r="AN22" s="98"/>
      <c r="AP22" s="86" t="s">
        <v>1</v>
      </c>
      <c r="AQ22" s="94">
        <v>14</v>
      </c>
      <c r="AR22" s="58">
        <v>11.1</v>
      </c>
      <c r="AS22" s="96"/>
      <c r="AT22" s="96"/>
      <c r="AU22" s="53">
        <v>21.61</v>
      </c>
      <c r="AV22" s="58">
        <f t="shared" si="9"/>
        <v>10.51</v>
      </c>
      <c r="AW22" s="97">
        <v>7.3</v>
      </c>
      <c r="AX22" s="58">
        <v>1</v>
      </c>
      <c r="AY22" s="59">
        <f t="shared" si="10"/>
        <v>2.21</v>
      </c>
      <c r="AZ22" s="86">
        <v>2</v>
      </c>
      <c r="BA22" s="86">
        <f t="shared" si="11"/>
        <v>20.999999999999996</v>
      </c>
      <c r="BB22" s="98"/>
    </row>
    <row r="23" spans="1:54" ht="17.149999999999999" customHeight="1" x14ac:dyDescent="0.35">
      <c r="A23" s="86" t="s">
        <v>216</v>
      </c>
      <c r="B23" s="94">
        <v>15</v>
      </c>
      <c r="C23" s="58">
        <v>11.1</v>
      </c>
      <c r="D23" s="96"/>
      <c r="E23" s="96"/>
      <c r="F23" s="53">
        <v>21.64</v>
      </c>
      <c r="G23" s="58">
        <f t="shared" si="0"/>
        <v>10.540000000000001</v>
      </c>
      <c r="H23" s="97">
        <v>7.3</v>
      </c>
      <c r="I23" s="58">
        <v>1</v>
      </c>
      <c r="J23" s="59">
        <f t="shared" si="1"/>
        <v>2.2400000000000011</v>
      </c>
      <c r="K23" s="86">
        <v>2</v>
      </c>
      <c r="L23" s="86">
        <f t="shared" si="2"/>
        <v>24.00000000000011</v>
      </c>
      <c r="M23" s="103"/>
      <c r="O23" s="86" t="s">
        <v>216</v>
      </c>
      <c r="P23" s="94">
        <v>15</v>
      </c>
      <c r="Q23" s="58">
        <v>11.1</v>
      </c>
      <c r="R23" s="96"/>
      <c r="S23" s="96"/>
      <c r="T23" s="53">
        <v>21.64</v>
      </c>
      <c r="U23" s="58">
        <f t="shared" si="3"/>
        <v>10.540000000000001</v>
      </c>
      <c r="V23" s="97">
        <v>7.3</v>
      </c>
      <c r="W23" s="58">
        <v>1</v>
      </c>
      <c r="X23" s="59">
        <f t="shared" si="4"/>
        <v>2.2400000000000011</v>
      </c>
      <c r="Y23" s="86">
        <v>2</v>
      </c>
      <c r="Z23" s="86">
        <f t="shared" si="5"/>
        <v>24.00000000000011</v>
      </c>
      <c r="AA23" s="103"/>
      <c r="AB23" s="86" t="s">
        <v>216</v>
      </c>
      <c r="AC23" s="94">
        <v>15</v>
      </c>
      <c r="AD23" s="58">
        <v>11.1</v>
      </c>
      <c r="AE23" s="96"/>
      <c r="AF23" s="96"/>
      <c r="AG23" s="53">
        <v>21.64</v>
      </c>
      <c r="AH23" s="58">
        <f t="shared" si="6"/>
        <v>10.540000000000001</v>
      </c>
      <c r="AI23" s="97">
        <v>7.3</v>
      </c>
      <c r="AJ23" s="58">
        <v>1</v>
      </c>
      <c r="AK23" s="59">
        <f t="shared" si="7"/>
        <v>2.2400000000000011</v>
      </c>
      <c r="AL23" s="86">
        <v>2</v>
      </c>
      <c r="AM23" s="86">
        <f t="shared" si="8"/>
        <v>24.00000000000011</v>
      </c>
      <c r="AN23" s="103"/>
      <c r="AP23" s="86" t="s">
        <v>216</v>
      </c>
      <c r="AQ23" s="94">
        <v>15</v>
      </c>
      <c r="AR23" s="58">
        <v>11.1</v>
      </c>
      <c r="AS23" s="96"/>
      <c r="AT23" s="96"/>
      <c r="AU23" s="53">
        <v>21.64</v>
      </c>
      <c r="AV23" s="58">
        <f t="shared" si="9"/>
        <v>10.540000000000001</v>
      </c>
      <c r="AW23" s="97">
        <v>7.3</v>
      </c>
      <c r="AX23" s="58">
        <v>1</v>
      </c>
      <c r="AY23" s="59">
        <f t="shared" si="10"/>
        <v>2.2400000000000011</v>
      </c>
      <c r="AZ23" s="86">
        <v>2</v>
      </c>
      <c r="BA23" s="86">
        <f t="shared" si="11"/>
        <v>24.00000000000011</v>
      </c>
      <c r="BB23" s="103"/>
    </row>
    <row r="24" spans="1:54" ht="17.149999999999999" customHeight="1" x14ac:dyDescent="0.35">
      <c r="A24" s="86" t="s">
        <v>2</v>
      </c>
      <c r="B24" s="94">
        <v>16</v>
      </c>
      <c r="C24" s="58">
        <v>11.1</v>
      </c>
      <c r="D24" s="96"/>
      <c r="E24" s="96"/>
      <c r="F24" s="53">
        <v>22.5</v>
      </c>
      <c r="G24" s="58">
        <f t="shared" si="0"/>
        <v>11.4</v>
      </c>
      <c r="H24" s="97">
        <v>7.3</v>
      </c>
      <c r="I24" s="58">
        <v>1</v>
      </c>
      <c r="J24" s="59">
        <f t="shared" si="1"/>
        <v>3.1000000000000005</v>
      </c>
      <c r="K24" s="86">
        <v>3</v>
      </c>
      <c r="L24" s="86">
        <f t="shared" si="2"/>
        <v>10.000000000000053</v>
      </c>
      <c r="M24" s="98"/>
      <c r="O24" s="86" t="s">
        <v>2</v>
      </c>
      <c r="P24" s="94">
        <v>16</v>
      </c>
      <c r="Q24" s="58">
        <v>11.1</v>
      </c>
      <c r="R24" s="96"/>
      <c r="S24" s="96"/>
      <c r="T24" s="53">
        <v>22.5</v>
      </c>
      <c r="U24" s="58">
        <f t="shared" si="3"/>
        <v>11.4</v>
      </c>
      <c r="V24" s="97">
        <v>7.3</v>
      </c>
      <c r="W24" s="58">
        <v>1</v>
      </c>
      <c r="X24" s="59">
        <f t="shared" si="4"/>
        <v>3.1000000000000005</v>
      </c>
      <c r="Y24" s="86">
        <v>3</v>
      </c>
      <c r="Z24" s="86">
        <f t="shared" si="5"/>
        <v>10.000000000000053</v>
      </c>
      <c r="AA24" s="98"/>
      <c r="AB24" s="86" t="s">
        <v>2</v>
      </c>
      <c r="AC24" s="94">
        <v>16</v>
      </c>
      <c r="AD24" s="58">
        <v>11.1</v>
      </c>
      <c r="AE24" s="96"/>
      <c r="AF24" s="96"/>
      <c r="AG24" s="53">
        <v>22.5</v>
      </c>
      <c r="AH24" s="58">
        <f t="shared" si="6"/>
        <v>11.4</v>
      </c>
      <c r="AI24" s="97">
        <v>7.3</v>
      </c>
      <c r="AJ24" s="58">
        <v>1</v>
      </c>
      <c r="AK24" s="59">
        <f t="shared" si="7"/>
        <v>3.1000000000000005</v>
      </c>
      <c r="AL24" s="86">
        <v>3</v>
      </c>
      <c r="AM24" s="86">
        <f t="shared" si="8"/>
        <v>10.000000000000053</v>
      </c>
      <c r="AN24" s="98"/>
      <c r="AP24" s="86" t="s">
        <v>2</v>
      </c>
      <c r="AQ24" s="94">
        <v>16</v>
      </c>
      <c r="AR24" s="58">
        <v>11.1</v>
      </c>
      <c r="AS24" s="96"/>
      <c r="AT24" s="96"/>
      <c r="AU24" s="53">
        <v>22.5</v>
      </c>
      <c r="AV24" s="58">
        <f t="shared" si="9"/>
        <v>11.4</v>
      </c>
      <c r="AW24" s="97">
        <v>7.3</v>
      </c>
      <c r="AX24" s="58">
        <v>1</v>
      </c>
      <c r="AY24" s="59">
        <f t="shared" si="10"/>
        <v>3.1000000000000005</v>
      </c>
      <c r="AZ24" s="86">
        <v>3</v>
      </c>
      <c r="BA24" s="86">
        <f t="shared" si="11"/>
        <v>10.000000000000053</v>
      </c>
      <c r="BB24" s="98"/>
    </row>
    <row r="25" spans="1:54" s="54" customFormat="1" ht="17.149999999999999" customHeight="1" x14ac:dyDescent="0.35">
      <c r="A25" s="86" t="s">
        <v>225</v>
      </c>
      <c r="B25" s="94">
        <v>17</v>
      </c>
      <c r="C25" s="58">
        <v>11.1</v>
      </c>
      <c r="D25" s="96"/>
      <c r="E25" s="96"/>
      <c r="F25" s="53">
        <v>22.47</v>
      </c>
      <c r="G25" s="58">
        <f t="shared" si="0"/>
        <v>11.37</v>
      </c>
      <c r="H25" s="97">
        <v>7.3</v>
      </c>
      <c r="I25" s="58">
        <v>1</v>
      </c>
      <c r="J25" s="59">
        <f t="shared" si="1"/>
        <v>3.0699999999999994</v>
      </c>
      <c r="K25" s="86">
        <v>3</v>
      </c>
      <c r="L25" s="86">
        <f t="shared" si="2"/>
        <v>6.9999999999999396</v>
      </c>
      <c r="M25" s="86"/>
      <c r="N25"/>
      <c r="O25" s="86" t="s">
        <v>225</v>
      </c>
      <c r="P25" s="94">
        <v>17</v>
      </c>
      <c r="Q25" s="58">
        <v>11.1</v>
      </c>
      <c r="R25" s="96"/>
      <c r="S25" s="96"/>
      <c r="T25" s="53">
        <v>22.47</v>
      </c>
      <c r="U25" s="58">
        <f t="shared" si="3"/>
        <v>11.37</v>
      </c>
      <c r="V25" s="97">
        <v>7.3</v>
      </c>
      <c r="W25" s="58">
        <v>1</v>
      </c>
      <c r="X25" s="59">
        <f t="shared" si="4"/>
        <v>3.0699999999999994</v>
      </c>
      <c r="Y25" s="86">
        <v>3</v>
      </c>
      <c r="Z25" s="86">
        <f t="shared" si="5"/>
        <v>6.9999999999999396</v>
      </c>
      <c r="AA25" s="86"/>
      <c r="AB25" s="86" t="s">
        <v>225</v>
      </c>
      <c r="AC25" s="94">
        <v>17</v>
      </c>
      <c r="AD25" s="58">
        <v>11.1</v>
      </c>
      <c r="AE25" s="96"/>
      <c r="AF25" s="96"/>
      <c r="AG25" s="53">
        <v>22.47</v>
      </c>
      <c r="AH25" s="58">
        <f t="shared" si="6"/>
        <v>11.37</v>
      </c>
      <c r="AI25" s="97">
        <v>7.3</v>
      </c>
      <c r="AJ25" s="58">
        <v>1</v>
      </c>
      <c r="AK25" s="59">
        <f t="shared" si="7"/>
        <v>3.0699999999999994</v>
      </c>
      <c r="AL25" s="86">
        <v>3</v>
      </c>
      <c r="AM25" s="86">
        <f t="shared" si="8"/>
        <v>6.9999999999999396</v>
      </c>
      <c r="AN25" s="86"/>
      <c r="AO25"/>
      <c r="AP25" s="86" t="s">
        <v>225</v>
      </c>
      <c r="AQ25" s="94">
        <v>17</v>
      </c>
      <c r="AR25" s="58">
        <v>11.1</v>
      </c>
      <c r="AS25" s="96"/>
      <c r="AT25" s="96"/>
      <c r="AU25" s="53">
        <v>22.47</v>
      </c>
      <c r="AV25" s="58">
        <f t="shared" si="9"/>
        <v>11.37</v>
      </c>
      <c r="AW25" s="97">
        <v>7.3</v>
      </c>
      <c r="AX25" s="58">
        <v>1</v>
      </c>
      <c r="AY25" s="59">
        <f t="shared" si="10"/>
        <v>3.0699999999999994</v>
      </c>
      <c r="AZ25" s="86">
        <v>3</v>
      </c>
      <c r="BA25" s="86">
        <f t="shared" si="11"/>
        <v>6.9999999999999396</v>
      </c>
      <c r="BB25" s="86"/>
    </row>
    <row r="26" spans="1:54" ht="17.149999999999999" customHeight="1" x14ac:dyDescent="0.35">
      <c r="A26" s="86" t="s">
        <v>4</v>
      </c>
      <c r="B26" s="94">
        <v>18</v>
      </c>
      <c r="C26" s="58">
        <v>11.1</v>
      </c>
      <c r="D26" s="96"/>
      <c r="E26" s="96"/>
      <c r="F26" s="53">
        <v>22.78</v>
      </c>
      <c r="G26" s="58">
        <f t="shared" si="0"/>
        <v>11.680000000000001</v>
      </c>
      <c r="H26" s="97">
        <v>7.3</v>
      </c>
      <c r="I26" s="58">
        <v>1</v>
      </c>
      <c r="J26" s="59">
        <f t="shared" si="1"/>
        <v>3.3800000000000017</v>
      </c>
      <c r="K26" s="86">
        <v>3</v>
      </c>
      <c r="L26" s="86">
        <f t="shared" si="2"/>
        <v>38.000000000000171</v>
      </c>
      <c r="M26" s="98"/>
      <c r="O26" s="86" t="s">
        <v>4</v>
      </c>
      <c r="P26" s="94">
        <v>18</v>
      </c>
      <c r="Q26" s="58">
        <v>11.1</v>
      </c>
      <c r="R26" s="96"/>
      <c r="S26" s="96"/>
      <c r="T26" s="53">
        <v>22.78</v>
      </c>
      <c r="U26" s="58">
        <f t="shared" si="3"/>
        <v>11.680000000000001</v>
      </c>
      <c r="V26" s="97">
        <v>7.3</v>
      </c>
      <c r="W26" s="58">
        <v>1</v>
      </c>
      <c r="X26" s="59">
        <f t="shared" si="4"/>
        <v>3.3800000000000017</v>
      </c>
      <c r="Y26" s="86">
        <v>3</v>
      </c>
      <c r="Z26" s="86">
        <f t="shared" si="5"/>
        <v>38.000000000000171</v>
      </c>
      <c r="AA26" s="98"/>
      <c r="AB26" s="86" t="s">
        <v>4</v>
      </c>
      <c r="AC26" s="94">
        <v>18</v>
      </c>
      <c r="AD26" s="58">
        <v>11.1</v>
      </c>
      <c r="AE26" s="96"/>
      <c r="AF26" s="96"/>
      <c r="AG26" s="53">
        <v>22.78</v>
      </c>
      <c r="AH26" s="58">
        <f t="shared" si="6"/>
        <v>11.680000000000001</v>
      </c>
      <c r="AI26" s="97">
        <v>7.3</v>
      </c>
      <c r="AJ26" s="58">
        <v>1</v>
      </c>
      <c r="AK26" s="59">
        <f t="shared" si="7"/>
        <v>3.3800000000000017</v>
      </c>
      <c r="AL26" s="86">
        <v>3</v>
      </c>
      <c r="AM26" s="86">
        <f t="shared" si="8"/>
        <v>38.000000000000171</v>
      </c>
      <c r="AN26" s="98"/>
      <c r="AP26" s="86" t="s">
        <v>4</v>
      </c>
      <c r="AQ26" s="94">
        <v>18</v>
      </c>
      <c r="AR26" s="58">
        <v>11.1</v>
      </c>
      <c r="AS26" s="96"/>
      <c r="AT26" s="96"/>
      <c r="AU26" s="53">
        <v>22.78</v>
      </c>
      <c r="AV26" s="58">
        <f t="shared" si="9"/>
        <v>11.680000000000001</v>
      </c>
      <c r="AW26" s="97">
        <v>7.3</v>
      </c>
      <c r="AX26" s="58">
        <v>1</v>
      </c>
      <c r="AY26" s="59">
        <f t="shared" si="10"/>
        <v>3.3800000000000017</v>
      </c>
      <c r="AZ26" s="86">
        <v>3</v>
      </c>
      <c r="BA26" s="86">
        <f t="shared" si="11"/>
        <v>38.000000000000171</v>
      </c>
      <c r="BB26" s="98"/>
    </row>
    <row r="27" spans="1:54" ht="17.149999999999999" customHeight="1" x14ac:dyDescent="0.35">
      <c r="A27" s="86" t="s">
        <v>5</v>
      </c>
      <c r="B27" s="86">
        <v>19</v>
      </c>
      <c r="C27" s="58">
        <v>11.1</v>
      </c>
      <c r="D27" s="96"/>
      <c r="E27" s="96"/>
      <c r="F27" s="53">
        <v>22.63</v>
      </c>
      <c r="G27" s="58">
        <f t="shared" si="0"/>
        <v>11.53</v>
      </c>
      <c r="H27" s="97">
        <v>7.3</v>
      </c>
      <c r="I27" s="58">
        <v>1</v>
      </c>
      <c r="J27" s="59">
        <f t="shared" si="1"/>
        <v>3.2299999999999995</v>
      </c>
      <c r="K27" s="86">
        <v>3</v>
      </c>
      <c r="L27" s="86">
        <f t="shared" si="2"/>
        <v>22.999999999999954</v>
      </c>
      <c r="M27" s="98"/>
      <c r="O27" s="86" t="s">
        <v>5</v>
      </c>
      <c r="P27" s="86">
        <v>19</v>
      </c>
      <c r="Q27" s="58">
        <v>11.1</v>
      </c>
      <c r="R27" s="96"/>
      <c r="S27" s="96"/>
      <c r="T27" s="53">
        <v>22.63</v>
      </c>
      <c r="U27" s="58">
        <f t="shared" si="3"/>
        <v>11.53</v>
      </c>
      <c r="V27" s="97">
        <v>7.3</v>
      </c>
      <c r="W27" s="58">
        <v>1</v>
      </c>
      <c r="X27" s="59">
        <f t="shared" si="4"/>
        <v>3.2299999999999995</v>
      </c>
      <c r="Y27" s="86">
        <v>3</v>
      </c>
      <c r="Z27" s="86">
        <f t="shared" si="5"/>
        <v>22.999999999999954</v>
      </c>
      <c r="AA27" s="98"/>
      <c r="AB27" s="86" t="s">
        <v>5</v>
      </c>
      <c r="AC27" s="86">
        <v>19</v>
      </c>
      <c r="AD27" s="58">
        <v>11.1</v>
      </c>
      <c r="AE27" s="96"/>
      <c r="AF27" s="96"/>
      <c r="AG27" s="53">
        <v>22.63</v>
      </c>
      <c r="AH27" s="58">
        <f t="shared" si="6"/>
        <v>11.53</v>
      </c>
      <c r="AI27" s="97">
        <v>7.3</v>
      </c>
      <c r="AJ27" s="58">
        <v>1</v>
      </c>
      <c r="AK27" s="59">
        <f t="shared" si="7"/>
        <v>3.2299999999999995</v>
      </c>
      <c r="AL27" s="86">
        <v>3</v>
      </c>
      <c r="AM27" s="86">
        <f t="shared" si="8"/>
        <v>22.999999999999954</v>
      </c>
      <c r="AN27" s="98"/>
      <c r="AP27" s="86" t="s">
        <v>5</v>
      </c>
      <c r="AQ27" s="86">
        <v>19</v>
      </c>
      <c r="AR27" s="58">
        <v>11.1</v>
      </c>
      <c r="AS27" s="96"/>
      <c r="AT27" s="96"/>
      <c r="AU27" s="53">
        <v>22.63</v>
      </c>
      <c r="AV27" s="58">
        <f t="shared" si="9"/>
        <v>11.53</v>
      </c>
      <c r="AW27" s="97">
        <v>7.3</v>
      </c>
      <c r="AX27" s="58">
        <v>1</v>
      </c>
      <c r="AY27" s="59">
        <f t="shared" si="10"/>
        <v>3.2299999999999995</v>
      </c>
      <c r="AZ27" s="86">
        <v>3</v>
      </c>
      <c r="BA27" s="86">
        <f t="shared" si="11"/>
        <v>22.999999999999954</v>
      </c>
      <c r="BB27" s="98"/>
    </row>
    <row r="28" spans="1:54" ht="17.149999999999999" customHeight="1" x14ac:dyDescent="0.35">
      <c r="A28" s="55" t="s">
        <v>6</v>
      </c>
      <c r="B28" s="55">
        <v>20</v>
      </c>
      <c r="C28" s="52"/>
      <c r="D28" s="52"/>
      <c r="E28" s="52"/>
      <c r="F28" s="52"/>
      <c r="G28" s="52">
        <f t="shared" si="0"/>
        <v>0</v>
      </c>
      <c r="H28" s="56"/>
      <c r="I28" s="52"/>
      <c r="J28" s="57">
        <f t="shared" si="1"/>
        <v>0</v>
      </c>
      <c r="K28" s="55">
        <v>0</v>
      </c>
      <c r="L28" s="55">
        <f t="shared" si="2"/>
        <v>0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>
        <v>0</v>
      </c>
      <c r="Z28" s="55">
        <f t="shared" si="5"/>
        <v>0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>
        <v>0</v>
      </c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9"/>
        <v>0</v>
      </c>
      <c r="AW28" s="56"/>
      <c r="AX28" s="52"/>
      <c r="AY28" s="57">
        <f t="shared" si="10"/>
        <v>0</v>
      </c>
      <c r="AZ28" s="55">
        <v>0</v>
      </c>
      <c r="BA28" s="55">
        <f t="shared" si="11"/>
        <v>0</v>
      </c>
      <c r="BB28" s="95"/>
    </row>
    <row r="29" spans="1:54" ht="17.149999999999999" customHeight="1" x14ac:dyDescent="0.35">
      <c r="A29" s="86" t="s">
        <v>1</v>
      </c>
      <c r="B29" s="86">
        <v>21</v>
      </c>
      <c r="C29" s="58">
        <v>11.1</v>
      </c>
      <c r="D29" s="96"/>
      <c r="E29" s="96"/>
      <c r="F29" s="53">
        <v>25.51</v>
      </c>
      <c r="G29" s="58">
        <f t="shared" si="0"/>
        <v>14.410000000000002</v>
      </c>
      <c r="H29" s="97">
        <v>7.3</v>
      </c>
      <c r="I29" s="58">
        <v>1</v>
      </c>
      <c r="J29" s="59">
        <f t="shared" si="1"/>
        <v>6.1100000000000021</v>
      </c>
      <c r="K29" s="86">
        <v>6</v>
      </c>
      <c r="L29" s="86">
        <f t="shared" si="2"/>
        <v>11.00000000000021</v>
      </c>
      <c r="M29" s="98"/>
      <c r="O29" s="86" t="s">
        <v>1</v>
      </c>
      <c r="P29" s="86">
        <v>21</v>
      </c>
      <c r="Q29" s="58">
        <v>11.1</v>
      </c>
      <c r="R29" s="96"/>
      <c r="S29" s="96"/>
      <c r="T29" s="53">
        <v>25.51</v>
      </c>
      <c r="U29" s="58">
        <f t="shared" si="3"/>
        <v>14.410000000000002</v>
      </c>
      <c r="V29" s="97">
        <v>7.3</v>
      </c>
      <c r="W29" s="58">
        <v>1</v>
      </c>
      <c r="X29" s="59">
        <f t="shared" si="4"/>
        <v>6.1100000000000021</v>
      </c>
      <c r="Y29" s="86">
        <v>6</v>
      </c>
      <c r="Z29" s="86">
        <f t="shared" si="5"/>
        <v>11.00000000000021</v>
      </c>
      <c r="AA29" s="98"/>
      <c r="AB29" s="86" t="s">
        <v>1</v>
      </c>
      <c r="AC29" s="86">
        <v>21</v>
      </c>
      <c r="AD29" s="58">
        <v>11.1</v>
      </c>
      <c r="AE29" s="96"/>
      <c r="AF29" s="96"/>
      <c r="AG29" s="53">
        <v>25.51</v>
      </c>
      <c r="AH29" s="58">
        <f t="shared" si="6"/>
        <v>14.410000000000002</v>
      </c>
      <c r="AI29" s="97">
        <v>7.3</v>
      </c>
      <c r="AJ29" s="58">
        <v>1</v>
      </c>
      <c r="AK29" s="59">
        <f t="shared" si="7"/>
        <v>6.1100000000000021</v>
      </c>
      <c r="AL29" s="86">
        <v>6</v>
      </c>
      <c r="AM29" s="86">
        <f t="shared" si="8"/>
        <v>11.00000000000021</v>
      </c>
      <c r="AN29" s="98"/>
      <c r="AP29" s="86" t="s">
        <v>1</v>
      </c>
      <c r="AQ29" s="86">
        <v>21</v>
      </c>
      <c r="AR29" s="58">
        <v>11.1</v>
      </c>
      <c r="AS29" s="96"/>
      <c r="AT29" s="96"/>
      <c r="AU29" s="53">
        <v>25.51</v>
      </c>
      <c r="AV29" s="58">
        <f t="shared" si="9"/>
        <v>14.410000000000002</v>
      </c>
      <c r="AW29" s="97">
        <v>7.3</v>
      </c>
      <c r="AX29" s="58">
        <v>1</v>
      </c>
      <c r="AY29" s="59">
        <f t="shared" si="10"/>
        <v>6.1100000000000021</v>
      </c>
      <c r="AZ29" s="86">
        <v>6</v>
      </c>
      <c r="BA29" s="86">
        <f t="shared" si="11"/>
        <v>11.00000000000021</v>
      </c>
      <c r="BB29" s="98"/>
    </row>
    <row r="30" spans="1:54" ht="17.149999999999999" customHeight="1" x14ac:dyDescent="0.35">
      <c r="A30" s="86" t="s">
        <v>216</v>
      </c>
      <c r="B30" s="86">
        <v>22</v>
      </c>
      <c r="C30" s="58">
        <v>11.1</v>
      </c>
      <c r="D30" s="96"/>
      <c r="E30" s="96"/>
      <c r="F30" s="53">
        <v>23.61</v>
      </c>
      <c r="G30" s="58">
        <f t="shared" si="0"/>
        <v>12.51</v>
      </c>
      <c r="H30" s="97">
        <v>7.3</v>
      </c>
      <c r="I30" s="58">
        <v>1</v>
      </c>
      <c r="J30" s="59">
        <f t="shared" si="1"/>
        <v>4.21</v>
      </c>
      <c r="K30" s="86">
        <v>4</v>
      </c>
      <c r="L30" s="86">
        <f t="shared" si="2"/>
        <v>20.999999999999996</v>
      </c>
      <c r="M30" s="98"/>
      <c r="O30" s="86" t="s">
        <v>216</v>
      </c>
      <c r="P30" s="86">
        <v>22</v>
      </c>
      <c r="Q30" s="58">
        <v>11.1</v>
      </c>
      <c r="R30" s="96"/>
      <c r="S30" s="96"/>
      <c r="T30" s="53">
        <v>23.61</v>
      </c>
      <c r="U30" s="58">
        <f t="shared" si="3"/>
        <v>12.51</v>
      </c>
      <c r="V30" s="97">
        <v>7.3</v>
      </c>
      <c r="W30" s="58">
        <v>1</v>
      </c>
      <c r="X30" s="59">
        <f t="shared" si="4"/>
        <v>4.21</v>
      </c>
      <c r="Y30" s="86">
        <v>4</v>
      </c>
      <c r="Z30" s="86">
        <f t="shared" si="5"/>
        <v>20.999999999999996</v>
      </c>
      <c r="AA30" s="98"/>
      <c r="AB30" s="86" t="s">
        <v>216</v>
      </c>
      <c r="AC30" s="86">
        <v>22</v>
      </c>
      <c r="AD30" s="58">
        <v>11.1</v>
      </c>
      <c r="AE30" s="96"/>
      <c r="AF30" s="96"/>
      <c r="AG30" s="53">
        <v>23.61</v>
      </c>
      <c r="AH30" s="58">
        <f t="shared" si="6"/>
        <v>12.51</v>
      </c>
      <c r="AI30" s="97">
        <v>7.3</v>
      </c>
      <c r="AJ30" s="58">
        <v>1</v>
      </c>
      <c r="AK30" s="59">
        <f t="shared" si="7"/>
        <v>4.21</v>
      </c>
      <c r="AL30" s="86">
        <v>4</v>
      </c>
      <c r="AM30" s="86">
        <f t="shared" si="8"/>
        <v>20.999999999999996</v>
      </c>
      <c r="AN30" s="98"/>
      <c r="AP30" s="86" t="s">
        <v>216</v>
      </c>
      <c r="AQ30" s="86">
        <v>22</v>
      </c>
      <c r="AR30" s="58">
        <v>11.1</v>
      </c>
      <c r="AS30" s="96"/>
      <c r="AT30" s="96"/>
      <c r="AU30" s="53">
        <v>23.61</v>
      </c>
      <c r="AV30" s="58">
        <f t="shared" si="9"/>
        <v>12.51</v>
      </c>
      <c r="AW30" s="97">
        <v>7.3</v>
      </c>
      <c r="AX30" s="58">
        <v>1</v>
      </c>
      <c r="AY30" s="59">
        <f t="shared" si="10"/>
        <v>4.21</v>
      </c>
      <c r="AZ30" s="86">
        <v>4</v>
      </c>
      <c r="BA30" s="86">
        <f t="shared" si="11"/>
        <v>20.999999999999996</v>
      </c>
      <c r="BB30" s="98"/>
    </row>
    <row r="31" spans="1:54" ht="17.149999999999999" customHeight="1" x14ac:dyDescent="0.35">
      <c r="A31" s="86" t="s">
        <v>2</v>
      </c>
      <c r="B31" s="86">
        <v>23</v>
      </c>
      <c r="C31" s="58">
        <v>11.1</v>
      </c>
      <c r="D31" s="96"/>
      <c r="E31" s="96"/>
      <c r="F31" s="53">
        <v>27.72</v>
      </c>
      <c r="G31" s="58">
        <f t="shared" si="0"/>
        <v>16.619999999999997</v>
      </c>
      <c r="H31" s="97">
        <v>7.3</v>
      </c>
      <c r="I31" s="58">
        <v>1</v>
      </c>
      <c r="J31" s="59">
        <f t="shared" si="1"/>
        <v>8.3199999999999967</v>
      </c>
      <c r="K31" s="86">
        <v>8</v>
      </c>
      <c r="L31" s="86">
        <f t="shared" si="2"/>
        <v>31.999999999999673</v>
      </c>
      <c r="M31" s="98"/>
      <c r="O31" s="86" t="s">
        <v>2</v>
      </c>
      <c r="P31" s="86">
        <v>23</v>
      </c>
      <c r="Q31" s="58">
        <v>11.1</v>
      </c>
      <c r="R31" s="96"/>
      <c r="S31" s="96"/>
      <c r="T31" s="53">
        <v>27.72</v>
      </c>
      <c r="U31" s="58">
        <f t="shared" si="3"/>
        <v>16.619999999999997</v>
      </c>
      <c r="V31" s="97">
        <v>7.3</v>
      </c>
      <c r="W31" s="58">
        <v>1</v>
      </c>
      <c r="X31" s="59">
        <f t="shared" si="4"/>
        <v>8.3199999999999967</v>
      </c>
      <c r="Y31" s="86">
        <v>8</v>
      </c>
      <c r="Z31" s="86">
        <f t="shared" si="5"/>
        <v>31.999999999999673</v>
      </c>
      <c r="AA31" s="98"/>
      <c r="AB31" s="86" t="s">
        <v>2</v>
      </c>
      <c r="AC31" s="86">
        <v>23</v>
      </c>
      <c r="AD31" s="58">
        <v>11.1</v>
      </c>
      <c r="AE31" s="96"/>
      <c r="AF31" s="96"/>
      <c r="AG31" s="53">
        <v>27.72</v>
      </c>
      <c r="AH31" s="58">
        <f t="shared" si="6"/>
        <v>16.619999999999997</v>
      </c>
      <c r="AI31" s="97">
        <v>7.3</v>
      </c>
      <c r="AJ31" s="58">
        <v>1</v>
      </c>
      <c r="AK31" s="59">
        <f t="shared" si="7"/>
        <v>8.3199999999999967</v>
      </c>
      <c r="AL31" s="86">
        <v>8</v>
      </c>
      <c r="AM31" s="86">
        <f t="shared" si="8"/>
        <v>31.999999999999673</v>
      </c>
      <c r="AN31" s="98"/>
      <c r="AP31" s="86" t="s">
        <v>2</v>
      </c>
      <c r="AQ31" s="86">
        <v>23</v>
      </c>
      <c r="AR31" s="58">
        <v>11.1</v>
      </c>
      <c r="AS31" s="96"/>
      <c r="AT31" s="96"/>
      <c r="AU31" s="53">
        <v>27.72</v>
      </c>
      <c r="AV31" s="58">
        <f t="shared" si="9"/>
        <v>16.619999999999997</v>
      </c>
      <c r="AW31" s="97">
        <v>7.3</v>
      </c>
      <c r="AX31" s="58">
        <v>1</v>
      </c>
      <c r="AY31" s="59">
        <f t="shared" si="10"/>
        <v>8.3199999999999967</v>
      </c>
      <c r="AZ31" s="86">
        <v>8</v>
      </c>
      <c r="BA31" s="86">
        <f t="shared" si="11"/>
        <v>31.999999999999673</v>
      </c>
      <c r="BB31" s="98"/>
    </row>
    <row r="32" spans="1:54" s="54" customFormat="1" ht="17.149999999999999" customHeight="1" x14ac:dyDescent="0.35">
      <c r="A32" s="86" t="s">
        <v>225</v>
      </c>
      <c r="B32" s="86">
        <v>24</v>
      </c>
      <c r="C32" s="58">
        <v>11.1</v>
      </c>
      <c r="D32" s="96"/>
      <c r="E32" s="96"/>
      <c r="F32" s="53">
        <v>24.4</v>
      </c>
      <c r="G32" s="58">
        <f t="shared" si="0"/>
        <v>13.299999999999999</v>
      </c>
      <c r="H32" s="97">
        <v>7.3</v>
      </c>
      <c r="I32" s="58">
        <v>1.4</v>
      </c>
      <c r="J32" s="59">
        <f t="shared" si="1"/>
        <v>4.5999999999999996</v>
      </c>
      <c r="K32" s="86">
        <v>4</v>
      </c>
      <c r="L32" s="86">
        <f t="shared" si="2"/>
        <v>59.999999999999964</v>
      </c>
      <c r="M32" s="98"/>
      <c r="N32"/>
      <c r="O32" s="86" t="s">
        <v>225</v>
      </c>
      <c r="P32" s="86">
        <v>24</v>
      </c>
      <c r="Q32" s="58">
        <v>11.1</v>
      </c>
      <c r="R32" s="96"/>
      <c r="S32" s="96"/>
      <c r="T32" s="53">
        <v>24.4</v>
      </c>
      <c r="U32" s="58">
        <f t="shared" si="3"/>
        <v>13.299999999999999</v>
      </c>
      <c r="V32" s="97">
        <v>7.3</v>
      </c>
      <c r="W32" s="58">
        <v>1.4</v>
      </c>
      <c r="X32" s="59">
        <f t="shared" si="4"/>
        <v>4.5999999999999996</v>
      </c>
      <c r="Y32" s="86">
        <v>4</v>
      </c>
      <c r="Z32" s="86">
        <f t="shared" si="5"/>
        <v>59.999999999999964</v>
      </c>
      <c r="AA32" s="98"/>
      <c r="AB32" s="86" t="s">
        <v>225</v>
      </c>
      <c r="AC32" s="86">
        <v>24</v>
      </c>
      <c r="AD32" s="58">
        <v>11.1</v>
      </c>
      <c r="AE32" s="96"/>
      <c r="AF32" s="96"/>
      <c r="AG32" s="53">
        <v>24.4</v>
      </c>
      <c r="AH32" s="58">
        <f t="shared" si="6"/>
        <v>13.299999999999999</v>
      </c>
      <c r="AI32" s="97">
        <v>7.3</v>
      </c>
      <c r="AJ32" s="58">
        <v>1.4</v>
      </c>
      <c r="AK32" s="59">
        <f t="shared" si="7"/>
        <v>4.5999999999999996</v>
      </c>
      <c r="AL32" s="86">
        <v>4</v>
      </c>
      <c r="AM32" s="86">
        <f t="shared" si="8"/>
        <v>59.999999999999964</v>
      </c>
      <c r="AN32" s="98"/>
      <c r="AO32"/>
      <c r="AP32" s="86" t="s">
        <v>225</v>
      </c>
      <c r="AQ32" s="86">
        <v>24</v>
      </c>
      <c r="AR32" s="58">
        <v>11.1</v>
      </c>
      <c r="AS32" s="96"/>
      <c r="AT32" s="96"/>
      <c r="AU32" s="53">
        <v>24.4</v>
      </c>
      <c r="AV32" s="58">
        <f t="shared" si="9"/>
        <v>13.299999999999999</v>
      </c>
      <c r="AW32" s="97">
        <v>7.3</v>
      </c>
      <c r="AX32" s="58">
        <v>1.4</v>
      </c>
      <c r="AY32" s="59">
        <f t="shared" si="10"/>
        <v>4.5999999999999996</v>
      </c>
      <c r="AZ32" s="86">
        <v>4</v>
      </c>
      <c r="BA32" s="86">
        <f t="shared" si="11"/>
        <v>59.999999999999964</v>
      </c>
      <c r="BB32" s="98"/>
    </row>
    <row r="33" spans="1:54" ht="17.149999999999999" customHeight="1" x14ac:dyDescent="0.35">
      <c r="A33" s="86" t="s">
        <v>4</v>
      </c>
      <c r="B33" s="86">
        <v>25</v>
      </c>
      <c r="C33" s="58">
        <v>11.1</v>
      </c>
      <c r="D33" s="96"/>
      <c r="E33" s="96"/>
      <c r="F33" s="53">
        <v>25.53</v>
      </c>
      <c r="G33" s="58">
        <f t="shared" si="0"/>
        <v>14.430000000000001</v>
      </c>
      <c r="H33" s="97">
        <v>7.3</v>
      </c>
      <c r="I33" s="58">
        <v>1</v>
      </c>
      <c r="J33" s="59">
        <f t="shared" si="1"/>
        <v>6.1300000000000017</v>
      </c>
      <c r="K33" s="86">
        <v>6</v>
      </c>
      <c r="L33" s="86">
        <f t="shared" si="2"/>
        <v>13.000000000000167</v>
      </c>
      <c r="M33" s="98"/>
      <c r="O33" s="86" t="s">
        <v>4</v>
      </c>
      <c r="P33" s="86">
        <v>25</v>
      </c>
      <c r="Q33" s="58">
        <v>11.1</v>
      </c>
      <c r="R33" s="96"/>
      <c r="S33" s="96"/>
      <c r="T33" s="53">
        <v>25.53</v>
      </c>
      <c r="U33" s="58">
        <f t="shared" si="3"/>
        <v>14.430000000000001</v>
      </c>
      <c r="V33" s="97">
        <v>7.3</v>
      </c>
      <c r="W33" s="58">
        <v>1</v>
      </c>
      <c r="X33" s="59">
        <f t="shared" si="4"/>
        <v>6.1300000000000017</v>
      </c>
      <c r="Y33" s="86">
        <v>6</v>
      </c>
      <c r="Z33" s="86">
        <f t="shared" si="5"/>
        <v>13.000000000000167</v>
      </c>
      <c r="AA33" s="98"/>
      <c r="AB33" s="86" t="s">
        <v>4</v>
      </c>
      <c r="AC33" s="86">
        <v>25</v>
      </c>
      <c r="AD33" s="58">
        <v>11.1</v>
      </c>
      <c r="AE33" s="96"/>
      <c r="AF33" s="96"/>
      <c r="AG33" s="53">
        <v>25.53</v>
      </c>
      <c r="AH33" s="58">
        <f t="shared" si="6"/>
        <v>14.430000000000001</v>
      </c>
      <c r="AI33" s="97">
        <v>7.3</v>
      </c>
      <c r="AJ33" s="58">
        <v>1</v>
      </c>
      <c r="AK33" s="59">
        <f t="shared" si="7"/>
        <v>6.1300000000000017</v>
      </c>
      <c r="AL33" s="86">
        <v>6</v>
      </c>
      <c r="AM33" s="86">
        <f t="shared" si="8"/>
        <v>13.000000000000167</v>
      </c>
      <c r="AN33" s="98"/>
      <c r="AP33" s="86" t="s">
        <v>4</v>
      </c>
      <c r="AQ33" s="86">
        <v>25</v>
      </c>
      <c r="AR33" s="58">
        <v>11.1</v>
      </c>
      <c r="AS33" s="96"/>
      <c r="AT33" s="96"/>
      <c r="AU33" s="53">
        <v>25.53</v>
      </c>
      <c r="AV33" s="58">
        <f t="shared" si="9"/>
        <v>14.430000000000001</v>
      </c>
      <c r="AW33" s="97">
        <v>7.3</v>
      </c>
      <c r="AX33" s="58">
        <v>1</v>
      </c>
      <c r="AY33" s="59">
        <f t="shared" si="10"/>
        <v>6.1300000000000017</v>
      </c>
      <c r="AZ33" s="86">
        <v>6</v>
      </c>
      <c r="BA33" s="86">
        <f t="shared" si="11"/>
        <v>13.000000000000167</v>
      </c>
      <c r="BB33" s="98"/>
    </row>
    <row r="34" spans="1:54" ht="17.149999999999999" customHeight="1" x14ac:dyDescent="0.35">
      <c r="A34" s="86" t="s">
        <v>5</v>
      </c>
      <c r="B34" s="86">
        <v>26</v>
      </c>
      <c r="C34" s="58">
        <v>11.1</v>
      </c>
      <c r="D34" s="96"/>
      <c r="E34" s="96"/>
      <c r="F34" s="53">
        <v>22.85</v>
      </c>
      <c r="G34" s="58">
        <f t="shared" si="0"/>
        <v>11.750000000000002</v>
      </c>
      <c r="H34" s="97">
        <v>7.3</v>
      </c>
      <c r="I34" s="58">
        <v>1</v>
      </c>
      <c r="J34" s="59">
        <f t="shared" si="1"/>
        <v>3.450000000000002</v>
      </c>
      <c r="K34" s="86">
        <v>3</v>
      </c>
      <c r="L34" s="86">
        <f t="shared" si="2"/>
        <v>45.000000000000199</v>
      </c>
      <c r="M34" s="98"/>
      <c r="O34" s="86" t="s">
        <v>5</v>
      </c>
      <c r="P34" s="86">
        <v>26</v>
      </c>
      <c r="Q34" s="58">
        <v>11.1</v>
      </c>
      <c r="R34" s="96"/>
      <c r="S34" s="96"/>
      <c r="T34" s="53">
        <v>22.85</v>
      </c>
      <c r="U34" s="58">
        <f t="shared" si="3"/>
        <v>11.750000000000002</v>
      </c>
      <c r="V34" s="97">
        <v>7.3</v>
      </c>
      <c r="W34" s="58">
        <v>1</v>
      </c>
      <c r="X34" s="59">
        <f t="shared" si="4"/>
        <v>3.450000000000002</v>
      </c>
      <c r="Y34" s="86">
        <v>3</v>
      </c>
      <c r="Z34" s="86">
        <f t="shared" si="5"/>
        <v>45.000000000000199</v>
      </c>
      <c r="AA34" s="98"/>
      <c r="AB34" s="86" t="s">
        <v>5</v>
      </c>
      <c r="AC34" s="86">
        <v>26</v>
      </c>
      <c r="AD34" s="58">
        <v>11.1</v>
      </c>
      <c r="AE34" s="96"/>
      <c r="AF34" s="96"/>
      <c r="AG34" s="53">
        <v>22.85</v>
      </c>
      <c r="AH34" s="58">
        <f t="shared" si="6"/>
        <v>11.750000000000002</v>
      </c>
      <c r="AI34" s="97">
        <v>7.3</v>
      </c>
      <c r="AJ34" s="58">
        <v>1</v>
      </c>
      <c r="AK34" s="59">
        <f t="shared" si="7"/>
        <v>3.450000000000002</v>
      </c>
      <c r="AL34" s="86">
        <v>3</v>
      </c>
      <c r="AM34" s="86">
        <f t="shared" si="8"/>
        <v>45.000000000000199</v>
      </c>
      <c r="AN34" s="98"/>
      <c r="AP34" s="86" t="s">
        <v>5</v>
      </c>
      <c r="AQ34" s="86">
        <v>26</v>
      </c>
      <c r="AR34" s="58">
        <v>11.1</v>
      </c>
      <c r="AS34" s="96"/>
      <c r="AT34" s="96"/>
      <c r="AU34" s="53">
        <v>22.85</v>
      </c>
      <c r="AV34" s="58">
        <f t="shared" si="9"/>
        <v>11.750000000000002</v>
      </c>
      <c r="AW34" s="97">
        <v>7.3</v>
      </c>
      <c r="AX34" s="58">
        <v>1</v>
      </c>
      <c r="AY34" s="59">
        <f t="shared" si="10"/>
        <v>3.450000000000002</v>
      </c>
      <c r="AZ34" s="86">
        <v>3</v>
      </c>
      <c r="BA34" s="86">
        <f t="shared" si="11"/>
        <v>45.000000000000199</v>
      </c>
      <c r="BB34" s="98"/>
    </row>
    <row r="35" spans="1:54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>
        <v>0</v>
      </c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>
        <v>0</v>
      </c>
      <c r="Z35" s="55">
        <f t="shared" si="5"/>
        <v>0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>
        <v>0</v>
      </c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>
        <v>0</v>
      </c>
      <c r="BA35" s="55">
        <f t="shared" si="11"/>
        <v>0</v>
      </c>
      <c r="BB35" s="95"/>
    </row>
    <row r="36" spans="1:54" ht="17.149999999999999" customHeight="1" x14ac:dyDescent="0.35">
      <c r="A36" s="86" t="s">
        <v>1</v>
      </c>
      <c r="B36" s="86">
        <v>28</v>
      </c>
      <c r="C36" s="58">
        <v>11.1</v>
      </c>
      <c r="D36" s="96"/>
      <c r="E36" s="96"/>
      <c r="F36" s="53">
        <v>22.41</v>
      </c>
      <c r="G36" s="58">
        <f t="shared" si="0"/>
        <v>11.31</v>
      </c>
      <c r="H36" s="97">
        <v>7.3</v>
      </c>
      <c r="I36" s="58">
        <v>1</v>
      </c>
      <c r="J36" s="59">
        <f t="shared" si="1"/>
        <v>3.0100000000000007</v>
      </c>
      <c r="K36" s="86">
        <v>3</v>
      </c>
      <c r="L36" s="86">
        <f t="shared" si="2"/>
        <v>1.0000000000000675</v>
      </c>
      <c r="M36" s="98"/>
      <c r="O36" s="86" t="s">
        <v>1</v>
      </c>
      <c r="P36" s="86">
        <v>28</v>
      </c>
      <c r="Q36" s="58">
        <v>11.1</v>
      </c>
      <c r="R36" s="96"/>
      <c r="S36" s="96"/>
      <c r="T36" s="53">
        <v>22.41</v>
      </c>
      <c r="U36" s="58">
        <f t="shared" si="3"/>
        <v>11.31</v>
      </c>
      <c r="V36" s="97">
        <v>7.3</v>
      </c>
      <c r="W36" s="58">
        <v>1</v>
      </c>
      <c r="X36" s="59">
        <f t="shared" si="4"/>
        <v>3.0100000000000007</v>
      </c>
      <c r="Y36" s="86">
        <v>3</v>
      </c>
      <c r="Z36" s="86">
        <f t="shared" si="5"/>
        <v>1.0000000000000675</v>
      </c>
      <c r="AA36" s="98"/>
      <c r="AB36" s="86" t="s">
        <v>1</v>
      </c>
      <c r="AC36" s="86">
        <v>28</v>
      </c>
      <c r="AD36" s="58">
        <v>11.1</v>
      </c>
      <c r="AE36" s="96"/>
      <c r="AF36" s="96"/>
      <c r="AG36" s="53">
        <v>22.41</v>
      </c>
      <c r="AH36" s="58">
        <f t="shared" si="6"/>
        <v>11.31</v>
      </c>
      <c r="AI36" s="97">
        <v>7.3</v>
      </c>
      <c r="AJ36" s="58">
        <v>1</v>
      </c>
      <c r="AK36" s="59">
        <f t="shared" si="7"/>
        <v>3.0100000000000007</v>
      </c>
      <c r="AL36" s="86">
        <v>3</v>
      </c>
      <c r="AM36" s="86">
        <f t="shared" si="8"/>
        <v>1.0000000000000675</v>
      </c>
      <c r="AN36" s="98"/>
      <c r="AP36" s="86" t="s">
        <v>1</v>
      </c>
      <c r="AQ36" s="86">
        <v>28</v>
      </c>
      <c r="AR36" s="58">
        <v>11.1</v>
      </c>
      <c r="AS36" s="96"/>
      <c r="AT36" s="96"/>
      <c r="AU36" s="53">
        <v>22.41</v>
      </c>
      <c r="AV36" s="58">
        <f t="shared" si="9"/>
        <v>11.31</v>
      </c>
      <c r="AW36" s="97">
        <v>7.3</v>
      </c>
      <c r="AX36" s="58">
        <v>1</v>
      </c>
      <c r="AY36" s="59">
        <f t="shared" si="10"/>
        <v>3.0100000000000007</v>
      </c>
      <c r="AZ36" s="86">
        <v>3</v>
      </c>
      <c r="BA36" s="86">
        <f t="shared" si="11"/>
        <v>1.0000000000000675</v>
      </c>
      <c r="BB36" s="98"/>
    </row>
    <row r="37" spans="1:54" ht="17.149999999999999" customHeight="1" x14ac:dyDescent="0.35">
      <c r="A37" s="86" t="s">
        <v>216</v>
      </c>
      <c r="B37" s="86">
        <v>29</v>
      </c>
      <c r="C37" s="58">
        <v>11.1</v>
      </c>
      <c r="D37" s="96"/>
      <c r="E37" s="96"/>
      <c r="F37" s="53">
        <v>22.8</v>
      </c>
      <c r="G37" s="58">
        <f t="shared" si="0"/>
        <v>11.700000000000001</v>
      </c>
      <c r="H37" s="97">
        <v>7.3</v>
      </c>
      <c r="I37" s="58">
        <v>1</v>
      </c>
      <c r="J37" s="59">
        <f t="shared" si="1"/>
        <v>3.4000000000000012</v>
      </c>
      <c r="K37" s="86">
        <v>3</v>
      </c>
      <c r="L37" s="86">
        <f t="shared" si="2"/>
        <v>40.000000000000128</v>
      </c>
      <c r="M37" s="98"/>
      <c r="O37" s="86" t="s">
        <v>216</v>
      </c>
      <c r="P37" s="86">
        <v>29</v>
      </c>
      <c r="Q37" s="58">
        <v>11.1</v>
      </c>
      <c r="R37" s="96"/>
      <c r="S37" s="96"/>
      <c r="T37" s="53">
        <v>22.8</v>
      </c>
      <c r="U37" s="58">
        <f t="shared" si="3"/>
        <v>11.700000000000001</v>
      </c>
      <c r="V37" s="97">
        <v>7.3</v>
      </c>
      <c r="W37" s="58">
        <v>1</v>
      </c>
      <c r="X37" s="59">
        <f t="shared" si="4"/>
        <v>3.4000000000000012</v>
      </c>
      <c r="Y37" s="86">
        <v>3</v>
      </c>
      <c r="Z37" s="86">
        <f t="shared" si="5"/>
        <v>40.000000000000128</v>
      </c>
      <c r="AA37" s="98"/>
      <c r="AB37" s="86" t="s">
        <v>216</v>
      </c>
      <c r="AC37" s="86">
        <v>29</v>
      </c>
      <c r="AD37" s="58">
        <v>11.1</v>
      </c>
      <c r="AE37" s="96"/>
      <c r="AF37" s="96"/>
      <c r="AG37" s="53">
        <v>22.8</v>
      </c>
      <c r="AH37" s="58">
        <f t="shared" si="6"/>
        <v>11.700000000000001</v>
      </c>
      <c r="AI37" s="97">
        <v>7.3</v>
      </c>
      <c r="AJ37" s="58">
        <v>1</v>
      </c>
      <c r="AK37" s="59">
        <f t="shared" si="7"/>
        <v>3.4000000000000012</v>
      </c>
      <c r="AL37" s="86">
        <v>3</v>
      </c>
      <c r="AM37" s="86">
        <f t="shared" si="8"/>
        <v>40.000000000000128</v>
      </c>
      <c r="AN37" s="98"/>
      <c r="AP37" s="86" t="s">
        <v>216</v>
      </c>
      <c r="AQ37" s="86">
        <v>29</v>
      </c>
      <c r="AR37" s="58">
        <v>11.1</v>
      </c>
      <c r="AS37" s="96"/>
      <c r="AT37" s="96"/>
      <c r="AU37" s="53">
        <v>22.8</v>
      </c>
      <c r="AV37" s="58">
        <f t="shared" si="9"/>
        <v>11.700000000000001</v>
      </c>
      <c r="AW37" s="97">
        <v>7.3</v>
      </c>
      <c r="AX37" s="58">
        <v>1</v>
      </c>
      <c r="AY37" s="59">
        <f t="shared" si="10"/>
        <v>3.4000000000000012</v>
      </c>
      <c r="AZ37" s="86">
        <v>3</v>
      </c>
      <c r="BA37" s="86">
        <f t="shared" si="11"/>
        <v>40.000000000000128</v>
      </c>
      <c r="BB37" s="98"/>
    </row>
    <row r="38" spans="1:54" ht="17.149999999999999" customHeight="1" x14ac:dyDescent="0.35">
      <c r="A38" s="86" t="s">
        <v>2</v>
      </c>
      <c r="B38" s="86">
        <v>30</v>
      </c>
      <c r="C38" s="58">
        <v>11.1</v>
      </c>
      <c r="D38" s="96"/>
      <c r="E38" s="96"/>
      <c r="F38" s="53">
        <v>22.48</v>
      </c>
      <c r="G38" s="58">
        <f t="shared" si="0"/>
        <v>11.38</v>
      </c>
      <c r="H38" s="97">
        <v>7.3</v>
      </c>
      <c r="I38" s="58">
        <v>1</v>
      </c>
      <c r="J38" s="59">
        <f t="shared" si="1"/>
        <v>3.080000000000001</v>
      </c>
      <c r="K38" s="86">
        <v>3</v>
      </c>
      <c r="L38" s="86">
        <f t="shared" si="2"/>
        <v>8.0000000000000959</v>
      </c>
      <c r="M38" s="98"/>
      <c r="O38" s="86" t="s">
        <v>2</v>
      </c>
      <c r="P38" s="86">
        <v>30</v>
      </c>
      <c r="Q38" s="58">
        <v>11.1</v>
      </c>
      <c r="R38" s="96"/>
      <c r="S38" s="96"/>
      <c r="T38" s="53">
        <v>22.48</v>
      </c>
      <c r="U38" s="58">
        <f t="shared" si="3"/>
        <v>11.38</v>
      </c>
      <c r="V38" s="97">
        <v>7.3</v>
      </c>
      <c r="W38" s="58">
        <v>1</v>
      </c>
      <c r="X38" s="59">
        <f t="shared" si="4"/>
        <v>3.080000000000001</v>
      </c>
      <c r="Y38" s="86">
        <v>3</v>
      </c>
      <c r="Z38" s="86">
        <f t="shared" si="5"/>
        <v>8.0000000000000959</v>
      </c>
      <c r="AA38" s="98"/>
      <c r="AB38" s="86" t="s">
        <v>2</v>
      </c>
      <c r="AC38" s="86">
        <v>30</v>
      </c>
      <c r="AD38" s="58">
        <v>11.1</v>
      </c>
      <c r="AE38" s="96"/>
      <c r="AF38" s="96"/>
      <c r="AG38" s="53">
        <v>22.48</v>
      </c>
      <c r="AH38" s="58">
        <f t="shared" si="6"/>
        <v>11.38</v>
      </c>
      <c r="AI38" s="97">
        <v>7.3</v>
      </c>
      <c r="AJ38" s="58">
        <v>1</v>
      </c>
      <c r="AK38" s="59">
        <f t="shared" si="7"/>
        <v>3.080000000000001</v>
      </c>
      <c r="AL38" s="86">
        <v>3</v>
      </c>
      <c r="AM38" s="86">
        <f t="shared" si="8"/>
        <v>8.0000000000000959</v>
      </c>
      <c r="AN38" s="98"/>
      <c r="AP38" s="86" t="s">
        <v>2</v>
      </c>
      <c r="AQ38" s="86">
        <v>30</v>
      </c>
      <c r="AR38" s="58">
        <v>11.1</v>
      </c>
      <c r="AS38" s="96"/>
      <c r="AT38" s="96"/>
      <c r="AU38" s="53">
        <v>22.48</v>
      </c>
      <c r="AV38" s="58">
        <f t="shared" si="9"/>
        <v>11.38</v>
      </c>
      <c r="AW38" s="97">
        <v>7.3</v>
      </c>
      <c r="AX38" s="58">
        <v>1</v>
      </c>
      <c r="AY38" s="59">
        <f t="shared" si="10"/>
        <v>3.080000000000001</v>
      </c>
      <c r="AZ38" s="86">
        <v>3</v>
      </c>
      <c r="BA38" s="86">
        <f t="shared" si="11"/>
        <v>8.0000000000000959</v>
      </c>
      <c r="BB38" s="98"/>
    </row>
    <row r="39" spans="1:54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</row>
    <row r="40" spans="1:54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12">SUM(D40-C40)+(F40-E40)</f>
        <v>-4.3499999999999996</v>
      </c>
      <c r="H40" s="63"/>
      <c r="I40" s="53"/>
      <c r="J40" s="59"/>
      <c r="K40" s="62"/>
      <c r="L40" s="60">
        <f t="shared" ref="L40" si="13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14">SUM(R40-Q40)+(T40-S40)</f>
        <v>-4.3499999999999996</v>
      </c>
      <c r="V40" s="63"/>
      <c r="W40" s="53"/>
      <c r="X40" s="59"/>
      <c r="Y40" s="62"/>
      <c r="Z40" s="60">
        <f t="shared" ref="Z40" si="15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16">SUM(AE40-AD40)+(AG40-AF40)</f>
        <v>-4.3499999999999996</v>
      </c>
      <c r="AI40" s="63"/>
      <c r="AJ40" s="53"/>
      <c r="AK40" s="59"/>
      <c r="AL40" s="62"/>
      <c r="AM40" s="60">
        <f t="shared" ref="AM40" si="17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18">SUM(AS40-AR40)+(AU40-AT40)</f>
        <v>-4.3499999999999996</v>
      </c>
      <c r="AW40" s="63"/>
      <c r="AX40" s="53"/>
      <c r="AY40" s="59"/>
      <c r="AZ40" s="62"/>
      <c r="BA40" s="60">
        <f t="shared" ref="BA40" si="19">SUM(AY40-AZ40)*100</f>
        <v>0</v>
      </c>
      <c r="BB40" s="61"/>
    </row>
    <row r="41" spans="1:54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</row>
    <row r="42" spans="1:54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</row>
    <row r="43" spans="1:54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</row>
    <row r="44" spans="1:54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</row>
    <row r="45" spans="1:54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</row>
    <row r="46" spans="1:54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</row>
    <row r="47" spans="1:54" s="4" customFormat="1" ht="18.75" customHeight="1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102.46666666666668</v>
      </c>
      <c r="F47" s="157"/>
      <c r="G47" s="150">
        <f>SUM(F51)</f>
        <v>0</v>
      </c>
      <c r="H47" s="151"/>
      <c r="I47" s="85"/>
      <c r="J47" s="152">
        <f>COUNT(E9)</f>
        <v>1</v>
      </c>
      <c r="K47" s="153"/>
      <c r="L47" s="152">
        <f>J51</f>
        <v>8.0500000000000025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102.46666666666668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10.666666666666664</v>
      </c>
      <c r="AA47" s="153"/>
      <c r="AB47" s="162"/>
      <c r="AC47" s="163"/>
      <c r="AD47" s="154">
        <f>COUNT(AI10:AI13,AI15:AI20,AI22:AI27,AI29:AI34,AI36:AI38)</f>
        <v>25</v>
      </c>
      <c r="AE47" s="155"/>
      <c r="AF47" s="156">
        <f>SUM(AB51-AF51)</f>
        <v>102.46666666666668</v>
      </c>
      <c r="AG47" s="157"/>
      <c r="AH47" s="150">
        <f>SUM(AG51)</f>
        <v>0</v>
      </c>
      <c r="AI47" s="151"/>
      <c r="AJ47" s="85"/>
      <c r="AK47" s="152">
        <f>COUNT(AF9)</f>
        <v>1</v>
      </c>
      <c r="AL47" s="153"/>
      <c r="AM47" s="152">
        <f>AK51</f>
        <v>8.0500000000000025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102.46666666666668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8.0500000000000025</v>
      </c>
      <c r="BB47" s="153"/>
    </row>
    <row r="48" spans="1:54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</row>
    <row r="49" spans="1:54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</row>
    <row r="50" spans="1:54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</row>
    <row r="51" spans="1:54" s="2" customFormat="1" ht="29" thickBot="1" x14ac:dyDescent="0.4">
      <c r="A51" s="144">
        <f>SUM(C51+D51/60)</f>
        <v>106.21666666666668</v>
      </c>
      <c r="B51" s="145"/>
      <c r="C51" s="30">
        <f>SUM(K10:K13,K15:K20,K22:K27,K29:K34,K36:K38)</f>
        <v>96</v>
      </c>
      <c r="D51" s="30">
        <f>SUM(L10:L13,L15:L20,L22:L27,L29:L34,L36:L38)</f>
        <v>613.00000000000102</v>
      </c>
      <c r="E51" s="104">
        <f>C47*0.15</f>
        <v>3.75</v>
      </c>
      <c r="F51" s="31">
        <f>SUM(G51+H51/60)</f>
        <v>0</v>
      </c>
      <c r="G51" s="32">
        <f>SUM(K14,K21,K28,K35)</f>
        <v>0</v>
      </c>
      <c r="H51" s="32">
        <f>SUM(L14,L21,L28,L35)</f>
        <v>0</v>
      </c>
      <c r="I51" s="143"/>
      <c r="J51" s="48">
        <f>(K51+L51/60)</f>
        <v>8.0500000000000025</v>
      </c>
      <c r="K51" s="49">
        <f>SUM(K9)</f>
        <v>8</v>
      </c>
      <c r="L51" s="68">
        <f>SUM(L9)</f>
        <v>3.0000000000001137</v>
      </c>
      <c r="M51" s="67"/>
      <c r="O51" s="144">
        <f>SUM(Q51+R51/60)</f>
        <v>106.21666666666668</v>
      </c>
      <c r="P51" s="145"/>
      <c r="Q51" s="30">
        <f>SUM(Y10:Y13,Y15:Y20,Y22:Y27,Y29:Y34,Y36:Y38)</f>
        <v>96</v>
      </c>
      <c r="R51" s="30">
        <f>SUM(Z10:Z13,Z15:Z20,Z22:Z27,Z29:Z34,Z36:Z38)</f>
        <v>613.00000000000102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10.666666666666664</v>
      </c>
      <c r="Y51" s="49">
        <f>SUM(Y9)</f>
        <v>10</v>
      </c>
      <c r="Z51" s="68">
        <f>SUM(Z9)</f>
        <v>39.999999999999858</v>
      </c>
      <c r="AA51" s="67"/>
      <c r="AB51" s="144">
        <f>SUM(AD51+AE51/60)</f>
        <v>106.21666666666668</v>
      </c>
      <c r="AC51" s="145"/>
      <c r="AD51" s="30">
        <f>SUM(AL10:AL13,AL15:AL20,AL22:AL27,AL29:AL34,AL36:AL38)</f>
        <v>96</v>
      </c>
      <c r="AE51" s="30">
        <f>SUM(AM10:AM13,AM15:AM20,AM22:AM27,AM29:AM34,AM36:AM38)</f>
        <v>613.00000000000102</v>
      </c>
      <c r="AF51" s="104">
        <f>AD47*0.15</f>
        <v>3.75</v>
      </c>
      <c r="AG51" s="31">
        <f>SUM(AH51+AI51/60)</f>
        <v>0</v>
      </c>
      <c r="AH51" s="32">
        <f>SUM(AL14,AL21,AL28,AL35)</f>
        <v>0</v>
      </c>
      <c r="AI51" s="32">
        <f>SUM(AM14,AM21,AM28,AM35)</f>
        <v>0</v>
      </c>
      <c r="AJ51" s="143"/>
      <c r="AK51" s="48">
        <f>(AL51+AM51/60)</f>
        <v>8.0500000000000025</v>
      </c>
      <c r="AL51" s="49">
        <f>SUM(AL9)</f>
        <v>8</v>
      </c>
      <c r="AM51" s="68">
        <f>SUM(AM9)</f>
        <v>3.0000000000001137</v>
      </c>
      <c r="AN51" s="67"/>
      <c r="AP51" s="144">
        <f>SUM(AR51+AS51/60)</f>
        <v>106.21666666666668</v>
      </c>
      <c r="AQ51" s="145"/>
      <c r="AR51" s="30">
        <f>SUM(AZ10:AZ13,AZ15:AZ20,AZ22:AZ27,AZ29:AZ34,AZ36:AZ38)</f>
        <v>96</v>
      </c>
      <c r="AS51" s="30">
        <f>SUM(BA10:BA13,BA15:BA20,BA22:BA27,BA29:BA34,BA36:BA38)</f>
        <v>613.00000000000102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8.0500000000000025</v>
      </c>
      <c r="AZ51" s="49">
        <f>SUM(AZ9)</f>
        <v>8</v>
      </c>
      <c r="BA51" s="68">
        <f>SUM(BA9)</f>
        <v>3.0000000000001137</v>
      </c>
      <c r="BB51" s="67"/>
    </row>
    <row r="53" spans="1:54" x14ac:dyDescent="0.35">
      <c r="A53" t="s">
        <v>24</v>
      </c>
      <c r="C53" s="20" t="str">
        <f>+C2</f>
        <v>RAHMAN MAKLICHUR</v>
      </c>
      <c r="E53" s="101"/>
      <c r="F53" s="101"/>
      <c r="O53" t="s">
        <v>24</v>
      </c>
      <c r="Q53" s="20" t="str">
        <f>+Q2</f>
        <v>RAUT SHASHIDEV</v>
      </c>
      <c r="S53" s="101"/>
      <c r="T53" s="101"/>
      <c r="AB53" t="s">
        <v>24</v>
      </c>
      <c r="AD53" s="20" t="str">
        <f>+AD2</f>
        <v>YADAV BHARAT KUMAR</v>
      </c>
      <c r="AF53" s="101"/>
      <c r="AG53" s="101"/>
      <c r="AP53" t="s">
        <v>24</v>
      </c>
      <c r="AR53" s="20" t="str">
        <f>+AR2</f>
        <v>YADAV SANTOSH KUMAR</v>
      </c>
      <c r="AT53" s="101"/>
      <c r="AU53" s="101"/>
    </row>
    <row r="54" spans="1:54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25</v>
      </c>
      <c r="AE54" s="13" t="s">
        <v>30</v>
      </c>
      <c r="AF54">
        <v>65.38</v>
      </c>
      <c r="AG54" t="s">
        <v>30</v>
      </c>
      <c r="AH54">
        <f>SUM(AD54*AF54)</f>
        <v>1634.5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</row>
    <row r="55" spans="1:54" x14ac:dyDescent="0.35">
      <c r="A55" t="s">
        <v>26</v>
      </c>
      <c r="C55" s="11">
        <f>+C6</f>
        <v>102.46666666666668</v>
      </c>
      <c r="D55" s="13" t="s">
        <v>30</v>
      </c>
      <c r="E55">
        <v>13.08</v>
      </c>
      <c r="F55" t="s">
        <v>30</v>
      </c>
      <c r="G55">
        <f>SUM(C55*E55)</f>
        <v>1340.2640000000001</v>
      </c>
      <c r="O55" t="s">
        <v>26</v>
      </c>
      <c r="Q55" s="11">
        <f>+Q6</f>
        <v>102.46666666666668</v>
      </c>
      <c r="R55" s="13" t="s">
        <v>30</v>
      </c>
      <c r="S55">
        <v>13.08</v>
      </c>
      <c r="T55" t="s">
        <v>30</v>
      </c>
      <c r="U55">
        <f>SUM(Q55*S55)</f>
        <v>1340.2640000000001</v>
      </c>
      <c r="AB55" t="s">
        <v>26</v>
      </c>
      <c r="AD55" s="11">
        <f>+AD6</f>
        <v>102.46666666666668</v>
      </c>
      <c r="AE55" s="13" t="s">
        <v>30</v>
      </c>
      <c r="AF55">
        <v>13.08</v>
      </c>
      <c r="AG55" t="s">
        <v>30</v>
      </c>
      <c r="AH55">
        <f>SUM(AD55*AF55)</f>
        <v>1340.2640000000001</v>
      </c>
      <c r="AP55" t="s">
        <v>26</v>
      </c>
      <c r="AR55" s="11">
        <f>+AR6</f>
        <v>102.46666666666668</v>
      </c>
      <c r="AS55" s="13" t="s">
        <v>30</v>
      </c>
      <c r="AT55">
        <v>13.08</v>
      </c>
      <c r="AU55" t="s">
        <v>30</v>
      </c>
      <c r="AV55">
        <f>SUM(AR55*AT55)</f>
        <v>1340.2640000000001</v>
      </c>
    </row>
    <row r="56" spans="1:54" x14ac:dyDescent="0.35">
      <c r="A56" t="s">
        <v>27</v>
      </c>
      <c r="C56" s="10">
        <f>+G5</f>
        <v>0</v>
      </c>
      <c r="D56" s="13" t="s">
        <v>30</v>
      </c>
      <c r="E56">
        <v>17.43</v>
      </c>
      <c r="F56" t="s">
        <v>30</v>
      </c>
      <c r="G56">
        <f>SUM(C56*E56)</f>
        <v>0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B56" t="s">
        <v>27</v>
      </c>
      <c r="AD56" s="10">
        <f>+AH5</f>
        <v>0</v>
      </c>
      <c r="AE56" s="13" t="s">
        <v>30</v>
      </c>
      <c r="AF56">
        <v>17.43</v>
      </c>
      <c r="AG56" t="s">
        <v>30</v>
      </c>
      <c r="AH56">
        <f>SUM(AD56*AF56)</f>
        <v>0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</row>
    <row r="57" spans="1:54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</row>
    <row r="58" spans="1:54" x14ac:dyDescent="0.35">
      <c r="A58" t="s">
        <v>29</v>
      </c>
      <c r="C58" s="10">
        <f>+L6</f>
        <v>8.0500000000000025</v>
      </c>
      <c r="D58" s="13" t="s">
        <v>30</v>
      </c>
      <c r="E58">
        <v>17.43</v>
      </c>
      <c r="F58" t="s">
        <v>30</v>
      </c>
      <c r="G58">
        <f>SUM(C58*E58)</f>
        <v>140.31150000000005</v>
      </c>
      <c r="O58" t="s">
        <v>29</v>
      </c>
      <c r="Q58" s="10">
        <f>+Z6</f>
        <v>10.666666666666664</v>
      </c>
      <c r="R58" s="13" t="s">
        <v>30</v>
      </c>
      <c r="S58">
        <v>17.43</v>
      </c>
      <c r="T58" t="s">
        <v>30</v>
      </c>
      <c r="U58">
        <f>SUM(Q58*S58)</f>
        <v>185.91999999999996</v>
      </c>
      <c r="AB58" t="s">
        <v>29</v>
      </c>
      <c r="AD58" s="10">
        <f>+AM6</f>
        <v>8.0500000000000025</v>
      </c>
      <c r="AE58" s="13" t="s">
        <v>30</v>
      </c>
      <c r="AF58">
        <v>17.43</v>
      </c>
      <c r="AG58" t="s">
        <v>30</v>
      </c>
      <c r="AH58">
        <f>SUM(AD58*AF58)</f>
        <v>140.31150000000005</v>
      </c>
      <c r="AP58" t="s">
        <v>29</v>
      </c>
      <c r="AR58" s="10">
        <f>+BA6</f>
        <v>8.0500000000000025</v>
      </c>
      <c r="AS58" s="13" t="s">
        <v>30</v>
      </c>
      <c r="AT58">
        <v>17.43</v>
      </c>
      <c r="AU58" t="s">
        <v>30</v>
      </c>
      <c r="AV58">
        <f>SUM(AR58*AT58)</f>
        <v>140.31150000000005</v>
      </c>
    </row>
    <row r="59" spans="1:54" x14ac:dyDescent="0.35">
      <c r="D59" s="13"/>
      <c r="E59" s="14"/>
      <c r="F59" s="14" t="s">
        <v>30</v>
      </c>
      <c r="G59" s="14">
        <f>SUM(G54:G58)</f>
        <v>3180.4555000000005</v>
      </c>
      <c r="R59" s="13"/>
      <c r="S59" s="14"/>
      <c r="T59" s="14" t="s">
        <v>30</v>
      </c>
      <c r="U59" s="14">
        <f>SUM(U54:U58)</f>
        <v>3226.0640000000003</v>
      </c>
      <c r="AE59" s="13"/>
      <c r="AF59" s="14"/>
      <c r="AG59" s="14" t="s">
        <v>30</v>
      </c>
      <c r="AH59" s="14">
        <f>SUM(AH54:AH58)</f>
        <v>3180.4555000000005</v>
      </c>
      <c r="AS59" s="13"/>
      <c r="AT59" s="14"/>
      <c r="AU59" s="14" t="s">
        <v>30</v>
      </c>
      <c r="AV59" s="14">
        <f>SUM(AV54:AV58)</f>
        <v>3180.4555000000005</v>
      </c>
    </row>
    <row r="60" spans="1:54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</row>
    <row r="62" spans="1:54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</row>
    <row r="63" spans="1:54" ht="15" thickBot="1" x14ac:dyDescent="0.4">
      <c r="E63" t="s">
        <v>33</v>
      </c>
      <c r="F63" s="19" t="s">
        <v>30</v>
      </c>
      <c r="G63" s="19">
        <f>SUM(G59+G60+G61-G62)</f>
        <v>2830.4555000000005</v>
      </c>
      <c r="S63" t="s">
        <v>33</v>
      </c>
      <c r="T63" s="19" t="s">
        <v>30</v>
      </c>
      <c r="U63" s="19">
        <f>SUM(U59+U60+U61-U62)</f>
        <v>2876.0640000000003</v>
      </c>
      <c r="AF63" t="s">
        <v>33</v>
      </c>
      <c r="AG63" s="19" t="s">
        <v>30</v>
      </c>
      <c r="AH63" s="19">
        <f>SUM(AH59+AH60+AH61-AH62)</f>
        <v>2830.4555000000005</v>
      </c>
      <c r="AT63" t="s">
        <v>33</v>
      </c>
      <c r="AU63" s="19" t="s">
        <v>30</v>
      </c>
      <c r="AV63" s="19">
        <f>SUM(AV59+AV60+AV61-AV62)</f>
        <v>2830.4555000000005</v>
      </c>
    </row>
    <row r="64" spans="1:54" ht="15" thickTop="1" x14ac:dyDescent="0.35">
      <c r="AB64" s="112"/>
      <c r="AC64" s="112"/>
      <c r="AD64" s="112"/>
      <c r="AE64" s="112"/>
      <c r="AF64" s="113"/>
      <c r="AG64" s="22"/>
      <c r="AH64" s="22"/>
      <c r="AI64" s="106"/>
      <c r="AJ64" s="38"/>
      <c r="AK64" s="107"/>
      <c r="AL64" s="108"/>
      <c r="AP64" s="112"/>
      <c r="AQ64" s="112"/>
      <c r="AR64" s="112"/>
      <c r="AS64" s="112"/>
      <c r="AT64" s="113"/>
      <c r="AU64" s="22"/>
      <c r="AV64" s="22"/>
      <c r="AW64" s="106"/>
      <c r="AX64" s="38"/>
      <c r="AY64" s="107"/>
      <c r="AZ64" s="108"/>
    </row>
    <row r="65" spans="28:52" x14ac:dyDescent="0.35">
      <c r="AB65" s="112"/>
      <c r="AC65" s="112"/>
      <c r="AD65" s="112"/>
      <c r="AE65" s="112"/>
      <c r="AF65" s="113"/>
      <c r="AG65" s="22"/>
      <c r="AH65" s="22"/>
      <c r="AI65" s="106"/>
      <c r="AJ65" s="38"/>
      <c r="AK65" s="107"/>
      <c r="AL65" s="108"/>
      <c r="AP65" s="112"/>
      <c r="AQ65" s="112"/>
      <c r="AR65" s="112"/>
      <c r="AS65" s="112"/>
      <c r="AT65" s="113"/>
      <c r="AU65" s="22"/>
      <c r="AV65" s="22"/>
      <c r="AW65" s="106"/>
      <c r="AX65" s="38"/>
      <c r="AY65" s="107"/>
      <c r="AZ65" s="108"/>
    </row>
    <row r="66" spans="28:52" x14ac:dyDescent="0.35">
      <c r="AB66" s="112"/>
      <c r="AC66" s="112"/>
      <c r="AD66" s="112"/>
      <c r="AE66" s="112"/>
      <c r="AF66" s="113"/>
      <c r="AG66" s="22"/>
      <c r="AH66" s="22"/>
      <c r="AI66" s="106"/>
      <c r="AJ66" s="38"/>
      <c r="AK66" s="107"/>
      <c r="AL66" s="108"/>
      <c r="AP66" s="112"/>
      <c r="AQ66" s="112"/>
      <c r="AR66" s="112"/>
      <c r="AS66" s="112"/>
      <c r="AT66" s="113"/>
      <c r="AU66" s="22"/>
      <c r="AV66" s="22"/>
      <c r="AW66" s="106"/>
      <c r="AX66" s="38"/>
      <c r="AY66" s="107"/>
      <c r="AZ66" s="108"/>
    </row>
    <row r="67" spans="28:52" x14ac:dyDescent="0.35">
      <c r="AB67" s="114"/>
      <c r="AC67" s="114"/>
      <c r="AD67" s="114"/>
      <c r="AE67" s="114"/>
      <c r="AF67" s="115"/>
      <c r="AG67" s="116"/>
      <c r="AH67" s="116"/>
      <c r="AI67" s="109"/>
      <c r="AJ67" s="110"/>
      <c r="AK67" s="110"/>
      <c r="AL67" s="111"/>
      <c r="AP67" s="114"/>
      <c r="AQ67" s="114"/>
      <c r="AR67" s="114"/>
      <c r="AS67" s="114"/>
      <c r="AT67" s="115"/>
      <c r="AU67" s="116"/>
      <c r="AV67" s="116"/>
      <c r="AW67" s="109"/>
      <c r="AX67" s="110"/>
      <c r="AY67" s="110"/>
      <c r="AZ67" s="111"/>
    </row>
    <row r="68" spans="28:52" x14ac:dyDescent="0.35">
      <c r="AB68" s="112"/>
      <c r="AC68" s="112"/>
      <c r="AD68" s="112"/>
      <c r="AE68" s="112"/>
      <c r="AF68" s="113"/>
      <c r="AG68" s="22"/>
      <c r="AH68" s="22"/>
      <c r="AI68" s="106"/>
      <c r="AJ68" s="38"/>
      <c r="AK68" s="107"/>
      <c r="AL68" s="108"/>
      <c r="AP68" s="112"/>
      <c r="AQ68" s="112"/>
      <c r="AR68" s="112"/>
      <c r="AS68" s="112"/>
      <c r="AT68" s="113"/>
      <c r="AU68" s="22"/>
      <c r="AV68" s="22"/>
      <c r="AW68" s="106"/>
      <c r="AX68" s="38"/>
      <c r="AY68" s="107"/>
      <c r="AZ68" s="108"/>
    </row>
    <row r="69" spans="28:52" x14ac:dyDescent="0.35">
      <c r="AB69" s="112"/>
      <c r="AC69" s="112"/>
      <c r="AD69" s="112"/>
      <c r="AE69" s="112"/>
      <c r="AF69" s="113"/>
      <c r="AG69" s="22"/>
      <c r="AH69" s="22"/>
      <c r="AI69" s="106"/>
      <c r="AJ69" s="38"/>
      <c r="AK69" s="107"/>
      <c r="AL69" s="108"/>
      <c r="AP69" s="112"/>
      <c r="AQ69" s="112"/>
      <c r="AR69" s="112"/>
      <c r="AS69" s="112"/>
      <c r="AT69" s="113"/>
      <c r="AU69" s="22"/>
      <c r="AV69" s="22"/>
      <c r="AW69" s="106"/>
      <c r="AX69" s="38"/>
      <c r="AY69" s="107"/>
      <c r="AZ69" s="108"/>
    </row>
    <row r="70" spans="28:52" x14ac:dyDescent="0.35">
      <c r="AB70" s="112"/>
      <c r="AC70" s="112"/>
      <c r="AD70" s="112"/>
      <c r="AE70" s="112"/>
      <c r="AF70" s="113"/>
      <c r="AG70" s="22"/>
      <c r="AH70" s="22"/>
      <c r="AI70" s="106"/>
      <c r="AJ70" s="38"/>
      <c r="AK70" s="107"/>
      <c r="AL70" s="108"/>
      <c r="AP70" s="112"/>
      <c r="AQ70" s="112"/>
      <c r="AR70" s="112"/>
      <c r="AS70" s="112"/>
      <c r="AT70" s="113"/>
      <c r="AU70" s="22"/>
      <c r="AV70" s="22"/>
      <c r="AW70" s="106"/>
      <c r="AX70" s="38"/>
      <c r="AY70" s="107"/>
      <c r="AZ70" s="108"/>
    </row>
    <row r="71" spans="28:52" x14ac:dyDescent="0.35">
      <c r="AB71" s="112"/>
      <c r="AC71" s="112"/>
      <c r="AD71" s="112"/>
      <c r="AE71" s="112"/>
      <c r="AF71" s="113"/>
      <c r="AG71" s="22"/>
      <c r="AH71" s="22"/>
      <c r="AI71" s="106"/>
      <c r="AJ71" s="38"/>
      <c r="AK71" s="107"/>
      <c r="AL71" s="108"/>
      <c r="AP71" s="112"/>
      <c r="AQ71" s="112"/>
      <c r="AR71" s="112"/>
      <c r="AS71" s="112"/>
      <c r="AT71" s="113"/>
      <c r="AU71" s="22"/>
      <c r="AV71" s="22"/>
      <c r="AW71" s="106"/>
      <c r="AX71" s="38"/>
      <c r="AY71" s="107"/>
      <c r="AZ71" s="108"/>
    </row>
    <row r="72" spans="28:52" x14ac:dyDescent="0.35">
      <c r="AB72" s="112"/>
      <c r="AC72" s="112"/>
      <c r="AD72" s="112"/>
      <c r="AE72" s="112"/>
      <c r="AF72" s="113"/>
      <c r="AG72" s="22"/>
      <c r="AH72" s="22"/>
      <c r="AI72" s="106"/>
      <c r="AJ72" s="38"/>
      <c r="AK72" s="107"/>
      <c r="AL72" s="108"/>
      <c r="AP72" s="112"/>
      <c r="AQ72" s="112"/>
      <c r="AR72" s="112"/>
      <c r="AS72" s="112"/>
      <c r="AT72" s="113"/>
      <c r="AU72" s="22"/>
      <c r="AV72" s="22"/>
      <c r="AW72" s="106"/>
      <c r="AX72" s="38"/>
      <c r="AY72" s="107"/>
      <c r="AZ72" s="108"/>
    </row>
    <row r="73" spans="28:52" x14ac:dyDescent="0.35">
      <c r="AB73" s="112"/>
      <c r="AC73" s="112"/>
      <c r="AD73" s="112"/>
      <c r="AE73" s="112"/>
      <c r="AF73" s="113"/>
      <c r="AG73" s="22"/>
      <c r="AH73" s="22"/>
      <c r="AI73" s="106"/>
      <c r="AJ73" s="38"/>
      <c r="AK73" s="107"/>
      <c r="AL73" s="108"/>
      <c r="AP73" s="112"/>
      <c r="AQ73" s="112"/>
      <c r="AR73" s="112"/>
      <c r="AS73" s="112"/>
      <c r="AT73" s="113"/>
      <c r="AU73" s="22"/>
      <c r="AV73" s="22"/>
      <c r="AW73" s="106"/>
      <c r="AX73" s="38"/>
      <c r="AY73" s="107"/>
      <c r="AZ73" s="108"/>
    </row>
    <row r="74" spans="28:52" x14ac:dyDescent="0.35">
      <c r="AB74" s="114"/>
      <c r="AC74" s="114"/>
      <c r="AD74" s="114"/>
      <c r="AE74" s="114"/>
      <c r="AF74" s="115"/>
      <c r="AG74" s="116"/>
      <c r="AH74" s="116"/>
      <c r="AI74" s="109"/>
      <c r="AJ74" s="110"/>
      <c r="AK74" s="110"/>
      <c r="AL74" s="111"/>
      <c r="AP74" s="114"/>
      <c r="AQ74" s="114"/>
      <c r="AR74" s="114"/>
      <c r="AS74" s="114"/>
      <c r="AT74" s="115"/>
      <c r="AU74" s="116"/>
      <c r="AV74" s="116"/>
      <c r="AW74" s="109"/>
      <c r="AX74" s="110"/>
      <c r="AY74" s="110"/>
      <c r="AZ74" s="111"/>
    </row>
    <row r="75" spans="28:52" x14ac:dyDescent="0.35">
      <c r="AB75" s="112"/>
      <c r="AC75" s="112"/>
      <c r="AD75" s="112"/>
      <c r="AE75" s="112"/>
      <c r="AF75" s="113"/>
      <c r="AG75" s="22"/>
      <c r="AH75" s="22"/>
      <c r="AI75" s="106"/>
      <c r="AJ75" s="38"/>
      <c r="AK75" s="107"/>
      <c r="AL75" s="108"/>
      <c r="AP75" s="112"/>
      <c r="AQ75" s="112"/>
      <c r="AR75" s="112"/>
      <c r="AS75" s="112"/>
      <c r="AT75" s="113"/>
      <c r="AU75" s="22"/>
      <c r="AV75" s="22"/>
      <c r="AW75" s="106"/>
      <c r="AX75" s="38"/>
      <c r="AY75" s="107"/>
      <c r="AZ75" s="108"/>
    </row>
    <row r="76" spans="28:52" x14ac:dyDescent="0.35">
      <c r="AB76" s="112"/>
      <c r="AC76" s="112"/>
      <c r="AD76" s="112"/>
      <c r="AE76" s="112"/>
      <c r="AF76" s="113"/>
      <c r="AG76" s="22"/>
      <c r="AH76" s="22"/>
      <c r="AI76" s="106"/>
      <c r="AJ76" s="38"/>
      <c r="AK76" s="107"/>
      <c r="AL76" s="108"/>
      <c r="AP76" s="112"/>
      <c r="AQ76" s="112"/>
      <c r="AR76" s="112"/>
      <c r="AS76" s="112"/>
      <c r="AT76" s="113"/>
      <c r="AU76" s="22"/>
      <c r="AV76" s="22"/>
      <c r="AW76" s="106"/>
      <c r="AX76" s="38"/>
      <c r="AY76" s="107"/>
      <c r="AZ76" s="108"/>
    </row>
    <row r="77" spans="28:52" x14ac:dyDescent="0.35">
      <c r="AB77" s="112"/>
      <c r="AC77" s="112"/>
      <c r="AD77" s="112"/>
      <c r="AE77" s="112"/>
      <c r="AF77" s="113"/>
      <c r="AG77" s="22"/>
      <c r="AH77" s="22"/>
      <c r="AI77" s="106"/>
      <c r="AJ77" s="38"/>
      <c r="AK77" s="107"/>
      <c r="AL77" s="108"/>
      <c r="AP77" s="112"/>
      <c r="AQ77" s="112"/>
      <c r="AR77" s="112"/>
      <c r="AS77" s="112"/>
      <c r="AT77" s="113"/>
      <c r="AU77" s="22"/>
      <c r="AV77" s="22"/>
      <c r="AW77" s="106"/>
      <c r="AX77" s="38"/>
      <c r="AY77" s="107"/>
      <c r="AZ77" s="108"/>
    </row>
    <row r="78" spans="28:52" x14ac:dyDescent="0.35">
      <c r="AB78" s="112"/>
      <c r="AC78" s="112"/>
      <c r="AD78" s="112"/>
      <c r="AE78" s="112"/>
      <c r="AF78" s="113"/>
      <c r="AG78" s="22"/>
      <c r="AH78" s="22"/>
      <c r="AI78" s="106"/>
      <c r="AJ78" s="38"/>
      <c r="AK78" s="107"/>
      <c r="AL78" s="108"/>
      <c r="AP78" s="112"/>
      <c r="AQ78" s="112"/>
      <c r="AR78" s="112"/>
      <c r="AS78" s="112"/>
      <c r="AT78" s="113"/>
      <c r="AU78" s="22"/>
      <c r="AV78" s="22"/>
      <c r="AW78" s="106"/>
      <c r="AX78" s="38"/>
      <c r="AY78" s="107"/>
      <c r="AZ78" s="108"/>
    </row>
    <row r="79" spans="28:52" x14ac:dyDescent="0.35">
      <c r="AB79" s="112"/>
      <c r="AC79" s="112"/>
      <c r="AD79" s="112"/>
      <c r="AE79" s="112"/>
      <c r="AF79" s="113"/>
      <c r="AG79" s="22"/>
      <c r="AH79" s="22"/>
      <c r="AI79" s="106"/>
      <c r="AJ79" s="38"/>
      <c r="AK79" s="107"/>
      <c r="AL79" s="108"/>
      <c r="AP79" s="112"/>
      <c r="AQ79" s="112"/>
      <c r="AR79" s="112"/>
      <c r="AS79" s="112"/>
      <c r="AT79" s="113"/>
      <c r="AU79" s="22"/>
      <c r="AV79" s="22"/>
      <c r="AW79" s="106"/>
      <c r="AX79" s="38"/>
      <c r="AY79" s="107"/>
      <c r="AZ79" s="108"/>
    </row>
    <row r="80" spans="28:52" x14ac:dyDescent="0.35">
      <c r="AB80" s="112"/>
      <c r="AC80" s="112"/>
      <c r="AD80" s="112"/>
      <c r="AE80" s="112"/>
      <c r="AF80" s="113"/>
      <c r="AG80" s="22"/>
      <c r="AH80" s="22"/>
      <c r="AI80" s="106"/>
      <c r="AJ80" s="38"/>
      <c r="AK80" s="107"/>
      <c r="AL80" s="108"/>
      <c r="AP80" s="112"/>
      <c r="AQ80" s="112"/>
      <c r="AR80" s="112"/>
      <c r="AS80" s="112"/>
      <c r="AT80" s="113"/>
      <c r="AU80" s="22"/>
      <c r="AV80" s="22"/>
      <c r="AW80" s="106"/>
      <c r="AX80" s="38"/>
      <c r="AY80" s="107"/>
      <c r="AZ80" s="108"/>
    </row>
    <row r="81" spans="28:52" x14ac:dyDescent="0.35">
      <c r="AB81" s="114"/>
      <c r="AC81" s="114"/>
      <c r="AD81" s="114"/>
      <c r="AE81" s="114"/>
      <c r="AF81" s="115"/>
      <c r="AG81" s="116"/>
      <c r="AH81" s="116"/>
      <c r="AI81" s="109"/>
      <c r="AJ81" s="110"/>
      <c r="AK81" s="110"/>
      <c r="AL81" s="111"/>
      <c r="AP81" s="114"/>
      <c r="AQ81" s="114"/>
      <c r="AR81" s="114"/>
      <c r="AS81" s="114"/>
      <c r="AT81" s="115"/>
      <c r="AU81" s="116"/>
      <c r="AV81" s="116"/>
      <c r="AW81" s="109"/>
      <c r="AX81" s="110"/>
      <c r="AY81" s="110"/>
      <c r="AZ81" s="111"/>
    </row>
    <row r="82" spans="28:52" x14ac:dyDescent="0.35">
      <c r="AB82" s="112"/>
      <c r="AC82" s="112"/>
      <c r="AD82" s="112"/>
      <c r="AE82" s="112"/>
      <c r="AF82" s="113"/>
      <c r="AG82" s="22"/>
      <c r="AH82" s="22"/>
      <c r="AI82" s="106"/>
      <c r="AJ82" s="38"/>
      <c r="AK82" s="107"/>
      <c r="AL82" s="108"/>
      <c r="AP82" s="112"/>
      <c r="AQ82" s="112"/>
      <c r="AR82" s="112"/>
      <c r="AS82" s="112"/>
      <c r="AT82" s="113"/>
      <c r="AU82" s="22"/>
      <c r="AV82" s="22"/>
      <c r="AW82" s="106"/>
      <c r="AX82" s="38"/>
      <c r="AY82" s="107"/>
      <c r="AZ82" s="108"/>
    </row>
    <row r="83" spans="28:52" x14ac:dyDescent="0.35">
      <c r="AB83" s="112"/>
      <c r="AC83" s="112"/>
      <c r="AD83" s="112"/>
      <c r="AE83" s="112"/>
      <c r="AF83" s="113"/>
      <c r="AG83" s="22"/>
      <c r="AH83" s="22"/>
      <c r="AI83" s="106"/>
      <c r="AJ83" s="38"/>
      <c r="AK83" s="107"/>
      <c r="AL83" s="108"/>
      <c r="AP83" s="112"/>
      <c r="AQ83" s="112"/>
      <c r="AR83" s="112"/>
      <c r="AS83" s="112"/>
      <c r="AT83" s="113"/>
      <c r="AU83" s="22"/>
      <c r="AV83" s="22"/>
      <c r="AW83" s="106"/>
      <c r="AX83" s="38"/>
      <c r="AY83" s="107"/>
      <c r="AZ83" s="108"/>
    </row>
    <row r="84" spans="28:52" x14ac:dyDescent="0.35">
      <c r="AB84" s="112"/>
      <c r="AC84" s="112"/>
      <c r="AD84" s="112"/>
      <c r="AE84" s="112"/>
      <c r="AF84" s="113"/>
      <c r="AG84" s="22"/>
      <c r="AH84" s="22"/>
      <c r="AI84" s="106"/>
      <c r="AJ84" s="38"/>
      <c r="AK84" s="107"/>
      <c r="AL84" s="108"/>
      <c r="AP84" s="112"/>
      <c r="AQ84" s="112"/>
      <c r="AR84" s="112"/>
      <c r="AS84" s="112"/>
      <c r="AT84" s="113"/>
      <c r="AU84" s="22"/>
      <c r="AV84" s="22"/>
      <c r="AW84" s="106"/>
      <c r="AX84" s="38"/>
      <c r="AY84" s="107"/>
      <c r="AZ84" s="108"/>
    </row>
    <row r="85" spans="28:52" x14ac:dyDescent="0.35">
      <c r="AB85" s="112"/>
      <c r="AC85" s="112"/>
      <c r="AD85" s="112"/>
      <c r="AE85" s="112"/>
      <c r="AF85" s="113"/>
      <c r="AG85" s="22"/>
      <c r="AH85" s="22"/>
      <c r="AI85" s="106"/>
      <c r="AJ85" s="38"/>
      <c r="AK85" s="107"/>
      <c r="AL85" s="108"/>
      <c r="AP85" s="112"/>
      <c r="AQ85" s="112"/>
      <c r="AR85" s="112"/>
      <c r="AS85" s="112"/>
      <c r="AT85" s="113"/>
      <c r="AU85" s="22"/>
      <c r="AV85" s="22"/>
      <c r="AW85" s="106"/>
      <c r="AX85" s="38"/>
      <c r="AY85" s="107"/>
      <c r="AZ85" s="108"/>
    </row>
    <row r="86" spans="28:52" x14ac:dyDescent="0.35">
      <c r="AB86" s="117"/>
      <c r="AC86" s="117"/>
      <c r="AD86" s="117"/>
      <c r="AE86" s="117"/>
      <c r="AF86" s="117"/>
      <c r="AG86" s="118"/>
      <c r="AH86" s="118"/>
      <c r="AI86" s="119"/>
      <c r="AJ86" s="119"/>
      <c r="AK86" s="119"/>
      <c r="AL86" s="108"/>
      <c r="AP86" s="117"/>
      <c r="AQ86" s="117"/>
      <c r="AR86" s="117"/>
      <c r="AS86" s="117"/>
      <c r="AT86" s="117"/>
      <c r="AU86" s="118"/>
      <c r="AV86" s="118"/>
      <c r="AW86" s="119"/>
      <c r="AX86" s="119"/>
      <c r="AY86" s="119"/>
      <c r="AZ86" s="108"/>
    </row>
    <row r="87" spans="28:52" x14ac:dyDescent="0.35">
      <c r="AB87" s="117"/>
      <c r="AC87" s="117"/>
      <c r="AD87" s="117"/>
      <c r="AE87" s="117"/>
      <c r="AF87" s="117"/>
      <c r="AG87" s="118"/>
      <c r="AH87" s="118"/>
      <c r="AI87" s="119"/>
      <c r="AJ87" s="119"/>
      <c r="AK87" s="119"/>
      <c r="AL87" s="108"/>
      <c r="AP87" s="117"/>
      <c r="AQ87" s="117"/>
      <c r="AR87" s="117"/>
      <c r="AS87" s="117"/>
      <c r="AT87" s="117"/>
      <c r="AU87" s="118"/>
      <c r="AV87" s="118"/>
      <c r="AW87" s="119"/>
      <c r="AX87" s="119"/>
      <c r="AY87" s="119"/>
      <c r="AZ87" s="108"/>
    </row>
    <row r="88" spans="28:52" x14ac:dyDescent="0.35">
      <c r="AB88" s="117"/>
      <c r="AC88" s="117"/>
      <c r="AD88" s="117"/>
      <c r="AE88" s="117"/>
      <c r="AF88" s="117"/>
      <c r="AG88" s="118"/>
      <c r="AH88" s="118"/>
      <c r="AI88" s="119"/>
      <c r="AJ88" s="119"/>
      <c r="AK88" s="119"/>
      <c r="AL88" s="108"/>
      <c r="AP88" s="117"/>
      <c r="AQ88" s="117"/>
      <c r="AR88" s="117"/>
      <c r="AS88" s="117"/>
      <c r="AT88" s="117"/>
      <c r="AU88" s="118"/>
      <c r="AV88" s="118"/>
      <c r="AW88" s="119"/>
      <c r="AX88" s="119"/>
      <c r="AY88" s="119"/>
      <c r="AZ88" s="108"/>
    </row>
    <row r="89" spans="28:52" x14ac:dyDescent="0.35">
      <c r="AB89" s="117"/>
      <c r="AC89" s="117"/>
      <c r="AD89" s="117"/>
      <c r="AE89" s="117"/>
      <c r="AF89" s="117"/>
      <c r="AG89" s="118"/>
      <c r="AH89" s="118"/>
      <c r="AI89" s="119"/>
      <c r="AJ89" s="119"/>
      <c r="AK89" s="119"/>
      <c r="AL89" s="108"/>
      <c r="AP89" s="117"/>
      <c r="AQ89" s="117"/>
      <c r="AR89" s="117"/>
      <c r="AS89" s="117"/>
      <c r="AT89" s="117"/>
      <c r="AU89" s="118"/>
      <c r="AV89" s="118"/>
      <c r="AW89" s="119"/>
      <c r="AX89" s="119"/>
      <c r="AY89" s="119"/>
      <c r="AZ89" s="108"/>
    </row>
    <row r="90" spans="28:52" x14ac:dyDescent="0.35">
      <c r="AB90" s="120"/>
      <c r="AC90" s="120"/>
      <c r="AD90" s="120"/>
      <c r="AE90" s="120"/>
      <c r="AF90" s="120"/>
      <c r="AG90" s="118"/>
      <c r="AH90" s="118"/>
      <c r="AI90" s="119"/>
      <c r="AJ90" s="119"/>
      <c r="AK90" s="119"/>
      <c r="AL90" s="108"/>
      <c r="AP90" s="120"/>
      <c r="AQ90" s="120"/>
      <c r="AR90" s="120"/>
      <c r="AS90" s="120"/>
      <c r="AT90" s="120"/>
      <c r="AU90" s="118"/>
      <c r="AV90" s="118"/>
      <c r="AW90" s="119"/>
      <c r="AX90" s="119"/>
      <c r="AY90" s="119"/>
      <c r="AZ90" s="108"/>
    </row>
    <row r="91" spans="28:52" x14ac:dyDescent="0.35">
      <c r="AB91" s="24"/>
      <c r="AC91" s="24"/>
      <c r="AD91" s="24"/>
      <c r="AE91" s="24"/>
      <c r="AF91" s="24"/>
      <c r="AG91" s="22"/>
      <c r="AH91" s="22"/>
      <c r="AI91" s="38"/>
      <c r="AJ91" s="24"/>
      <c r="AK91" s="24"/>
      <c r="AL91" s="25"/>
      <c r="AP91" s="24"/>
      <c r="AQ91" s="24"/>
      <c r="AR91" s="24"/>
      <c r="AS91" s="24"/>
      <c r="AT91" s="24"/>
      <c r="AU91" s="22"/>
      <c r="AV91" s="22"/>
      <c r="AW91" s="38"/>
      <c r="AX91" s="24"/>
      <c r="AY91" s="24"/>
      <c r="AZ91" s="25"/>
    </row>
    <row r="92" spans="28:52" x14ac:dyDescent="0.35">
      <c r="AB92" s="167"/>
      <c r="AC92" s="167"/>
      <c r="AD92" s="167"/>
      <c r="AE92" s="167"/>
      <c r="AF92" s="168"/>
      <c r="AG92" s="168"/>
      <c r="AH92" s="121"/>
      <c r="AI92" s="169"/>
      <c r="AJ92" s="169"/>
      <c r="AK92" s="169"/>
      <c r="AL92" s="169"/>
      <c r="AP92" s="167"/>
      <c r="AQ92" s="167"/>
      <c r="AR92" s="167"/>
      <c r="AS92" s="167"/>
      <c r="AT92" s="168"/>
      <c r="AU92" s="168"/>
      <c r="AV92" s="121"/>
      <c r="AW92" s="169"/>
      <c r="AX92" s="169"/>
      <c r="AY92" s="169"/>
      <c r="AZ92" s="169"/>
    </row>
    <row r="93" spans="28:52" x14ac:dyDescent="0.35">
      <c r="AB93" s="170"/>
      <c r="AC93" s="167"/>
      <c r="AD93" s="171"/>
      <c r="AE93" s="167"/>
      <c r="AF93" s="172"/>
      <c r="AG93" s="168"/>
      <c r="AH93" s="121"/>
      <c r="AI93" s="173"/>
      <c r="AJ93" s="169"/>
      <c r="AK93" s="173"/>
      <c r="AL93" s="173"/>
      <c r="AP93" s="170"/>
      <c r="AQ93" s="167"/>
      <c r="AR93" s="171"/>
      <c r="AS93" s="167"/>
      <c r="AT93" s="172"/>
      <c r="AU93" s="168"/>
      <c r="AV93" s="121"/>
      <c r="AW93" s="173"/>
      <c r="AX93" s="169"/>
      <c r="AY93" s="173"/>
      <c r="AZ93" s="173"/>
    </row>
    <row r="94" spans="28:52" x14ac:dyDescent="0.35">
      <c r="AB94" s="24"/>
      <c r="AC94" s="24"/>
      <c r="AD94" s="24"/>
      <c r="AE94" s="24"/>
      <c r="AF94" s="24"/>
      <c r="AG94" s="22"/>
      <c r="AH94" s="22"/>
      <c r="AI94" s="38"/>
      <c r="AJ94" s="24"/>
      <c r="AK94" s="24"/>
      <c r="AL94" s="25"/>
      <c r="AP94" s="24"/>
      <c r="AQ94" s="24"/>
      <c r="AR94" s="24"/>
      <c r="AS94" s="24"/>
      <c r="AT94" s="24"/>
      <c r="AU94" s="22"/>
      <c r="AV94" s="22"/>
      <c r="AW94" s="38"/>
      <c r="AX94" s="24"/>
      <c r="AY94" s="24"/>
      <c r="AZ94" s="25"/>
    </row>
    <row r="95" spans="28:52" x14ac:dyDescent="0.35">
      <c r="AB95" s="24"/>
      <c r="AC95" s="24"/>
      <c r="AD95" s="24"/>
      <c r="AE95" s="24"/>
      <c r="AF95" s="24"/>
      <c r="AG95" s="22"/>
      <c r="AH95" s="22"/>
      <c r="AI95" s="38"/>
      <c r="AJ95" s="24"/>
      <c r="AK95" s="24"/>
      <c r="AL95" s="25"/>
      <c r="AP95" s="24"/>
      <c r="AQ95" s="24"/>
      <c r="AR95" s="24"/>
      <c r="AS95" s="24"/>
      <c r="AT95" s="24"/>
      <c r="AU95" s="22"/>
      <c r="AV95" s="22"/>
      <c r="AW95" s="38"/>
      <c r="AX95" s="24"/>
      <c r="AY95" s="24"/>
      <c r="AZ95" s="25"/>
    </row>
    <row r="96" spans="28:52" x14ac:dyDescent="0.35">
      <c r="AB96" s="39"/>
      <c r="AC96" s="39"/>
      <c r="AD96" s="124"/>
      <c r="AE96" s="121"/>
      <c r="AF96" s="121"/>
      <c r="AG96" s="123"/>
      <c r="AH96" s="123"/>
      <c r="AI96" s="122"/>
      <c r="AJ96" s="122"/>
      <c r="AK96" s="122"/>
      <c r="AL96" s="39"/>
      <c r="AP96" s="39"/>
      <c r="AQ96" s="39"/>
      <c r="AR96" s="124"/>
      <c r="AS96" s="121"/>
      <c r="AT96" s="121"/>
      <c r="AU96" s="123"/>
      <c r="AV96" s="123"/>
      <c r="AW96" s="122"/>
      <c r="AX96" s="122"/>
      <c r="AY96" s="122"/>
      <c r="AZ96" s="39"/>
    </row>
    <row r="97" spans="28:52" x14ac:dyDescent="0.35">
      <c r="AB97" s="22"/>
      <c r="AC97" s="22"/>
      <c r="AD97" s="125"/>
      <c r="AE97" s="116"/>
      <c r="AF97" s="116"/>
      <c r="AG97" s="116"/>
      <c r="AH97" s="116"/>
      <c r="AI97" s="126"/>
      <c r="AJ97" s="126"/>
      <c r="AK97" s="126"/>
      <c r="AL97" s="38"/>
      <c r="AP97" s="22"/>
      <c r="AQ97" s="22"/>
      <c r="AR97" s="125"/>
      <c r="AS97" s="116"/>
      <c r="AT97" s="116"/>
      <c r="AU97" s="116"/>
      <c r="AV97" s="116"/>
      <c r="AW97" s="126"/>
      <c r="AX97" s="126"/>
      <c r="AY97" s="126"/>
      <c r="AZ97" s="38"/>
    </row>
  </sheetData>
  <mergeCells count="84">
    <mergeCell ref="AY92:AZ92"/>
    <mergeCell ref="AP93:AQ93"/>
    <mergeCell ref="AR93:AS93"/>
    <mergeCell ref="AT93:AU93"/>
    <mergeCell ref="AW93:AX93"/>
    <mergeCell ref="AY93:AZ93"/>
    <mergeCell ref="AP92:AQ92"/>
    <mergeCell ref="AR92:AS92"/>
    <mergeCell ref="AT92:AU92"/>
    <mergeCell ref="AW92:AX92"/>
    <mergeCell ref="AB93:AC93"/>
    <mergeCell ref="AD93:AE93"/>
    <mergeCell ref="AF93:AG93"/>
    <mergeCell ref="AI93:AJ93"/>
    <mergeCell ref="AK93:AL93"/>
    <mergeCell ref="AB92:AC92"/>
    <mergeCell ref="AD92:AE92"/>
    <mergeCell ref="AF92:AG92"/>
    <mergeCell ref="AI92:AJ92"/>
    <mergeCell ref="AK92:AL92"/>
    <mergeCell ref="AX50:AX51"/>
    <mergeCell ref="A50:B50"/>
    <mergeCell ref="I50:I51"/>
    <mergeCell ref="O50:P50"/>
    <mergeCell ref="W50:W51"/>
    <mergeCell ref="AB50:AC50"/>
    <mergeCell ref="AJ50:AJ51"/>
    <mergeCell ref="A51:B51"/>
    <mergeCell ref="O51:P51"/>
    <mergeCell ref="AB51:AC51"/>
    <mergeCell ref="AP51:AQ51"/>
    <mergeCell ref="AP50:AQ50"/>
    <mergeCell ref="AT47:AU47"/>
    <mergeCell ref="C47:D47"/>
    <mergeCell ref="E47:F47"/>
    <mergeCell ref="G47:H47"/>
    <mergeCell ref="J47:K47"/>
    <mergeCell ref="L47:M47"/>
    <mergeCell ref="Q47:R47"/>
    <mergeCell ref="S47:T47"/>
    <mergeCell ref="AF47:AG47"/>
    <mergeCell ref="AH47:AI47"/>
    <mergeCell ref="AK47:AL47"/>
    <mergeCell ref="AM47:AN47"/>
    <mergeCell ref="AR47:AS47"/>
    <mergeCell ref="AV46:AW46"/>
    <mergeCell ref="AY46:AZ46"/>
    <mergeCell ref="BA46:BB46"/>
    <mergeCell ref="AV47:AW47"/>
    <mergeCell ref="AY47:AZ47"/>
    <mergeCell ref="BA47:BB47"/>
    <mergeCell ref="AT46:AU46"/>
    <mergeCell ref="U46:V46"/>
    <mergeCell ref="X46:Y46"/>
    <mergeCell ref="Z46:AA46"/>
    <mergeCell ref="AB46:AC47"/>
    <mergeCell ref="AD46:AE46"/>
    <mergeCell ref="AF46:AG46"/>
    <mergeCell ref="U47:V47"/>
    <mergeCell ref="X47:Y47"/>
    <mergeCell ref="Z47:AA47"/>
    <mergeCell ref="AD47:AE47"/>
    <mergeCell ref="AH46:AI46"/>
    <mergeCell ref="AK46:AL46"/>
    <mergeCell ref="AM46:AN46"/>
    <mergeCell ref="AP46:AQ47"/>
    <mergeCell ref="AR46:AS46"/>
    <mergeCell ref="L46:M46"/>
    <mergeCell ref="O46:P47"/>
    <mergeCell ref="Q46:R46"/>
    <mergeCell ref="S46:T46"/>
    <mergeCell ref="A8:B8"/>
    <mergeCell ref="O8:P8"/>
    <mergeCell ref="A46:B47"/>
    <mergeCell ref="C46:D46"/>
    <mergeCell ref="E46:F46"/>
    <mergeCell ref="G46:H46"/>
    <mergeCell ref="J46:K46"/>
    <mergeCell ref="AB8:AC8"/>
    <mergeCell ref="AP8:AQ8"/>
    <mergeCell ref="A1:M1"/>
    <mergeCell ref="O1:AA1"/>
    <mergeCell ref="AB1:AN1"/>
    <mergeCell ref="AP1:BB1"/>
  </mergeCells>
  <printOptions verticalCentered="1"/>
  <pageMargins left="0.23622047244094491" right="0" top="0" bottom="0" header="0" footer="0"/>
  <pageSetup paperSize="9" scale="54" orientation="landscape" r:id="rId1"/>
  <colBreaks count="1" manualBreakCount="1">
    <brk id="27" max="6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5D82-C059-40F3-BD9A-E209D2598885}">
  <sheetPr>
    <tabColor theme="7" tint="0.79998168889431442"/>
  </sheetPr>
  <dimension ref="A1:DT97"/>
  <sheetViews>
    <sheetView view="pageBreakPreview" topLeftCell="BO1" zoomScale="85" zoomScaleNormal="85" zoomScaleSheetLayoutView="85" workbookViewId="0">
      <selection activeCell="BX23" sqref="BX22:BX23"/>
    </sheetView>
  </sheetViews>
  <sheetFormatPr defaultColWidth="8.81640625" defaultRowHeight="14.5" x14ac:dyDescent="0.35"/>
  <cols>
    <col min="1" max="2" width="5.7265625" customWidth="1"/>
    <col min="3" max="3" width="9.453125" bestFit="1" customWidth="1"/>
    <col min="4" max="4" width="8.7265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9.81640625" customWidth="1"/>
    <col min="12" max="12" width="9" bestFit="1" customWidth="1"/>
    <col min="13" max="13" width="13.81640625" style="1" customWidth="1"/>
    <col min="14" max="14" width="7.7265625" customWidth="1"/>
    <col min="15" max="16" width="5.7265625" customWidth="1"/>
    <col min="17" max="17" width="9.453125" bestFit="1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453125" style="3" customWidth="1"/>
    <col min="24" max="24" width="8.81640625" style="2"/>
    <col min="25" max="25" width="9.81640625" customWidth="1"/>
    <col min="26" max="26" width="9" bestFit="1" customWidth="1"/>
    <col min="27" max="27" width="13.81640625" style="1" customWidth="1"/>
    <col min="28" max="29" width="5.7265625" customWidth="1"/>
    <col min="30" max="30" width="9.453125" bestFit="1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7.453125" style="3" customWidth="1"/>
    <col min="37" max="37" width="8.81640625" style="2"/>
    <col min="38" max="38" width="7" customWidth="1"/>
    <col min="39" max="39" width="9" bestFit="1" customWidth="1"/>
    <col min="40" max="40" width="13.81640625" style="1" customWidth="1"/>
    <col min="41" max="41" width="7.7265625" customWidth="1"/>
    <col min="42" max="43" width="5.7265625" customWidth="1"/>
    <col min="44" max="44" width="9.453125" bestFit="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453125" style="3" customWidth="1"/>
    <col min="51" max="51" width="8.81640625" style="2"/>
    <col min="52" max="52" width="7" customWidth="1"/>
    <col min="53" max="53" width="9" bestFit="1" customWidth="1"/>
    <col min="54" max="54" width="13.81640625" style="1" customWidth="1"/>
    <col min="55" max="56" width="5.7265625" customWidth="1"/>
    <col min="57" max="57" width="10.81640625" bestFit="1" customWidth="1"/>
    <col min="58" max="58" width="8.7265625" customWidth="1"/>
    <col min="60" max="60" width="7.7265625" customWidth="1"/>
    <col min="61" max="61" width="9" bestFit="1" customWidth="1"/>
    <col min="62" max="62" width="8.453125" style="3" customWidth="1"/>
    <col min="63" max="63" width="7.453125" style="3" customWidth="1"/>
    <col min="64" max="64" width="8.81640625" style="2"/>
    <col min="65" max="65" width="7" customWidth="1"/>
    <col min="66" max="66" width="9" bestFit="1" customWidth="1"/>
    <col min="67" max="67" width="13.81640625" style="1" customWidth="1"/>
    <col min="68" max="68" width="7.7265625" customWidth="1"/>
    <col min="69" max="70" width="5.7265625" customWidth="1"/>
    <col min="71" max="71" width="11.7265625" customWidth="1"/>
    <col min="72" max="72" width="8.7265625" customWidth="1"/>
    <col min="74" max="74" width="7.7265625" customWidth="1"/>
    <col min="75" max="75" width="9" bestFit="1" customWidth="1"/>
    <col min="76" max="76" width="8.453125" style="3" customWidth="1"/>
    <col min="77" max="77" width="7.54296875" style="3" customWidth="1"/>
    <col min="78" max="78" width="8.81640625" style="2"/>
    <col min="79" max="79" width="7" customWidth="1"/>
    <col min="80" max="80" width="9" bestFit="1" customWidth="1"/>
    <col min="81" max="81" width="13.81640625" style="1" customWidth="1"/>
    <col min="82" max="82" width="4.7265625" customWidth="1"/>
    <col min="83" max="84" width="5.7265625" customWidth="1"/>
    <col min="85" max="85" width="9.1796875" customWidth="1"/>
    <col min="86" max="86" width="8.7265625" customWidth="1"/>
    <col min="88" max="88" width="7.7265625" customWidth="1"/>
    <col min="89" max="89" width="8.81640625" customWidth="1"/>
    <col min="90" max="90" width="8.453125" style="3" customWidth="1"/>
    <col min="91" max="91" width="7.26953125" style="3" customWidth="1"/>
    <col min="92" max="92" width="8.81640625" style="2"/>
    <col min="93" max="93" width="7" customWidth="1"/>
    <col min="94" max="94" width="8.81640625" customWidth="1"/>
    <col min="95" max="95" width="13.81640625" style="1" customWidth="1"/>
    <col min="96" max="96" width="7.7265625" customWidth="1"/>
    <col min="97" max="98" width="5.7265625" customWidth="1"/>
    <col min="99" max="99" width="10.26953125" customWidth="1"/>
    <col min="100" max="100" width="8.7265625" customWidth="1"/>
    <col min="102" max="102" width="7.7265625" customWidth="1"/>
    <col min="103" max="103" width="11.453125" customWidth="1"/>
    <col min="104" max="104" width="8.453125" style="3" customWidth="1"/>
    <col min="105" max="105" width="7.7265625" style="3" customWidth="1"/>
    <col min="106" max="106" width="8.81640625" style="2"/>
    <col min="107" max="107" width="7" customWidth="1"/>
    <col min="108" max="108" width="9" bestFit="1" customWidth="1"/>
    <col min="109" max="109" width="13.81640625" style="1" customWidth="1"/>
    <col min="110" max="110" width="3.7265625" customWidth="1"/>
    <col min="111" max="112" width="5.7265625" customWidth="1"/>
    <col min="113" max="113" width="11.81640625" customWidth="1"/>
    <col min="114" max="114" width="8.7265625" customWidth="1"/>
    <col min="116" max="116" width="8.453125" customWidth="1"/>
    <col min="117" max="117" width="9" bestFit="1" customWidth="1"/>
    <col min="118" max="118" width="8.453125" style="3" customWidth="1"/>
    <col min="119" max="119" width="7.7265625" style="3" customWidth="1"/>
    <col min="120" max="120" width="8.81640625" style="2"/>
    <col min="121" max="121" width="7" customWidth="1"/>
    <col min="122" max="122" width="9" bestFit="1" customWidth="1"/>
    <col min="123" max="123" width="13.81640625" style="1" customWidth="1"/>
    <col min="124" max="124" width="4.90625" customWidth="1"/>
  </cols>
  <sheetData>
    <row r="1" spans="1:124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A1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A1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tr">
        <f>O1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 t="str">
        <f>A1</f>
        <v>WORKER WAGES - JUNE 26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50"/>
      <c r="BQ1" s="164" t="str">
        <f>A1</f>
        <v>WORKER WAGES - 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50"/>
      <c r="CE1" s="164" t="str">
        <f>$A$1</f>
        <v>WORKER WAGES - JUNE 26</v>
      </c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50"/>
      <c r="CS1" s="164" t="str">
        <f>$A$1</f>
        <v>WORKER WAGES - JUNE 26</v>
      </c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164"/>
      <c r="DF1" s="50"/>
      <c r="DG1" s="164" t="str">
        <f>$A$1</f>
        <v>WORKER WAGES - JUNE 26</v>
      </c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  <c r="DS1" s="164"/>
      <c r="DT1" s="50"/>
    </row>
    <row r="2" spans="1:124" s="78" customFormat="1" ht="39.75" customHeight="1" x14ac:dyDescent="0.35">
      <c r="A2" s="78" t="s">
        <v>20</v>
      </c>
      <c r="C2" s="79" t="s">
        <v>91</v>
      </c>
      <c r="D2" s="79"/>
      <c r="E2" s="79"/>
      <c r="F2" s="79"/>
      <c r="G2" s="79" t="s">
        <v>92</v>
      </c>
      <c r="H2" s="80"/>
      <c r="I2" s="80"/>
      <c r="J2" s="80"/>
      <c r="K2" s="80"/>
      <c r="L2" s="80"/>
      <c r="M2" s="80"/>
      <c r="O2" s="78" t="s">
        <v>20</v>
      </c>
      <c r="Q2" s="79" t="s">
        <v>40</v>
      </c>
      <c r="R2" s="79"/>
      <c r="S2" s="79"/>
      <c r="T2" s="79"/>
      <c r="U2" s="79" t="s">
        <v>39</v>
      </c>
      <c r="V2" s="80"/>
      <c r="W2" s="80"/>
      <c r="X2" s="80"/>
      <c r="Y2" s="80"/>
      <c r="Z2" s="80"/>
      <c r="AA2" s="80"/>
      <c r="AB2" s="78" t="s">
        <v>20</v>
      </c>
      <c r="AD2" s="79" t="s">
        <v>43</v>
      </c>
      <c r="AE2" s="79"/>
      <c r="AF2" s="79"/>
      <c r="AG2" s="79"/>
      <c r="AH2" s="79" t="s">
        <v>44</v>
      </c>
      <c r="AI2" s="80"/>
      <c r="AJ2" s="80"/>
      <c r="AK2" s="80"/>
      <c r="AL2" s="80"/>
      <c r="AM2" s="80"/>
      <c r="AN2" s="80"/>
      <c r="AP2" s="78" t="s">
        <v>20</v>
      </c>
      <c r="AR2" s="79" t="s">
        <v>47</v>
      </c>
      <c r="AS2" s="79"/>
      <c r="AT2" s="79"/>
      <c r="AU2" s="79"/>
      <c r="AV2" s="79" t="s">
        <v>48</v>
      </c>
      <c r="AW2" s="80"/>
      <c r="AX2" s="80"/>
      <c r="AY2" s="80"/>
      <c r="AZ2" s="80"/>
      <c r="BA2" s="80"/>
      <c r="BB2" s="80"/>
      <c r="BC2" s="78" t="s">
        <v>20</v>
      </c>
      <c r="BE2" s="79" t="s">
        <v>55</v>
      </c>
      <c r="BF2" s="79"/>
      <c r="BG2" s="79"/>
      <c r="BH2" s="79"/>
      <c r="BI2" s="79" t="s">
        <v>50</v>
      </c>
      <c r="BJ2" s="80"/>
      <c r="BK2" s="80"/>
      <c r="BL2" s="80"/>
      <c r="BM2" s="80"/>
      <c r="BN2" s="80"/>
      <c r="BO2" s="80"/>
      <c r="BQ2" s="78" t="s">
        <v>20</v>
      </c>
      <c r="BS2" s="79" t="s">
        <v>99</v>
      </c>
      <c r="BT2" s="79"/>
      <c r="BU2" s="79"/>
      <c r="BV2" s="79"/>
      <c r="BW2" s="79" t="s">
        <v>100</v>
      </c>
      <c r="BX2" s="80"/>
      <c r="BY2" s="80"/>
      <c r="BZ2" s="79"/>
      <c r="CA2" s="79"/>
      <c r="CB2" s="79"/>
      <c r="CC2" s="79"/>
      <c r="CE2" s="78" t="s">
        <v>20</v>
      </c>
      <c r="CG2" s="79" t="s">
        <v>101</v>
      </c>
      <c r="CH2" s="79"/>
      <c r="CI2" s="79"/>
      <c r="CJ2" s="79"/>
      <c r="CK2" s="79" t="s">
        <v>102</v>
      </c>
      <c r="CL2" s="80"/>
      <c r="CM2" s="80"/>
      <c r="CN2" s="79"/>
      <c r="CO2" s="79"/>
      <c r="CP2" s="79"/>
      <c r="CQ2" s="79"/>
      <c r="CS2" s="78" t="s">
        <v>20</v>
      </c>
      <c r="CU2" s="79" t="s">
        <v>103</v>
      </c>
      <c r="CV2" s="79"/>
      <c r="CW2" s="79"/>
      <c r="CX2" s="79"/>
      <c r="CY2" s="79"/>
      <c r="CZ2" s="80"/>
      <c r="DA2" s="79" t="s">
        <v>104</v>
      </c>
      <c r="DB2" s="79"/>
      <c r="DC2" s="79"/>
      <c r="DD2" s="79"/>
      <c r="DE2" s="79"/>
      <c r="DG2" s="78" t="s">
        <v>20</v>
      </c>
      <c r="DI2" s="79" t="s">
        <v>105</v>
      </c>
      <c r="DJ2" s="79"/>
      <c r="DK2" s="79"/>
      <c r="DL2" s="79"/>
      <c r="DM2" s="79" t="s">
        <v>106</v>
      </c>
      <c r="DN2" s="80"/>
      <c r="DO2" s="80"/>
      <c r="DP2" s="79"/>
      <c r="DQ2" s="79"/>
      <c r="DR2" s="79"/>
      <c r="DS2" s="79"/>
    </row>
    <row r="3" spans="1:124" ht="3" customHeight="1" x14ac:dyDescent="0.35"/>
    <row r="4" spans="1:124" x14ac:dyDescent="0.35">
      <c r="H4" s="6"/>
      <c r="I4" s="6"/>
      <c r="V4" s="6"/>
      <c r="W4" s="6"/>
      <c r="AI4" s="6"/>
      <c r="AJ4" s="6"/>
      <c r="AW4" s="6"/>
      <c r="AX4" s="6"/>
      <c r="BJ4" s="6"/>
      <c r="BK4" s="6"/>
      <c r="BX4" s="6"/>
      <c r="BY4" s="6"/>
      <c r="CL4" s="6"/>
      <c r="CM4" s="6"/>
      <c r="CZ4" s="6"/>
      <c r="DA4" s="6"/>
      <c r="DN4" s="6"/>
      <c r="DO4" s="6"/>
    </row>
    <row r="5" spans="1:124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10.316666666666668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25</v>
      </c>
      <c r="AE5" s="69" t="s">
        <v>22</v>
      </c>
      <c r="AF5" s="69"/>
      <c r="AG5" s="69" t="s">
        <v>23</v>
      </c>
      <c r="AH5" s="70">
        <f>SUM(AH47)</f>
        <v>0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C5" s="69" t="s">
        <v>49</v>
      </c>
      <c r="BD5" s="69"/>
      <c r="BE5" s="70">
        <f>SUM(BE47)</f>
        <v>25</v>
      </c>
      <c r="BF5" s="69" t="s">
        <v>22</v>
      </c>
      <c r="BG5" s="69"/>
      <c r="BH5" s="69" t="s">
        <v>23</v>
      </c>
      <c r="BI5" s="70">
        <f>SUM(BI47)</f>
        <v>0</v>
      </c>
      <c r="BJ5" s="71" t="s">
        <v>12</v>
      </c>
      <c r="BK5" s="71"/>
      <c r="BL5" s="72"/>
      <c r="BM5" s="69" t="s">
        <v>37</v>
      </c>
      <c r="BN5" s="70">
        <f>SUM(BL47)</f>
        <v>1</v>
      </c>
      <c r="BO5" s="73" t="s">
        <v>22</v>
      </c>
      <c r="BQ5" s="69" t="s">
        <v>49</v>
      </c>
      <c r="BR5" s="69"/>
      <c r="BS5" s="70">
        <f>SUM(BS47)</f>
        <v>24</v>
      </c>
      <c r="BT5" s="69" t="s">
        <v>22</v>
      </c>
      <c r="BU5" s="69"/>
      <c r="BV5" s="69" t="s">
        <v>23</v>
      </c>
      <c r="BW5" s="70">
        <f>SUM(BW47)</f>
        <v>0</v>
      </c>
      <c r="BX5" s="71" t="s">
        <v>12</v>
      </c>
      <c r="BY5" s="71"/>
      <c r="BZ5" s="72"/>
      <c r="CA5" s="69" t="s">
        <v>37</v>
      </c>
      <c r="CB5" s="70">
        <f>SUM(BZ47)</f>
        <v>1</v>
      </c>
      <c r="CC5" s="73" t="s">
        <v>22</v>
      </c>
      <c r="CE5" s="69" t="s">
        <v>49</v>
      </c>
      <c r="CF5" s="69"/>
      <c r="CG5" s="70">
        <f>SUM(CG47)</f>
        <v>25</v>
      </c>
      <c r="CH5" s="69" t="s">
        <v>22</v>
      </c>
      <c r="CI5" s="69"/>
      <c r="CJ5" s="69" t="s">
        <v>23</v>
      </c>
      <c r="CK5" s="70">
        <f>SUM(CK47)</f>
        <v>13.7</v>
      </c>
      <c r="CL5" s="71" t="s">
        <v>12</v>
      </c>
      <c r="CM5" s="71"/>
      <c r="CN5" s="72"/>
      <c r="CO5" s="69" t="s">
        <v>37</v>
      </c>
      <c r="CP5" s="70">
        <f>SUM(CN47)</f>
        <v>1</v>
      </c>
      <c r="CQ5" s="73" t="s">
        <v>22</v>
      </c>
      <c r="CS5" s="69" t="s">
        <v>49</v>
      </c>
      <c r="CT5" s="69"/>
      <c r="CU5" s="70">
        <f>SUM(CU47)</f>
        <v>25</v>
      </c>
      <c r="CV5" s="69" t="s">
        <v>22</v>
      </c>
      <c r="CW5" s="69"/>
      <c r="CX5" s="69" t="s">
        <v>23</v>
      </c>
      <c r="CY5" s="70">
        <f>SUM(CY47)</f>
        <v>10.583333333333329</v>
      </c>
      <c r="CZ5" s="71" t="s">
        <v>12</v>
      </c>
      <c r="DA5" s="71"/>
      <c r="DB5" s="72"/>
      <c r="DC5" s="69" t="s">
        <v>37</v>
      </c>
      <c r="DD5" s="70">
        <f>SUM(DB47)</f>
        <v>1</v>
      </c>
      <c r="DE5" s="73" t="s">
        <v>22</v>
      </c>
      <c r="DG5" s="69" t="s">
        <v>49</v>
      </c>
      <c r="DH5" s="69"/>
      <c r="DI5" s="70">
        <f>SUM(DI47)</f>
        <v>25</v>
      </c>
      <c r="DJ5" s="69" t="s">
        <v>22</v>
      </c>
      <c r="DK5" s="69"/>
      <c r="DL5" s="69" t="s">
        <v>23</v>
      </c>
      <c r="DM5" s="70">
        <f>SUM(DM47)</f>
        <v>7.3500000000000014</v>
      </c>
      <c r="DN5" s="71" t="s">
        <v>12</v>
      </c>
      <c r="DO5" s="71"/>
      <c r="DP5" s="72"/>
      <c r="DQ5" s="69" t="s">
        <v>37</v>
      </c>
      <c r="DR5" s="70">
        <f>SUM(DP47)</f>
        <v>1</v>
      </c>
      <c r="DS5" s="73" t="s">
        <v>22</v>
      </c>
    </row>
    <row r="6" spans="1:124" s="74" customFormat="1" ht="20.149999999999999" customHeight="1" x14ac:dyDescent="0.35">
      <c r="A6" s="69" t="s">
        <v>21</v>
      </c>
      <c r="B6" s="69"/>
      <c r="C6" s="75">
        <f>SUM(E47)</f>
        <v>73.150000000000034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8.0500000000000025</v>
      </c>
      <c r="M6" s="73" t="s">
        <v>12</v>
      </c>
      <c r="O6" s="69" t="s">
        <v>21</v>
      </c>
      <c r="P6" s="69"/>
      <c r="Q6" s="75">
        <f>SUM(S47)</f>
        <v>80.883333333333368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8.0500000000000025</v>
      </c>
      <c r="AA6" s="73" t="s">
        <v>12</v>
      </c>
      <c r="AB6" s="69" t="s">
        <v>21</v>
      </c>
      <c r="AC6" s="69"/>
      <c r="AD6" s="75">
        <f>SUM(AF47)</f>
        <v>80.883333333333368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8.0500000000000025</v>
      </c>
      <c r="AN6" s="73" t="s">
        <v>12</v>
      </c>
      <c r="AP6" s="69" t="s">
        <v>21</v>
      </c>
      <c r="AQ6" s="69"/>
      <c r="AR6" s="75">
        <f>SUM(AT47)</f>
        <v>80.883333333333368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10.350000000000001</v>
      </c>
      <c r="BB6" s="73" t="s">
        <v>12</v>
      </c>
      <c r="BC6" s="69" t="s">
        <v>21</v>
      </c>
      <c r="BD6" s="69"/>
      <c r="BE6" s="75">
        <f>SUM(BG47)</f>
        <v>80.883333333333368</v>
      </c>
      <c r="BF6" s="69" t="s">
        <v>12</v>
      </c>
      <c r="BG6" s="69"/>
      <c r="BH6" s="69"/>
      <c r="BI6" s="69"/>
      <c r="BJ6" s="76"/>
      <c r="BK6" s="76"/>
      <c r="BL6" s="72"/>
      <c r="BM6" s="69" t="s">
        <v>36</v>
      </c>
      <c r="BN6" s="77">
        <f>SUM(BN47)</f>
        <v>8.0500000000000025</v>
      </c>
      <c r="BO6" s="73" t="s">
        <v>12</v>
      </c>
      <c r="BQ6" s="69" t="s">
        <v>21</v>
      </c>
      <c r="BR6" s="69"/>
      <c r="BS6" s="75">
        <f>SUM(BU47)</f>
        <v>76.6666666666667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8.0500000000000025</v>
      </c>
      <c r="CC6" s="73" t="s">
        <v>12</v>
      </c>
      <c r="CE6" s="69" t="s">
        <v>21</v>
      </c>
      <c r="CF6" s="69"/>
      <c r="CG6" s="75">
        <f>SUM(CI47)</f>
        <v>80.883333333333368</v>
      </c>
      <c r="CH6" s="69" t="s">
        <v>12</v>
      </c>
      <c r="CI6" s="69"/>
      <c r="CJ6" s="69"/>
      <c r="CK6" s="69"/>
      <c r="CL6" s="76"/>
      <c r="CM6" s="76"/>
      <c r="CN6" s="72"/>
      <c r="CO6" s="69" t="s">
        <v>36</v>
      </c>
      <c r="CP6" s="77">
        <f>SUM(CP47)</f>
        <v>8.0500000000000025</v>
      </c>
      <c r="CQ6" s="73" t="s">
        <v>12</v>
      </c>
      <c r="CS6" s="69" t="s">
        <v>21</v>
      </c>
      <c r="CT6" s="69"/>
      <c r="CU6" s="75">
        <f>SUM(CW47)</f>
        <v>80.883333333333368</v>
      </c>
      <c r="CV6" s="69" t="s">
        <v>12</v>
      </c>
      <c r="CW6" s="69"/>
      <c r="CX6" s="69"/>
      <c r="CY6" s="69"/>
      <c r="CZ6" s="76"/>
      <c r="DA6" s="76"/>
      <c r="DB6" s="72"/>
      <c r="DC6" s="69" t="s">
        <v>36</v>
      </c>
      <c r="DD6" s="77">
        <f>SUM(DD47)</f>
        <v>10.666666666666664</v>
      </c>
      <c r="DE6" s="73" t="s">
        <v>12</v>
      </c>
      <c r="DG6" s="69" t="s">
        <v>21</v>
      </c>
      <c r="DH6" s="69"/>
      <c r="DI6" s="75">
        <f>SUM(DK47)</f>
        <v>80.883333333333368</v>
      </c>
      <c r="DJ6" s="69" t="s">
        <v>12</v>
      </c>
      <c r="DK6" s="69"/>
      <c r="DL6" s="69"/>
      <c r="DM6" s="69"/>
      <c r="DN6" s="76"/>
      <c r="DO6" s="76"/>
      <c r="DP6" s="72"/>
      <c r="DQ6" s="69" t="s">
        <v>36</v>
      </c>
      <c r="DR6" s="77">
        <f>SUM(DR47)</f>
        <v>8.0500000000000025</v>
      </c>
      <c r="DS6" s="73" t="s">
        <v>12</v>
      </c>
    </row>
    <row r="7" spans="1:124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C7" s="21"/>
      <c r="BD7" s="21"/>
      <c r="BE7" s="21"/>
      <c r="BF7" s="21"/>
      <c r="BG7" s="21"/>
      <c r="BH7" s="39" t="s">
        <v>59</v>
      </c>
      <c r="BI7" s="21"/>
      <c r="BJ7" s="22"/>
      <c r="BK7" s="33" t="s">
        <v>35</v>
      </c>
      <c r="BL7" s="38"/>
      <c r="BM7" s="21"/>
      <c r="BN7" s="39" t="s">
        <v>60</v>
      </c>
      <c r="BO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E7" s="21"/>
      <c r="CF7" s="21"/>
      <c r="CG7" s="21"/>
      <c r="CH7" s="21"/>
      <c r="CI7" s="21"/>
      <c r="CJ7" s="39" t="s">
        <v>59</v>
      </c>
      <c r="CK7" s="21"/>
      <c r="CL7" s="22"/>
      <c r="CM7" s="33" t="s">
        <v>35</v>
      </c>
      <c r="CN7" s="38"/>
      <c r="CO7" s="21"/>
      <c r="CP7" s="39" t="s">
        <v>60</v>
      </c>
      <c r="CQ7" s="38"/>
      <c r="CS7" s="21"/>
      <c r="CT7" s="21"/>
      <c r="CU7" s="21"/>
      <c r="CV7" s="21"/>
      <c r="CW7" s="21"/>
      <c r="CX7" s="39" t="s">
        <v>59</v>
      </c>
      <c r="CY7" s="21"/>
      <c r="CZ7" s="22"/>
      <c r="DA7" s="33" t="s">
        <v>35</v>
      </c>
      <c r="DB7" s="38"/>
      <c r="DC7" s="21"/>
      <c r="DD7" s="39" t="s">
        <v>60</v>
      </c>
      <c r="DE7" s="38"/>
      <c r="DG7" s="21"/>
      <c r="DH7" s="21"/>
      <c r="DI7" s="21"/>
      <c r="DJ7" s="21"/>
      <c r="DK7" s="21"/>
      <c r="DL7" s="39" t="s">
        <v>59</v>
      </c>
      <c r="DM7" s="21"/>
      <c r="DN7" s="22"/>
      <c r="DO7" s="33" t="s">
        <v>35</v>
      </c>
      <c r="DP7" s="38"/>
      <c r="DQ7" s="21"/>
      <c r="DR7" s="39" t="s">
        <v>60</v>
      </c>
      <c r="DS7" s="38"/>
    </row>
    <row r="8" spans="1:124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C8" s="165" t="s">
        <v>0</v>
      </c>
      <c r="BD8" s="166"/>
      <c r="BE8" s="42" t="s">
        <v>7</v>
      </c>
      <c r="BF8" s="42" t="s">
        <v>8</v>
      </c>
      <c r="BG8" s="42" t="s">
        <v>7</v>
      </c>
      <c r="BH8" s="42" t="s">
        <v>8</v>
      </c>
      <c r="BI8" s="83" t="s">
        <v>9</v>
      </c>
      <c r="BJ8" s="23" t="s">
        <v>10</v>
      </c>
      <c r="BK8" s="34" t="s">
        <v>34</v>
      </c>
      <c r="BL8" s="83" t="s">
        <v>11</v>
      </c>
      <c r="BM8" s="42" t="s">
        <v>13</v>
      </c>
      <c r="BN8" s="83" t="s">
        <v>14</v>
      </c>
      <c r="BO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E8" s="165" t="s">
        <v>0</v>
      </c>
      <c r="CF8" s="166"/>
      <c r="CG8" s="42" t="s">
        <v>7</v>
      </c>
      <c r="CH8" s="42" t="s">
        <v>8</v>
      </c>
      <c r="CI8" s="42" t="s">
        <v>7</v>
      </c>
      <c r="CJ8" s="42" t="s">
        <v>8</v>
      </c>
      <c r="CK8" s="83" t="s">
        <v>9</v>
      </c>
      <c r="CL8" s="23" t="s">
        <v>10</v>
      </c>
      <c r="CM8" s="34" t="s">
        <v>34</v>
      </c>
      <c r="CN8" s="83" t="s">
        <v>11</v>
      </c>
      <c r="CO8" s="42" t="s">
        <v>13</v>
      </c>
      <c r="CP8" s="83" t="s">
        <v>14</v>
      </c>
      <c r="CQ8" s="42" t="s">
        <v>15</v>
      </c>
      <c r="CS8" s="165" t="s">
        <v>0</v>
      </c>
      <c r="CT8" s="166"/>
      <c r="CU8" s="42" t="s">
        <v>7</v>
      </c>
      <c r="CV8" s="42" t="s">
        <v>8</v>
      </c>
      <c r="CW8" s="42" t="s">
        <v>7</v>
      </c>
      <c r="CX8" s="42" t="s">
        <v>8</v>
      </c>
      <c r="CY8" s="83" t="s">
        <v>9</v>
      </c>
      <c r="CZ8" s="23" t="s">
        <v>10</v>
      </c>
      <c r="DA8" s="34" t="s">
        <v>34</v>
      </c>
      <c r="DB8" s="83" t="s">
        <v>11</v>
      </c>
      <c r="DC8" s="42" t="s">
        <v>13</v>
      </c>
      <c r="DD8" s="83" t="s">
        <v>14</v>
      </c>
      <c r="DE8" s="42" t="s">
        <v>15</v>
      </c>
      <c r="DG8" s="165" t="s">
        <v>0</v>
      </c>
      <c r="DH8" s="166"/>
      <c r="DI8" s="42" t="s">
        <v>7</v>
      </c>
      <c r="DJ8" s="42" t="s">
        <v>8</v>
      </c>
      <c r="DK8" s="42" t="s">
        <v>7</v>
      </c>
      <c r="DL8" s="42" t="s">
        <v>8</v>
      </c>
      <c r="DM8" s="83" t="s">
        <v>9</v>
      </c>
      <c r="DN8" s="23" t="s">
        <v>10</v>
      </c>
      <c r="DO8" s="34" t="s">
        <v>34</v>
      </c>
      <c r="DP8" s="83" t="s">
        <v>11</v>
      </c>
      <c r="DQ8" s="42" t="s">
        <v>13</v>
      </c>
      <c r="DR8" s="83" t="s">
        <v>14</v>
      </c>
      <c r="DS8" s="42" t="s">
        <v>15</v>
      </c>
    </row>
    <row r="9" spans="1:124" ht="17.149999999999999" customHeight="1" x14ac:dyDescent="0.35">
      <c r="A9" s="88" t="s">
        <v>216</v>
      </c>
      <c r="B9" s="88">
        <v>1</v>
      </c>
      <c r="C9" s="89">
        <v>11.1</v>
      </c>
      <c r="D9" s="138"/>
      <c r="E9" s="138">
        <v>0</v>
      </c>
      <c r="F9" s="89">
        <v>20.53</v>
      </c>
      <c r="G9" s="89">
        <f t="shared" ref="G9:G38" si="0">SUM(D9-C9)+(F9-E9)</f>
        <v>9.4300000000000015</v>
      </c>
      <c r="H9" s="90"/>
      <c r="I9" s="89">
        <v>1.4</v>
      </c>
      <c r="J9" s="91">
        <f t="shared" ref="J9:J38" si="1">SUM((G9-H9)-I9)</f>
        <v>8.0300000000000011</v>
      </c>
      <c r="K9" s="88">
        <v>8</v>
      </c>
      <c r="L9" s="88">
        <f t="shared" ref="L9:L38" si="2">SUM(J9-K9)*100</f>
        <v>3.0000000000001137</v>
      </c>
      <c r="M9" s="134"/>
      <c r="O9" s="88" t="s">
        <v>216</v>
      </c>
      <c r="P9" s="88">
        <v>1</v>
      </c>
      <c r="Q9" s="89">
        <v>11.1</v>
      </c>
      <c r="R9" s="138"/>
      <c r="S9" s="138">
        <v>0</v>
      </c>
      <c r="T9" s="89">
        <v>20.53</v>
      </c>
      <c r="U9" s="89">
        <f t="shared" ref="U9:U38" si="3">SUM(R9-Q9)+(T9-S9)</f>
        <v>9.4300000000000015</v>
      </c>
      <c r="V9" s="90"/>
      <c r="W9" s="89">
        <v>1.4</v>
      </c>
      <c r="X9" s="91">
        <f t="shared" ref="X9:X38" si="4">SUM((U9-V9)-W9)</f>
        <v>8.0300000000000011</v>
      </c>
      <c r="Y9" s="88">
        <v>8</v>
      </c>
      <c r="Z9" s="88">
        <f t="shared" ref="Z9:Z38" si="5">SUM(X9-Y9)*100</f>
        <v>3.0000000000001137</v>
      </c>
      <c r="AA9" s="134"/>
      <c r="AB9" s="88" t="s">
        <v>216</v>
      </c>
      <c r="AC9" s="88">
        <v>1</v>
      </c>
      <c r="AD9" s="89">
        <v>11.1</v>
      </c>
      <c r="AE9" s="138"/>
      <c r="AF9" s="138">
        <v>0</v>
      </c>
      <c r="AG9" s="89">
        <v>20.53</v>
      </c>
      <c r="AH9" s="89">
        <f t="shared" ref="AH9:AH38" si="6">SUM(AE9-AD9)+(AG9-AF9)</f>
        <v>9.4300000000000015</v>
      </c>
      <c r="AI9" s="90"/>
      <c r="AJ9" s="89">
        <v>1.4</v>
      </c>
      <c r="AK9" s="91">
        <f t="shared" ref="AK9:AK38" si="7">SUM((AH9-AI9)-AJ9)</f>
        <v>8.0300000000000011</v>
      </c>
      <c r="AL9" s="88">
        <v>8</v>
      </c>
      <c r="AM9" s="88">
        <f t="shared" ref="AM9:AM38" si="8">SUM(AK9-AL9)*100</f>
        <v>3.0000000000001137</v>
      </c>
      <c r="AN9" s="134"/>
      <c r="AP9" s="88" t="s">
        <v>216</v>
      </c>
      <c r="AQ9" s="88">
        <v>1</v>
      </c>
      <c r="AR9" s="89">
        <v>11.1</v>
      </c>
      <c r="AS9" s="138"/>
      <c r="AT9" s="138">
        <v>0</v>
      </c>
      <c r="AU9" s="89">
        <v>22.71</v>
      </c>
      <c r="AV9" s="89">
        <f t="shared" ref="AV9:AV38" si="9">SUM(AS9-AR9)+(AU9-AT9)</f>
        <v>11.610000000000001</v>
      </c>
      <c r="AW9" s="90"/>
      <c r="AX9" s="89">
        <v>1.4</v>
      </c>
      <c r="AY9" s="91">
        <f t="shared" ref="AY9:AY38" si="10">SUM((AV9-AW9)-AX9)</f>
        <v>10.210000000000001</v>
      </c>
      <c r="AZ9" s="88">
        <v>10</v>
      </c>
      <c r="BA9" s="88">
        <f t="shared" ref="BA9:BA38" si="11">SUM(AY9-AZ9)*100</f>
        <v>21.000000000000085</v>
      </c>
      <c r="BB9" s="134"/>
      <c r="BC9" s="88" t="s">
        <v>216</v>
      </c>
      <c r="BD9" s="88">
        <v>1</v>
      </c>
      <c r="BE9" s="89">
        <v>11.1</v>
      </c>
      <c r="BF9" s="138"/>
      <c r="BG9" s="138">
        <v>0</v>
      </c>
      <c r="BH9" s="89">
        <v>20.53</v>
      </c>
      <c r="BI9" s="89">
        <f t="shared" ref="BI9:BI38" si="12">SUM(BF9-BE9)+(BH9-BG9)</f>
        <v>9.4300000000000015</v>
      </c>
      <c r="BJ9" s="90"/>
      <c r="BK9" s="89">
        <v>1.4</v>
      </c>
      <c r="BL9" s="91">
        <f t="shared" ref="BL9:BL38" si="13">SUM((BI9-BJ9)-BK9)</f>
        <v>8.0300000000000011</v>
      </c>
      <c r="BM9" s="88">
        <v>8</v>
      </c>
      <c r="BN9" s="88">
        <f t="shared" ref="BN9:BN38" si="14">SUM(BL9-BM9)*100</f>
        <v>3.0000000000001137</v>
      </c>
      <c r="BO9" s="134"/>
      <c r="BQ9" s="88" t="s">
        <v>216</v>
      </c>
      <c r="BR9" s="88">
        <v>1</v>
      </c>
      <c r="BS9" s="89">
        <v>11.1</v>
      </c>
      <c r="BT9" s="138"/>
      <c r="BU9" s="138">
        <v>0</v>
      </c>
      <c r="BV9" s="89">
        <v>20.53</v>
      </c>
      <c r="BW9" s="89">
        <f t="shared" ref="BW9:BW38" si="15">SUM(BT9-BS9)+(BV9-BU9)</f>
        <v>9.4300000000000015</v>
      </c>
      <c r="BX9" s="90"/>
      <c r="BY9" s="89">
        <v>1.4</v>
      </c>
      <c r="BZ9" s="91">
        <f t="shared" ref="BZ9:BZ38" si="16">SUM((BW9-BX9)-BY9)</f>
        <v>8.0300000000000011</v>
      </c>
      <c r="CA9" s="88">
        <v>8</v>
      </c>
      <c r="CB9" s="88">
        <f t="shared" ref="CB9:CB38" si="17">SUM(BZ9-CA9)*100</f>
        <v>3.0000000000001137</v>
      </c>
      <c r="CC9" s="134"/>
      <c r="CE9" s="88" t="s">
        <v>216</v>
      </c>
      <c r="CF9" s="88">
        <v>1</v>
      </c>
      <c r="CG9" s="89">
        <v>11.1</v>
      </c>
      <c r="CH9" s="138"/>
      <c r="CI9" s="138">
        <v>0</v>
      </c>
      <c r="CJ9" s="89">
        <v>20.53</v>
      </c>
      <c r="CK9" s="89">
        <f t="shared" ref="CK9:CK38" si="18">SUM(CH9-CG9)+(CJ9-CI9)</f>
        <v>9.4300000000000015</v>
      </c>
      <c r="CL9" s="90"/>
      <c r="CM9" s="89">
        <v>1.4</v>
      </c>
      <c r="CN9" s="91">
        <f t="shared" ref="CN9:CN38" si="19">SUM((CK9-CL9)-CM9)</f>
        <v>8.0300000000000011</v>
      </c>
      <c r="CO9" s="88">
        <v>8</v>
      </c>
      <c r="CP9" s="88">
        <f t="shared" ref="CP9:CP38" si="20">SUM(CN9-CO9)*100</f>
        <v>3.0000000000001137</v>
      </c>
      <c r="CQ9" s="134"/>
      <c r="CS9" s="88" t="s">
        <v>216</v>
      </c>
      <c r="CT9" s="88">
        <v>1</v>
      </c>
      <c r="CU9" s="89">
        <v>11.1</v>
      </c>
      <c r="CV9" s="138"/>
      <c r="CW9" s="138">
        <v>0</v>
      </c>
      <c r="CX9" s="89">
        <v>22.9</v>
      </c>
      <c r="CY9" s="89">
        <f t="shared" ref="CY9:CY38" si="21">SUM(CV9-CU9)+(CX9-CW9)</f>
        <v>11.799999999999999</v>
      </c>
      <c r="CZ9" s="90"/>
      <c r="DA9" s="89">
        <v>1.4</v>
      </c>
      <c r="DB9" s="91">
        <f t="shared" ref="DB9:DB38" si="22">SUM((CY9-CZ9)-DA9)</f>
        <v>10.399999999999999</v>
      </c>
      <c r="DC9" s="88">
        <v>10</v>
      </c>
      <c r="DD9" s="88">
        <f t="shared" ref="DD9:DD38" si="23">SUM(DB9-DC9)*100</f>
        <v>39.999999999999858</v>
      </c>
      <c r="DE9" s="134"/>
      <c r="DG9" s="88" t="s">
        <v>216</v>
      </c>
      <c r="DH9" s="88">
        <v>1</v>
      </c>
      <c r="DI9" s="89">
        <v>11.1</v>
      </c>
      <c r="DJ9" s="138"/>
      <c r="DK9" s="138">
        <v>0</v>
      </c>
      <c r="DL9" s="89">
        <v>20.53</v>
      </c>
      <c r="DM9" s="89">
        <f t="shared" ref="DM9:DM38" si="24">SUM(DJ9-DI9)+(DL9-DK9)</f>
        <v>9.4300000000000015</v>
      </c>
      <c r="DN9" s="90"/>
      <c r="DO9" s="89">
        <v>1.4</v>
      </c>
      <c r="DP9" s="91">
        <f t="shared" ref="DP9:DP38" si="25">SUM((DM9-DN9)-DO9)</f>
        <v>8.0300000000000011</v>
      </c>
      <c r="DQ9" s="88">
        <v>8</v>
      </c>
      <c r="DR9" s="88">
        <f t="shared" ref="DR9:DR38" si="26">SUM(DP9-DQ9)*100</f>
        <v>3.0000000000001137</v>
      </c>
      <c r="DS9" s="134"/>
    </row>
    <row r="10" spans="1:124" s="54" customFormat="1" ht="17.149999999999999" customHeight="1" x14ac:dyDescent="0.35">
      <c r="A10" s="86" t="s">
        <v>2</v>
      </c>
      <c r="B10" s="86">
        <v>2</v>
      </c>
      <c r="C10" s="58">
        <v>11.1</v>
      </c>
      <c r="D10" s="96"/>
      <c r="E10" s="96"/>
      <c r="F10" s="53">
        <v>22.71</v>
      </c>
      <c r="G10" s="58">
        <f t="shared" si="0"/>
        <v>11.610000000000001</v>
      </c>
      <c r="H10" s="97">
        <v>7.3</v>
      </c>
      <c r="I10" s="58">
        <v>1</v>
      </c>
      <c r="J10" s="59">
        <f t="shared" si="1"/>
        <v>3.3100000000000014</v>
      </c>
      <c r="K10" s="86">
        <v>3</v>
      </c>
      <c r="L10" s="86">
        <f t="shared" si="2"/>
        <v>31.000000000000139</v>
      </c>
      <c r="M10" s="98"/>
      <c r="N10"/>
      <c r="O10" s="86" t="s">
        <v>2</v>
      </c>
      <c r="P10" s="86">
        <v>2</v>
      </c>
      <c r="Q10" s="58">
        <v>11.1</v>
      </c>
      <c r="R10" s="96"/>
      <c r="S10" s="96"/>
      <c r="T10" s="53">
        <v>22.71</v>
      </c>
      <c r="U10" s="58">
        <f t="shared" si="3"/>
        <v>11.610000000000001</v>
      </c>
      <c r="V10" s="97">
        <v>7.3</v>
      </c>
      <c r="W10" s="58">
        <v>1</v>
      </c>
      <c r="X10" s="59">
        <f t="shared" si="4"/>
        <v>3.3100000000000014</v>
      </c>
      <c r="Y10" s="86">
        <v>3</v>
      </c>
      <c r="Z10" s="86">
        <f t="shared" si="5"/>
        <v>31.000000000000139</v>
      </c>
      <c r="AA10" s="98"/>
      <c r="AB10" s="86" t="s">
        <v>2</v>
      </c>
      <c r="AC10" s="86">
        <v>2</v>
      </c>
      <c r="AD10" s="58">
        <v>11.1</v>
      </c>
      <c r="AE10" s="96"/>
      <c r="AF10" s="96"/>
      <c r="AG10" s="53">
        <v>22.71</v>
      </c>
      <c r="AH10" s="58">
        <f t="shared" si="6"/>
        <v>11.610000000000001</v>
      </c>
      <c r="AI10" s="97">
        <v>7.3</v>
      </c>
      <c r="AJ10" s="58">
        <v>1</v>
      </c>
      <c r="AK10" s="59">
        <f t="shared" si="7"/>
        <v>3.3100000000000014</v>
      </c>
      <c r="AL10" s="86">
        <v>3</v>
      </c>
      <c r="AM10" s="86">
        <f t="shared" si="8"/>
        <v>31.000000000000139</v>
      </c>
      <c r="AN10" s="98"/>
      <c r="AO10"/>
      <c r="AP10" s="86" t="s">
        <v>2</v>
      </c>
      <c r="AQ10" s="86">
        <v>2</v>
      </c>
      <c r="AR10" s="58">
        <v>11.1</v>
      </c>
      <c r="AS10" s="96"/>
      <c r="AT10" s="96"/>
      <c r="AU10" s="53">
        <v>22.71</v>
      </c>
      <c r="AV10" s="58">
        <f t="shared" si="9"/>
        <v>11.610000000000001</v>
      </c>
      <c r="AW10" s="97">
        <v>7.3</v>
      </c>
      <c r="AX10" s="58">
        <v>1</v>
      </c>
      <c r="AY10" s="59">
        <f t="shared" si="10"/>
        <v>3.3100000000000014</v>
      </c>
      <c r="AZ10" s="86">
        <v>3</v>
      </c>
      <c r="BA10" s="86">
        <f t="shared" si="11"/>
        <v>31.000000000000139</v>
      </c>
      <c r="BB10" s="98"/>
      <c r="BC10" s="86" t="s">
        <v>2</v>
      </c>
      <c r="BD10" s="86">
        <v>2</v>
      </c>
      <c r="BE10" s="58">
        <v>11.1</v>
      </c>
      <c r="BF10" s="96"/>
      <c r="BG10" s="96"/>
      <c r="BH10" s="53">
        <v>22.71</v>
      </c>
      <c r="BI10" s="58">
        <f t="shared" si="12"/>
        <v>11.610000000000001</v>
      </c>
      <c r="BJ10" s="97">
        <v>7.3</v>
      </c>
      <c r="BK10" s="58">
        <v>1</v>
      </c>
      <c r="BL10" s="59">
        <f t="shared" si="13"/>
        <v>3.3100000000000014</v>
      </c>
      <c r="BM10" s="86">
        <v>3</v>
      </c>
      <c r="BN10" s="86">
        <f t="shared" si="14"/>
        <v>31.000000000000139</v>
      </c>
      <c r="BO10" s="98"/>
      <c r="BP10"/>
      <c r="BQ10" s="86" t="s">
        <v>2</v>
      </c>
      <c r="BR10" s="86">
        <v>2</v>
      </c>
      <c r="BS10" s="58">
        <v>11.1</v>
      </c>
      <c r="BT10" s="96"/>
      <c r="BU10" s="96"/>
      <c r="BV10" s="53">
        <v>22.71</v>
      </c>
      <c r="BW10" s="58">
        <f t="shared" si="15"/>
        <v>11.610000000000001</v>
      </c>
      <c r="BX10" s="97">
        <v>7.3</v>
      </c>
      <c r="BY10" s="58">
        <v>1</v>
      </c>
      <c r="BZ10" s="59">
        <f t="shared" si="16"/>
        <v>3.3100000000000014</v>
      </c>
      <c r="CA10" s="86">
        <v>3</v>
      </c>
      <c r="CB10" s="86">
        <f t="shared" si="17"/>
        <v>31.000000000000139</v>
      </c>
      <c r="CC10" s="98"/>
      <c r="CD10"/>
      <c r="CE10" s="86" t="s">
        <v>2</v>
      </c>
      <c r="CF10" s="86">
        <v>2</v>
      </c>
      <c r="CG10" s="58">
        <v>11.1</v>
      </c>
      <c r="CH10" s="96"/>
      <c r="CI10" s="96"/>
      <c r="CJ10" s="53">
        <v>22.71</v>
      </c>
      <c r="CK10" s="58">
        <f t="shared" si="18"/>
        <v>11.610000000000001</v>
      </c>
      <c r="CL10" s="97">
        <v>7.3</v>
      </c>
      <c r="CM10" s="58">
        <v>1</v>
      </c>
      <c r="CN10" s="59">
        <f t="shared" si="19"/>
        <v>3.3100000000000014</v>
      </c>
      <c r="CO10" s="86">
        <v>3</v>
      </c>
      <c r="CP10" s="86">
        <f t="shared" si="20"/>
        <v>31.000000000000139</v>
      </c>
      <c r="CQ10" s="98"/>
      <c r="CR10"/>
      <c r="CS10" s="86" t="s">
        <v>2</v>
      </c>
      <c r="CT10" s="86">
        <v>2</v>
      </c>
      <c r="CU10" s="58">
        <v>11.1</v>
      </c>
      <c r="CV10" s="96"/>
      <c r="CW10" s="96"/>
      <c r="CX10" s="53">
        <v>22.71</v>
      </c>
      <c r="CY10" s="58">
        <f t="shared" si="21"/>
        <v>11.610000000000001</v>
      </c>
      <c r="CZ10" s="97">
        <v>7.3</v>
      </c>
      <c r="DA10" s="58">
        <v>1</v>
      </c>
      <c r="DB10" s="59">
        <f t="shared" si="22"/>
        <v>3.3100000000000014</v>
      </c>
      <c r="DC10" s="86">
        <v>3</v>
      </c>
      <c r="DD10" s="86">
        <f t="shared" si="23"/>
        <v>31.000000000000139</v>
      </c>
      <c r="DE10" s="98"/>
      <c r="DF10"/>
      <c r="DG10" s="86" t="s">
        <v>2</v>
      </c>
      <c r="DH10" s="86">
        <v>2</v>
      </c>
      <c r="DI10" s="58">
        <v>11.1</v>
      </c>
      <c r="DJ10" s="96"/>
      <c r="DK10" s="96"/>
      <c r="DL10" s="53">
        <v>22.71</v>
      </c>
      <c r="DM10" s="58">
        <f t="shared" si="24"/>
        <v>11.610000000000001</v>
      </c>
      <c r="DN10" s="97">
        <v>7.3</v>
      </c>
      <c r="DO10" s="58">
        <v>1</v>
      </c>
      <c r="DP10" s="59">
        <f t="shared" si="25"/>
        <v>3.3100000000000014</v>
      </c>
      <c r="DQ10" s="86">
        <v>3</v>
      </c>
      <c r="DR10" s="86">
        <f t="shared" si="26"/>
        <v>31.000000000000139</v>
      </c>
      <c r="DS10" s="98"/>
      <c r="DT10"/>
    </row>
    <row r="11" spans="1:124" s="54" customFormat="1" ht="17.149999999999999" customHeight="1" x14ac:dyDescent="0.35">
      <c r="A11" s="86" t="s">
        <v>3</v>
      </c>
      <c r="B11" s="86">
        <v>3</v>
      </c>
      <c r="C11" s="58">
        <v>11.1</v>
      </c>
      <c r="D11" s="96"/>
      <c r="E11" s="96"/>
      <c r="F11" s="53">
        <v>24.65</v>
      </c>
      <c r="G11" s="58">
        <f t="shared" si="0"/>
        <v>13.549999999999999</v>
      </c>
      <c r="H11" s="97">
        <v>7.3</v>
      </c>
      <c r="I11" s="58">
        <v>1</v>
      </c>
      <c r="J11" s="59">
        <f t="shared" si="1"/>
        <v>5.2499999999999991</v>
      </c>
      <c r="K11" s="86">
        <v>5</v>
      </c>
      <c r="L11" s="86">
        <f t="shared" si="2"/>
        <v>24.999999999999911</v>
      </c>
      <c r="M11" s="87"/>
      <c r="N11"/>
      <c r="O11" s="86" t="s">
        <v>3</v>
      </c>
      <c r="P11" s="86">
        <v>3</v>
      </c>
      <c r="Q11" s="58">
        <v>11.1</v>
      </c>
      <c r="R11" s="96"/>
      <c r="S11" s="96"/>
      <c r="T11" s="53">
        <v>24.65</v>
      </c>
      <c r="U11" s="58">
        <f t="shared" si="3"/>
        <v>13.549999999999999</v>
      </c>
      <c r="V11" s="97">
        <v>7.3</v>
      </c>
      <c r="W11" s="58">
        <v>1</v>
      </c>
      <c r="X11" s="59">
        <f t="shared" si="4"/>
        <v>5.2499999999999991</v>
      </c>
      <c r="Y11" s="86">
        <v>5</v>
      </c>
      <c r="Z11" s="86">
        <f t="shared" si="5"/>
        <v>24.999999999999911</v>
      </c>
      <c r="AA11" s="87"/>
      <c r="AB11" s="86" t="s">
        <v>3</v>
      </c>
      <c r="AC11" s="86">
        <v>3</v>
      </c>
      <c r="AD11" s="58">
        <v>11.1</v>
      </c>
      <c r="AE11" s="96"/>
      <c r="AF11" s="96"/>
      <c r="AG11" s="53">
        <v>24.65</v>
      </c>
      <c r="AH11" s="58">
        <f t="shared" si="6"/>
        <v>13.549999999999999</v>
      </c>
      <c r="AI11" s="97">
        <v>7.3</v>
      </c>
      <c r="AJ11" s="58">
        <v>1</v>
      </c>
      <c r="AK11" s="59">
        <f t="shared" si="7"/>
        <v>5.2499999999999991</v>
      </c>
      <c r="AL11" s="86">
        <v>5</v>
      </c>
      <c r="AM11" s="86">
        <f t="shared" si="8"/>
        <v>24.999999999999911</v>
      </c>
      <c r="AN11" s="87"/>
      <c r="AO11"/>
      <c r="AP11" s="86" t="s">
        <v>3</v>
      </c>
      <c r="AQ11" s="86">
        <v>3</v>
      </c>
      <c r="AR11" s="58">
        <v>11.1</v>
      </c>
      <c r="AS11" s="96"/>
      <c r="AT11" s="96"/>
      <c r="AU11" s="53">
        <v>24.65</v>
      </c>
      <c r="AV11" s="58">
        <f t="shared" si="9"/>
        <v>13.549999999999999</v>
      </c>
      <c r="AW11" s="97">
        <v>7.3</v>
      </c>
      <c r="AX11" s="58">
        <v>1</v>
      </c>
      <c r="AY11" s="59">
        <f t="shared" si="10"/>
        <v>5.2499999999999991</v>
      </c>
      <c r="AZ11" s="86">
        <v>5</v>
      </c>
      <c r="BA11" s="86">
        <f t="shared" si="11"/>
        <v>24.999999999999911</v>
      </c>
      <c r="BB11" s="87"/>
      <c r="BC11" s="86" t="s">
        <v>3</v>
      </c>
      <c r="BD11" s="86">
        <v>3</v>
      </c>
      <c r="BE11" s="58">
        <v>11.1</v>
      </c>
      <c r="BF11" s="96"/>
      <c r="BG11" s="96"/>
      <c r="BH11" s="53">
        <v>24.65</v>
      </c>
      <c r="BI11" s="58">
        <f t="shared" si="12"/>
        <v>13.549999999999999</v>
      </c>
      <c r="BJ11" s="97">
        <v>7.3</v>
      </c>
      <c r="BK11" s="58">
        <v>1</v>
      </c>
      <c r="BL11" s="59">
        <f t="shared" si="13"/>
        <v>5.2499999999999991</v>
      </c>
      <c r="BM11" s="86">
        <v>5</v>
      </c>
      <c r="BN11" s="86">
        <f t="shared" si="14"/>
        <v>24.999999999999911</v>
      </c>
      <c r="BO11" s="87"/>
      <c r="BP11"/>
      <c r="BQ11" s="86" t="s">
        <v>3</v>
      </c>
      <c r="BR11" s="86">
        <v>3</v>
      </c>
      <c r="BS11" s="58">
        <v>11.1</v>
      </c>
      <c r="BT11" s="96"/>
      <c r="BU11" s="96"/>
      <c r="BV11" s="53">
        <v>24.65</v>
      </c>
      <c r="BW11" s="58">
        <f t="shared" si="15"/>
        <v>13.549999999999999</v>
      </c>
      <c r="BX11" s="97">
        <v>7.3</v>
      </c>
      <c r="BY11" s="58">
        <v>1</v>
      </c>
      <c r="BZ11" s="59">
        <f t="shared" si="16"/>
        <v>5.2499999999999991</v>
      </c>
      <c r="CA11" s="86">
        <v>5</v>
      </c>
      <c r="CB11" s="86">
        <f t="shared" si="17"/>
        <v>24.999999999999911</v>
      </c>
      <c r="CC11" s="87"/>
      <c r="CD11"/>
      <c r="CE11" s="86" t="s">
        <v>3</v>
      </c>
      <c r="CF11" s="86">
        <v>3</v>
      </c>
      <c r="CG11" s="58">
        <v>11.1</v>
      </c>
      <c r="CH11" s="96"/>
      <c r="CI11" s="96"/>
      <c r="CJ11" s="53">
        <v>24.65</v>
      </c>
      <c r="CK11" s="58">
        <f t="shared" si="18"/>
        <v>13.549999999999999</v>
      </c>
      <c r="CL11" s="97">
        <v>7.3</v>
      </c>
      <c r="CM11" s="58">
        <v>1</v>
      </c>
      <c r="CN11" s="59">
        <f t="shared" si="19"/>
        <v>5.2499999999999991</v>
      </c>
      <c r="CO11" s="86">
        <v>5</v>
      </c>
      <c r="CP11" s="86">
        <f t="shared" si="20"/>
        <v>24.999999999999911</v>
      </c>
      <c r="CQ11" s="87"/>
      <c r="CR11"/>
      <c r="CS11" s="86" t="s">
        <v>3</v>
      </c>
      <c r="CT11" s="86">
        <v>3</v>
      </c>
      <c r="CU11" s="58">
        <v>11.1</v>
      </c>
      <c r="CV11" s="96"/>
      <c r="CW11" s="96"/>
      <c r="CX11" s="53">
        <v>24.65</v>
      </c>
      <c r="CY11" s="58">
        <f t="shared" si="21"/>
        <v>13.549999999999999</v>
      </c>
      <c r="CZ11" s="97">
        <v>7.3</v>
      </c>
      <c r="DA11" s="58">
        <v>1</v>
      </c>
      <c r="DB11" s="59">
        <f t="shared" si="22"/>
        <v>5.2499999999999991</v>
      </c>
      <c r="DC11" s="86">
        <v>5</v>
      </c>
      <c r="DD11" s="86">
        <f t="shared" si="23"/>
        <v>24.999999999999911</v>
      </c>
      <c r="DE11" s="87"/>
      <c r="DF11"/>
      <c r="DG11" s="86" t="s">
        <v>3</v>
      </c>
      <c r="DH11" s="86">
        <v>3</v>
      </c>
      <c r="DI11" s="58">
        <v>11.1</v>
      </c>
      <c r="DJ11" s="96"/>
      <c r="DK11" s="96"/>
      <c r="DL11" s="53">
        <v>24.65</v>
      </c>
      <c r="DM11" s="58">
        <f t="shared" si="24"/>
        <v>13.549999999999999</v>
      </c>
      <c r="DN11" s="97">
        <v>7.3</v>
      </c>
      <c r="DO11" s="58">
        <v>1</v>
      </c>
      <c r="DP11" s="59">
        <f t="shared" si="25"/>
        <v>5.2499999999999991</v>
      </c>
      <c r="DQ11" s="86">
        <v>5</v>
      </c>
      <c r="DR11" s="86">
        <f t="shared" si="26"/>
        <v>24.999999999999911</v>
      </c>
      <c r="DS11" s="87"/>
      <c r="DT11"/>
    </row>
    <row r="12" spans="1:124" ht="17.149999999999999" customHeight="1" x14ac:dyDescent="0.35">
      <c r="A12" s="86" t="s">
        <v>4</v>
      </c>
      <c r="B12" s="86">
        <v>4</v>
      </c>
      <c r="C12" s="58">
        <v>11.1</v>
      </c>
      <c r="D12" s="96"/>
      <c r="E12" s="96"/>
      <c r="F12" s="53">
        <v>23.63</v>
      </c>
      <c r="G12" s="58">
        <f t="shared" si="0"/>
        <v>12.53</v>
      </c>
      <c r="H12" s="97">
        <v>7.3</v>
      </c>
      <c r="I12" s="58">
        <v>1</v>
      </c>
      <c r="J12" s="59">
        <f t="shared" si="1"/>
        <v>4.2299999999999995</v>
      </c>
      <c r="K12" s="86">
        <v>4</v>
      </c>
      <c r="L12" s="86">
        <f t="shared" si="2"/>
        <v>22.999999999999954</v>
      </c>
      <c r="M12" s="98"/>
      <c r="O12" s="86" t="s">
        <v>4</v>
      </c>
      <c r="P12" s="86">
        <v>4</v>
      </c>
      <c r="Q12" s="58">
        <v>11.1</v>
      </c>
      <c r="R12" s="96"/>
      <c r="S12" s="96"/>
      <c r="T12" s="53">
        <v>23.63</v>
      </c>
      <c r="U12" s="58">
        <f t="shared" si="3"/>
        <v>12.53</v>
      </c>
      <c r="V12" s="97">
        <v>7.3</v>
      </c>
      <c r="W12" s="58">
        <v>1</v>
      </c>
      <c r="X12" s="59">
        <f t="shared" si="4"/>
        <v>4.2299999999999995</v>
      </c>
      <c r="Y12" s="86">
        <v>4</v>
      </c>
      <c r="Z12" s="86">
        <f t="shared" si="5"/>
        <v>22.999999999999954</v>
      </c>
      <c r="AA12" s="98"/>
      <c r="AB12" s="86" t="s">
        <v>4</v>
      </c>
      <c r="AC12" s="86">
        <v>4</v>
      </c>
      <c r="AD12" s="58">
        <v>11.1</v>
      </c>
      <c r="AE12" s="96"/>
      <c r="AF12" s="96"/>
      <c r="AG12" s="53">
        <v>23.63</v>
      </c>
      <c r="AH12" s="58">
        <f t="shared" si="6"/>
        <v>12.53</v>
      </c>
      <c r="AI12" s="97">
        <v>7.3</v>
      </c>
      <c r="AJ12" s="58">
        <v>1</v>
      </c>
      <c r="AK12" s="59">
        <f t="shared" si="7"/>
        <v>4.2299999999999995</v>
      </c>
      <c r="AL12" s="86">
        <v>4</v>
      </c>
      <c r="AM12" s="86">
        <f t="shared" si="8"/>
        <v>22.999999999999954</v>
      </c>
      <c r="AN12" s="98"/>
      <c r="AP12" s="86" t="s">
        <v>4</v>
      </c>
      <c r="AQ12" s="86">
        <v>4</v>
      </c>
      <c r="AR12" s="58">
        <v>11.1</v>
      </c>
      <c r="AS12" s="96"/>
      <c r="AT12" s="96"/>
      <c r="AU12" s="53">
        <v>23.63</v>
      </c>
      <c r="AV12" s="58">
        <f t="shared" si="9"/>
        <v>12.53</v>
      </c>
      <c r="AW12" s="97">
        <v>7.3</v>
      </c>
      <c r="AX12" s="58">
        <v>1</v>
      </c>
      <c r="AY12" s="59">
        <f t="shared" si="10"/>
        <v>4.2299999999999995</v>
      </c>
      <c r="AZ12" s="86">
        <v>4</v>
      </c>
      <c r="BA12" s="86">
        <f t="shared" si="11"/>
        <v>22.999999999999954</v>
      </c>
      <c r="BB12" s="98"/>
      <c r="BC12" s="86" t="s">
        <v>4</v>
      </c>
      <c r="BD12" s="86">
        <v>4</v>
      </c>
      <c r="BE12" s="58">
        <v>11.1</v>
      </c>
      <c r="BF12" s="96"/>
      <c r="BG12" s="96"/>
      <c r="BH12" s="53">
        <v>23.63</v>
      </c>
      <c r="BI12" s="58">
        <f t="shared" si="12"/>
        <v>12.53</v>
      </c>
      <c r="BJ12" s="97">
        <v>7.3</v>
      </c>
      <c r="BK12" s="58">
        <v>1</v>
      </c>
      <c r="BL12" s="59">
        <f t="shared" si="13"/>
        <v>4.2299999999999995</v>
      </c>
      <c r="BM12" s="86">
        <v>4</v>
      </c>
      <c r="BN12" s="86">
        <f t="shared" si="14"/>
        <v>22.999999999999954</v>
      </c>
      <c r="BO12" s="98"/>
      <c r="BQ12" s="86" t="s">
        <v>4</v>
      </c>
      <c r="BR12" s="86">
        <v>4</v>
      </c>
      <c r="BS12" s="58">
        <v>11.1</v>
      </c>
      <c r="BT12" s="96"/>
      <c r="BU12" s="96"/>
      <c r="BV12" s="53">
        <v>23.63</v>
      </c>
      <c r="BW12" s="58">
        <f t="shared" si="15"/>
        <v>12.53</v>
      </c>
      <c r="BX12" s="97">
        <v>7.3</v>
      </c>
      <c r="BY12" s="58">
        <v>1</v>
      </c>
      <c r="BZ12" s="59">
        <f t="shared" si="16"/>
        <v>4.2299999999999995</v>
      </c>
      <c r="CA12" s="86">
        <v>4</v>
      </c>
      <c r="CB12" s="86">
        <f t="shared" si="17"/>
        <v>22.999999999999954</v>
      </c>
      <c r="CC12" s="98"/>
      <c r="CE12" s="86" t="s">
        <v>4</v>
      </c>
      <c r="CF12" s="86">
        <v>4</v>
      </c>
      <c r="CG12" s="58">
        <v>11.1</v>
      </c>
      <c r="CH12" s="96"/>
      <c r="CI12" s="96"/>
      <c r="CJ12" s="53">
        <v>23.63</v>
      </c>
      <c r="CK12" s="58">
        <f t="shared" si="18"/>
        <v>12.53</v>
      </c>
      <c r="CL12" s="97">
        <v>7.3</v>
      </c>
      <c r="CM12" s="58">
        <v>1</v>
      </c>
      <c r="CN12" s="59">
        <f t="shared" si="19"/>
        <v>4.2299999999999995</v>
      </c>
      <c r="CO12" s="86">
        <v>4</v>
      </c>
      <c r="CP12" s="86">
        <f t="shared" si="20"/>
        <v>22.999999999999954</v>
      </c>
      <c r="CQ12" s="98"/>
      <c r="CS12" s="86" t="s">
        <v>4</v>
      </c>
      <c r="CT12" s="86">
        <v>4</v>
      </c>
      <c r="CU12" s="58">
        <v>11.1</v>
      </c>
      <c r="CV12" s="96"/>
      <c r="CW12" s="96"/>
      <c r="CX12" s="53">
        <v>23.63</v>
      </c>
      <c r="CY12" s="58">
        <f t="shared" si="21"/>
        <v>12.53</v>
      </c>
      <c r="CZ12" s="97">
        <v>7.3</v>
      </c>
      <c r="DA12" s="58">
        <v>1</v>
      </c>
      <c r="DB12" s="59">
        <f t="shared" si="22"/>
        <v>4.2299999999999995</v>
      </c>
      <c r="DC12" s="86">
        <v>4</v>
      </c>
      <c r="DD12" s="86">
        <f t="shared" si="23"/>
        <v>22.999999999999954</v>
      </c>
      <c r="DE12" s="98"/>
      <c r="DG12" s="86" t="s">
        <v>4</v>
      </c>
      <c r="DH12" s="86">
        <v>4</v>
      </c>
      <c r="DI12" s="58">
        <v>11.1</v>
      </c>
      <c r="DJ12" s="96"/>
      <c r="DK12" s="96"/>
      <c r="DL12" s="53">
        <v>23.63</v>
      </c>
      <c r="DM12" s="58">
        <f t="shared" si="24"/>
        <v>12.53</v>
      </c>
      <c r="DN12" s="97">
        <v>7.3</v>
      </c>
      <c r="DO12" s="58">
        <v>1</v>
      </c>
      <c r="DP12" s="59">
        <f t="shared" si="25"/>
        <v>4.2299999999999995</v>
      </c>
      <c r="DQ12" s="86">
        <v>4</v>
      </c>
      <c r="DR12" s="86">
        <f t="shared" si="26"/>
        <v>22.999999999999954</v>
      </c>
      <c r="DS12" s="98"/>
    </row>
    <row r="13" spans="1:124" ht="17.149999999999999" customHeight="1" x14ac:dyDescent="0.35">
      <c r="A13" s="86" t="s">
        <v>5</v>
      </c>
      <c r="B13" s="86">
        <v>5</v>
      </c>
      <c r="C13" s="58">
        <v>11.1</v>
      </c>
      <c r="D13" s="96"/>
      <c r="E13" s="96"/>
      <c r="F13" s="53">
        <v>16.579999999999998</v>
      </c>
      <c r="G13" s="58">
        <f t="shared" si="0"/>
        <v>5.4799999999999986</v>
      </c>
      <c r="H13" s="97">
        <v>7.3</v>
      </c>
      <c r="I13" s="58">
        <v>1.4</v>
      </c>
      <c r="J13" s="59">
        <f t="shared" si="1"/>
        <v>-3.2200000000000011</v>
      </c>
      <c r="K13" s="86">
        <v>-3</v>
      </c>
      <c r="L13" s="86">
        <f t="shared" si="2"/>
        <v>-22.000000000000107</v>
      </c>
      <c r="M13" s="98" t="s">
        <v>217</v>
      </c>
      <c r="O13" s="86" t="s">
        <v>5</v>
      </c>
      <c r="P13" s="86">
        <v>5</v>
      </c>
      <c r="Q13" s="58">
        <v>11.1</v>
      </c>
      <c r="R13" s="96"/>
      <c r="S13" s="96"/>
      <c r="T13" s="53">
        <v>23.62</v>
      </c>
      <c r="U13" s="58">
        <f t="shared" si="3"/>
        <v>12.520000000000001</v>
      </c>
      <c r="V13" s="97">
        <v>7.3</v>
      </c>
      <c r="W13" s="58">
        <v>1</v>
      </c>
      <c r="X13" s="59">
        <f t="shared" si="4"/>
        <v>4.2200000000000015</v>
      </c>
      <c r="Y13" s="86">
        <v>4</v>
      </c>
      <c r="Z13" s="86">
        <f t="shared" si="5"/>
        <v>22.000000000000153</v>
      </c>
      <c r="AA13" s="98"/>
      <c r="AB13" s="86" t="s">
        <v>5</v>
      </c>
      <c r="AC13" s="86">
        <v>5</v>
      </c>
      <c r="AD13" s="58">
        <v>11.1</v>
      </c>
      <c r="AE13" s="96"/>
      <c r="AF13" s="96"/>
      <c r="AG13" s="53">
        <v>23.62</v>
      </c>
      <c r="AH13" s="58">
        <f t="shared" si="6"/>
        <v>12.520000000000001</v>
      </c>
      <c r="AI13" s="97">
        <v>7.3</v>
      </c>
      <c r="AJ13" s="58">
        <v>1</v>
      </c>
      <c r="AK13" s="59">
        <f t="shared" si="7"/>
        <v>4.2200000000000015</v>
      </c>
      <c r="AL13" s="86">
        <v>4</v>
      </c>
      <c r="AM13" s="86">
        <f t="shared" si="8"/>
        <v>22.000000000000153</v>
      </c>
      <c r="AN13" s="98"/>
      <c r="AP13" s="86" t="s">
        <v>5</v>
      </c>
      <c r="AQ13" s="86">
        <v>5</v>
      </c>
      <c r="AR13" s="58">
        <v>11.1</v>
      </c>
      <c r="AS13" s="96"/>
      <c r="AT13" s="96"/>
      <c r="AU13" s="53">
        <v>23.62</v>
      </c>
      <c r="AV13" s="58">
        <f t="shared" si="9"/>
        <v>12.520000000000001</v>
      </c>
      <c r="AW13" s="97">
        <v>7.3</v>
      </c>
      <c r="AX13" s="58">
        <v>1</v>
      </c>
      <c r="AY13" s="59">
        <f t="shared" si="10"/>
        <v>4.2200000000000015</v>
      </c>
      <c r="AZ13" s="86">
        <v>4</v>
      </c>
      <c r="BA13" s="86">
        <f t="shared" si="11"/>
        <v>22.000000000000153</v>
      </c>
      <c r="BB13" s="98"/>
      <c r="BC13" s="86" t="s">
        <v>5</v>
      </c>
      <c r="BD13" s="86">
        <v>5</v>
      </c>
      <c r="BE13" s="58">
        <v>11.1</v>
      </c>
      <c r="BF13" s="96"/>
      <c r="BG13" s="96"/>
      <c r="BH13" s="53">
        <v>23.62</v>
      </c>
      <c r="BI13" s="58">
        <f t="shared" si="12"/>
        <v>12.520000000000001</v>
      </c>
      <c r="BJ13" s="97">
        <v>7.3</v>
      </c>
      <c r="BK13" s="58">
        <v>1</v>
      </c>
      <c r="BL13" s="59">
        <f t="shared" si="13"/>
        <v>4.2200000000000015</v>
      </c>
      <c r="BM13" s="86">
        <v>4</v>
      </c>
      <c r="BN13" s="86">
        <f t="shared" si="14"/>
        <v>22.000000000000153</v>
      </c>
      <c r="BO13" s="98"/>
      <c r="BQ13" s="86" t="s">
        <v>5</v>
      </c>
      <c r="BR13" s="86">
        <v>5</v>
      </c>
      <c r="BS13" s="58"/>
      <c r="BT13" s="96"/>
      <c r="BU13" s="96"/>
      <c r="BV13" s="53"/>
      <c r="BW13" s="58"/>
      <c r="BX13" s="97"/>
      <c r="BY13" s="58"/>
      <c r="BZ13" s="59"/>
      <c r="CA13" s="86"/>
      <c r="CB13" s="86"/>
      <c r="CC13" s="98" t="s">
        <v>227</v>
      </c>
      <c r="CE13" s="86" t="s">
        <v>5</v>
      </c>
      <c r="CF13" s="86">
        <v>5</v>
      </c>
      <c r="CG13" s="58">
        <v>11.1</v>
      </c>
      <c r="CH13" s="96"/>
      <c r="CI13" s="96"/>
      <c r="CJ13" s="53">
        <v>23.62</v>
      </c>
      <c r="CK13" s="58">
        <f t="shared" si="18"/>
        <v>12.520000000000001</v>
      </c>
      <c r="CL13" s="97">
        <v>7.3</v>
      </c>
      <c r="CM13" s="58">
        <v>1</v>
      </c>
      <c r="CN13" s="59">
        <f t="shared" si="19"/>
        <v>4.2200000000000015</v>
      </c>
      <c r="CO13" s="86">
        <v>4</v>
      </c>
      <c r="CP13" s="86">
        <f t="shared" si="20"/>
        <v>22.000000000000153</v>
      </c>
      <c r="CQ13" s="98"/>
      <c r="CS13" s="86" t="s">
        <v>5</v>
      </c>
      <c r="CT13" s="86">
        <v>5</v>
      </c>
      <c r="CU13" s="58">
        <v>11.1</v>
      </c>
      <c r="CV13" s="96"/>
      <c r="CW13" s="96"/>
      <c r="CX13" s="53">
        <v>23.62</v>
      </c>
      <c r="CY13" s="58">
        <f t="shared" si="21"/>
        <v>12.520000000000001</v>
      </c>
      <c r="CZ13" s="97">
        <v>7.3</v>
      </c>
      <c r="DA13" s="58">
        <v>1</v>
      </c>
      <c r="DB13" s="59">
        <f t="shared" si="22"/>
        <v>4.2200000000000015</v>
      </c>
      <c r="DC13" s="86">
        <v>4</v>
      </c>
      <c r="DD13" s="86">
        <f t="shared" si="23"/>
        <v>22.000000000000153</v>
      </c>
      <c r="DE13" s="98"/>
      <c r="DG13" s="86" t="s">
        <v>5</v>
      </c>
      <c r="DH13" s="86">
        <v>5</v>
      </c>
      <c r="DI13" s="58">
        <v>11.1</v>
      </c>
      <c r="DJ13" s="96"/>
      <c r="DK13" s="96"/>
      <c r="DL13" s="53">
        <v>23.62</v>
      </c>
      <c r="DM13" s="58">
        <f t="shared" si="24"/>
        <v>12.520000000000001</v>
      </c>
      <c r="DN13" s="97">
        <v>7.3</v>
      </c>
      <c r="DO13" s="58">
        <v>1</v>
      </c>
      <c r="DP13" s="59">
        <f t="shared" si="25"/>
        <v>4.2200000000000015</v>
      </c>
      <c r="DQ13" s="86">
        <v>4</v>
      </c>
      <c r="DR13" s="86">
        <f t="shared" si="26"/>
        <v>22.000000000000153</v>
      </c>
      <c r="DS13" s="98"/>
    </row>
    <row r="14" spans="1:124" ht="17.149999999999999" customHeight="1" x14ac:dyDescent="0.35">
      <c r="A14" s="55" t="s">
        <v>6</v>
      </c>
      <c r="B14" s="55">
        <v>6</v>
      </c>
      <c r="C14" s="52"/>
      <c r="D14" s="52"/>
      <c r="E14" s="52">
        <v>9.0500000000000007</v>
      </c>
      <c r="F14" s="52">
        <v>12.1</v>
      </c>
      <c r="G14" s="52">
        <f t="shared" si="0"/>
        <v>3.0499999999999989</v>
      </c>
      <c r="H14" s="56"/>
      <c r="I14" s="52"/>
      <c r="J14" s="57">
        <f t="shared" si="1"/>
        <v>3.0499999999999989</v>
      </c>
      <c r="K14" s="55">
        <v>3</v>
      </c>
      <c r="L14" s="55">
        <f t="shared" si="2"/>
        <v>4.9999999999998934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/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>
        <f t="shared" si="6"/>
        <v>0</v>
      </c>
      <c r="AI14" s="56"/>
      <c r="AJ14" s="52"/>
      <c r="AK14" s="57">
        <f t="shared" si="7"/>
        <v>0</v>
      </c>
      <c r="AL14" s="55"/>
      <c r="AM14" s="55">
        <f t="shared" si="8"/>
        <v>0</v>
      </c>
      <c r="AN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/>
      <c r="BA14" s="55">
        <f t="shared" si="11"/>
        <v>0</v>
      </c>
      <c r="BB14" s="95"/>
      <c r="BC14" s="55" t="s">
        <v>6</v>
      </c>
      <c r="BD14" s="55">
        <v>6</v>
      </c>
      <c r="BE14" s="52"/>
      <c r="BF14" s="52"/>
      <c r="BG14" s="52"/>
      <c r="BH14" s="52"/>
      <c r="BI14" s="52">
        <f t="shared" si="12"/>
        <v>0</v>
      </c>
      <c r="BJ14" s="56"/>
      <c r="BK14" s="52"/>
      <c r="BL14" s="57">
        <f t="shared" si="13"/>
        <v>0</v>
      </c>
      <c r="BM14" s="55"/>
      <c r="BN14" s="55">
        <f t="shared" si="14"/>
        <v>0</v>
      </c>
      <c r="BO14" s="95"/>
      <c r="BQ14" s="55" t="s">
        <v>6</v>
      </c>
      <c r="BR14" s="55">
        <v>6</v>
      </c>
      <c r="BS14" s="52"/>
      <c r="BT14" s="52"/>
      <c r="BU14" s="52"/>
      <c r="BV14" s="52"/>
      <c r="BW14" s="52">
        <f t="shared" si="15"/>
        <v>0</v>
      </c>
      <c r="BX14" s="56"/>
      <c r="BY14" s="52"/>
      <c r="BZ14" s="57">
        <f t="shared" si="16"/>
        <v>0</v>
      </c>
      <c r="CA14" s="55"/>
      <c r="CB14" s="55">
        <f t="shared" si="17"/>
        <v>0</v>
      </c>
      <c r="CC14" s="95"/>
      <c r="CE14" s="55" t="s">
        <v>6</v>
      </c>
      <c r="CF14" s="55">
        <v>6</v>
      </c>
      <c r="CG14" s="52"/>
      <c r="CH14" s="52"/>
      <c r="CI14" s="52">
        <v>9.0500000000000007</v>
      </c>
      <c r="CJ14" s="52">
        <v>13.64</v>
      </c>
      <c r="CK14" s="52">
        <f t="shared" si="18"/>
        <v>4.59</v>
      </c>
      <c r="CL14" s="56"/>
      <c r="CM14" s="52"/>
      <c r="CN14" s="57">
        <f t="shared" si="19"/>
        <v>4.59</v>
      </c>
      <c r="CO14" s="55">
        <v>4</v>
      </c>
      <c r="CP14" s="55">
        <f t="shared" si="20"/>
        <v>58.999999999999986</v>
      </c>
      <c r="CQ14" s="95"/>
      <c r="CS14" s="55" t="s">
        <v>6</v>
      </c>
      <c r="CT14" s="55">
        <v>6</v>
      </c>
      <c r="CU14" s="52"/>
      <c r="CV14" s="52"/>
      <c r="CW14" s="52">
        <v>9.0500000000000007</v>
      </c>
      <c r="CX14" s="52">
        <v>12.11</v>
      </c>
      <c r="CY14" s="52">
        <f t="shared" si="21"/>
        <v>3.0599999999999987</v>
      </c>
      <c r="CZ14" s="56"/>
      <c r="DA14" s="52"/>
      <c r="DB14" s="57">
        <f t="shared" si="22"/>
        <v>3.0599999999999987</v>
      </c>
      <c r="DC14" s="55">
        <v>3</v>
      </c>
      <c r="DD14" s="55">
        <f t="shared" si="23"/>
        <v>5.9999999999998721</v>
      </c>
      <c r="DE14" s="95"/>
      <c r="DG14" s="55" t="s">
        <v>6</v>
      </c>
      <c r="DH14" s="55">
        <v>6</v>
      </c>
      <c r="DI14" s="52"/>
      <c r="DJ14" s="52"/>
      <c r="DK14" s="52"/>
      <c r="DL14" s="52"/>
      <c r="DM14" s="52">
        <f t="shared" si="24"/>
        <v>0</v>
      </c>
      <c r="DN14" s="56"/>
      <c r="DO14" s="52"/>
      <c r="DP14" s="57">
        <f t="shared" si="25"/>
        <v>0</v>
      </c>
      <c r="DQ14" s="55"/>
      <c r="DR14" s="55">
        <f t="shared" si="26"/>
        <v>0</v>
      </c>
      <c r="DS14" s="95"/>
    </row>
    <row r="15" spans="1:124" ht="17.149999999999999" customHeight="1" x14ac:dyDescent="0.35">
      <c r="A15" s="86" t="s">
        <v>1</v>
      </c>
      <c r="B15" s="94">
        <v>7</v>
      </c>
      <c r="C15" s="58">
        <v>11.1</v>
      </c>
      <c r="D15" s="96"/>
      <c r="E15" s="96"/>
      <c r="F15" s="53">
        <v>21.98</v>
      </c>
      <c r="G15" s="58">
        <f t="shared" si="0"/>
        <v>10.88</v>
      </c>
      <c r="H15" s="97">
        <v>7.3</v>
      </c>
      <c r="I15" s="58">
        <v>1</v>
      </c>
      <c r="J15" s="59">
        <f t="shared" si="1"/>
        <v>2.580000000000001</v>
      </c>
      <c r="K15" s="86">
        <v>2</v>
      </c>
      <c r="L15" s="86">
        <f t="shared" si="2"/>
        <v>58.000000000000099</v>
      </c>
      <c r="M15" s="98"/>
      <c r="O15" s="86" t="s">
        <v>1</v>
      </c>
      <c r="P15" s="94">
        <v>7</v>
      </c>
      <c r="Q15" s="58">
        <v>11.1</v>
      </c>
      <c r="R15" s="96"/>
      <c r="S15" s="96"/>
      <c r="T15" s="53">
        <v>21.98</v>
      </c>
      <c r="U15" s="58">
        <f t="shared" si="3"/>
        <v>10.88</v>
      </c>
      <c r="V15" s="97">
        <v>7.3</v>
      </c>
      <c r="W15" s="58">
        <v>1</v>
      </c>
      <c r="X15" s="59">
        <f t="shared" si="4"/>
        <v>2.580000000000001</v>
      </c>
      <c r="Y15" s="86">
        <v>2</v>
      </c>
      <c r="Z15" s="86">
        <f t="shared" si="5"/>
        <v>58.000000000000099</v>
      </c>
      <c r="AA15" s="98"/>
      <c r="AB15" s="86" t="s">
        <v>1</v>
      </c>
      <c r="AC15" s="94">
        <v>7</v>
      </c>
      <c r="AD15" s="58">
        <v>11.1</v>
      </c>
      <c r="AE15" s="96"/>
      <c r="AF15" s="96"/>
      <c r="AG15" s="53">
        <v>21.98</v>
      </c>
      <c r="AH15" s="58">
        <f t="shared" si="6"/>
        <v>10.88</v>
      </c>
      <c r="AI15" s="97">
        <v>7.3</v>
      </c>
      <c r="AJ15" s="58">
        <v>1</v>
      </c>
      <c r="AK15" s="59">
        <f t="shared" si="7"/>
        <v>2.580000000000001</v>
      </c>
      <c r="AL15" s="86">
        <v>2</v>
      </c>
      <c r="AM15" s="86">
        <f t="shared" si="8"/>
        <v>58.000000000000099</v>
      </c>
      <c r="AN15" s="98"/>
      <c r="AP15" s="86" t="s">
        <v>1</v>
      </c>
      <c r="AQ15" s="94">
        <v>7</v>
      </c>
      <c r="AR15" s="58">
        <v>11.1</v>
      </c>
      <c r="AS15" s="96"/>
      <c r="AT15" s="96"/>
      <c r="AU15" s="53">
        <v>21.98</v>
      </c>
      <c r="AV15" s="58">
        <f t="shared" si="9"/>
        <v>10.88</v>
      </c>
      <c r="AW15" s="97">
        <v>7.3</v>
      </c>
      <c r="AX15" s="58">
        <v>1</v>
      </c>
      <c r="AY15" s="59">
        <f t="shared" si="10"/>
        <v>2.580000000000001</v>
      </c>
      <c r="AZ15" s="86">
        <v>2</v>
      </c>
      <c r="BA15" s="86">
        <f t="shared" si="11"/>
        <v>58.000000000000099</v>
      </c>
      <c r="BB15" s="98"/>
      <c r="BC15" s="86" t="s">
        <v>1</v>
      </c>
      <c r="BD15" s="94">
        <v>7</v>
      </c>
      <c r="BE15" s="58">
        <v>11.1</v>
      </c>
      <c r="BF15" s="96"/>
      <c r="BG15" s="96"/>
      <c r="BH15" s="53">
        <v>21.98</v>
      </c>
      <c r="BI15" s="58">
        <f t="shared" si="12"/>
        <v>10.88</v>
      </c>
      <c r="BJ15" s="97">
        <v>7.3</v>
      </c>
      <c r="BK15" s="58">
        <v>1</v>
      </c>
      <c r="BL15" s="59">
        <f t="shared" si="13"/>
        <v>2.580000000000001</v>
      </c>
      <c r="BM15" s="86">
        <v>2</v>
      </c>
      <c r="BN15" s="86">
        <f t="shared" si="14"/>
        <v>58.000000000000099</v>
      </c>
      <c r="BO15" s="98"/>
      <c r="BQ15" s="86" t="s">
        <v>1</v>
      </c>
      <c r="BR15" s="94">
        <v>7</v>
      </c>
      <c r="BS15" s="58">
        <v>11.1</v>
      </c>
      <c r="BT15" s="96"/>
      <c r="BU15" s="96"/>
      <c r="BV15" s="53">
        <v>21.98</v>
      </c>
      <c r="BW15" s="58">
        <f t="shared" si="15"/>
        <v>10.88</v>
      </c>
      <c r="BX15" s="97">
        <v>7.3</v>
      </c>
      <c r="BY15" s="58">
        <v>1</v>
      </c>
      <c r="BZ15" s="59">
        <f t="shared" si="16"/>
        <v>2.580000000000001</v>
      </c>
      <c r="CA15" s="86">
        <v>2</v>
      </c>
      <c r="CB15" s="86">
        <f t="shared" si="17"/>
        <v>58.000000000000099</v>
      </c>
      <c r="CC15" s="98"/>
      <c r="CE15" s="86" t="s">
        <v>1</v>
      </c>
      <c r="CF15" s="94">
        <v>7</v>
      </c>
      <c r="CG15" s="58">
        <v>11.1</v>
      </c>
      <c r="CH15" s="96"/>
      <c r="CI15" s="96"/>
      <c r="CJ15" s="53">
        <v>21.98</v>
      </c>
      <c r="CK15" s="58">
        <f t="shared" si="18"/>
        <v>10.88</v>
      </c>
      <c r="CL15" s="97">
        <v>7.3</v>
      </c>
      <c r="CM15" s="58">
        <v>1</v>
      </c>
      <c r="CN15" s="59">
        <f t="shared" si="19"/>
        <v>2.580000000000001</v>
      </c>
      <c r="CO15" s="86">
        <v>2</v>
      </c>
      <c r="CP15" s="86">
        <f t="shared" si="20"/>
        <v>58.000000000000099</v>
      </c>
      <c r="CQ15" s="98"/>
      <c r="CS15" s="86" t="s">
        <v>1</v>
      </c>
      <c r="CT15" s="94">
        <v>7</v>
      </c>
      <c r="CU15" s="58">
        <v>11.1</v>
      </c>
      <c r="CV15" s="96"/>
      <c r="CW15" s="96"/>
      <c r="CX15" s="53">
        <v>21.98</v>
      </c>
      <c r="CY15" s="58">
        <f t="shared" si="21"/>
        <v>10.88</v>
      </c>
      <c r="CZ15" s="97">
        <v>7.3</v>
      </c>
      <c r="DA15" s="58">
        <v>1</v>
      </c>
      <c r="DB15" s="59">
        <f t="shared" si="22"/>
        <v>2.580000000000001</v>
      </c>
      <c r="DC15" s="86">
        <v>2</v>
      </c>
      <c r="DD15" s="86">
        <f t="shared" si="23"/>
        <v>58.000000000000099</v>
      </c>
      <c r="DE15" s="98"/>
      <c r="DG15" s="86" t="s">
        <v>1</v>
      </c>
      <c r="DH15" s="94">
        <v>7</v>
      </c>
      <c r="DI15" s="58">
        <v>11.1</v>
      </c>
      <c r="DJ15" s="96"/>
      <c r="DK15" s="96"/>
      <c r="DL15" s="53">
        <v>21.98</v>
      </c>
      <c r="DM15" s="58">
        <f t="shared" si="24"/>
        <v>10.88</v>
      </c>
      <c r="DN15" s="97">
        <v>7.3</v>
      </c>
      <c r="DO15" s="58">
        <v>1</v>
      </c>
      <c r="DP15" s="59">
        <f t="shared" si="25"/>
        <v>2.580000000000001</v>
      </c>
      <c r="DQ15" s="86">
        <v>2</v>
      </c>
      <c r="DR15" s="86">
        <f t="shared" si="26"/>
        <v>58.000000000000099</v>
      </c>
      <c r="DS15" s="98"/>
    </row>
    <row r="16" spans="1:124" ht="17.149999999999999" customHeight="1" x14ac:dyDescent="0.35">
      <c r="A16" s="86" t="s">
        <v>216</v>
      </c>
      <c r="B16" s="86">
        <v>8</v>
      </c>
      <c r="C16" s="58">
        <v>11.1</v>
      </c>
      <c r="D16" s="96"/>
      <c r="E16" s="96"/>
      <c r="F16" s="53">
        <v>22.6</v>
      </c>
      <c r="G16" s="58">
        <f t="shared" si="0"/>
        <v>11.500000000000002</v>
      </c>
      <c r="H16" s="97">
        <v>7.3</v>
      </c>
      <c r="I16" s="58">
        <v>1</v>
      </c>
      <c r="J16" s="59">
        <f t="shared" si="1"/>
        <v>3.200000000000002</v>
      </c>
      <c r="K16" s="86">
        <v>3</v>
      </c>
      <c r="L16" s="86">
        <f t="shared" si="2"/>
        <v>20.000000000000195</v>
      </c>
      <c r="M16" s="87"/>
      <c r="O16" s="86" t="s">
        <v>216</v>
      </c>
      <c r="P16" s="86">
        <v>8</v>
      </c>
      <c r="Q16" s="58">
        <v>11.1</v>
      </c>
      <c r="R16" s="96"/>
      <c r="S16" s="96"/>
      <c r="T16" s="53">
        <v>22.6</v>
      </c>
      <c r="U16" s="58">
        <f t="shared" si="3"/>
        <v>11.500000000000002</v>
      </c>
      <c r="V16" s="97">
        <v>7.3</v>
      </c>
      <c r="W16" s="58">
        <v>1</v>
      </c>
      <c r="X16" s="59">
        <f t="shared" si="4"/>
        <v>3.200000000000002</v>
      </c>
      <c r="Y16" s="86">
        <v>3</v>
      </c>
      <c r="Z16" s="86">
        <f t="shared" si="5"/>
        <v>20.000000000000195</v>
      </c>
      <c r="AA16" s="87"/>
      <c r="AB16" s="86" t="s">
        <v>216</v>
      </c>
      <c r="AC16" s="86">
        <v>8</v>
      </c>
      <c r="AD16" s="58">
        <v>11.1</v>
      </c>
      <c r="AE16" s="96"/>
      <c r="AF16" s="96"/>
      <c r="AG16" s="53">
        <v>22.6</v>
      </c>
      <c r="AH16" s="58">
        <f t="shared" si="6"/>
        <v>11.500000000000002</v>
      </c>
      <c r="AI16" s="97">
        <v>7.3</v>
      </c>
      <c r="AJ16" s="58">
        <v>1</v>
      </c>
      <c r="AK16" s="59">
        <f t="shared" si="7"/>
        <v>3.200000000000002</v>
      </c>
      <c r="AL16" s="86">
        <v>3</v>
      </c>
      <c r="AM16" s="86">
        <f t="shared" si="8"/>
        <v>20.000000000000195</v>
      </c>
      <c r="AN16" s="87"/>
      <c r="AP16" s="86" t="s">
        <v>216</v>
      </c>
      <c r="AQ16" s="86">
        <v>8</v>
      </c>
      <c r="AR16" s="58">
        <v>11.1</v>
      </c>
      <c r="AS16" s="96"/>
      <c r="AT16" s="96"/>
      <c r="AU16" s="53">
        <v>22.6</v>
      </c>
      <c r="AV16" s="58">
        <f t="shared" si="9"/>
        <v>11.500000000000002</v>
      </c>
      <c r="AW16" s="97">
        <v>7.3</v>
      </c>
      <c r="AX16" s="58">
        <v>1</v>
      </c>
      <c r="AY16" s="59">
        <f t="shared" si="10"/>
        <v>3.200000000000002</v>
      </c>
      <c r="AZ16" s="86">
        <v>3</v>
      </c>
      <c r="BA16" s="86">
        <f t="shared" si="11"/>
        <v>20.000000000000195</v>
      </c>
      <c r="BB16" s="87"/>
      <c r="BC16" s="86" t="s">
        <v>216</v>
      </c>
      <c r="BD16" s="86">
        <v>8</v>
      </c>
      <c r="BE16" s="58">
        <v>11.1</v>
      </c>
      <c r="BF16" s="96"/>
      <c r="BG16" s="96"/>
      <c r="BH16" s="53">
        <v>22.6</v>
      </c>
      <c r="BI16" s="58">
        <f t="shared" si="12"/>
        <v>11.500000000000002</v>
      </c>
      <c r="BJ16" s="97">
        <v>7.3</v>
      </c>
      <c r="BK16" s="58">
        <v>1</v>
      </c>
      <c r="BL16" s="59">
        <f t="shared" si="13"/>
        <v>3.200000000000002</v>
      </c>
      <c r="BM16" s="86">
        <v>3</v>
      </c>
      <c r="BN16" s="86">
        <f t="shared" si="14"/>
        <v>20.000000000000195</v>
      </c>
      <c r="BO16" s="87"/>
      <c r="BQ16" s="86" t="s">
        <v>216</v>
      </c>
      <c r="BR16" s="86">
        <v>8</v>
      </c>
      <c r="BS16" s="58">
        <v>11.1</v>
      </c>
      <c r="BT16" s="96"/>
      <c r="BU16" s="96"/>
      <c r="BV16" s="53">
        <v>22.6</v>
      </c>
      <c r="BW16" s="58">
        <f t="shared" si="15"/>
        <v>11.500000000000002</v>
      </c>
      <c r="BX16" s="97">
        <v>7.3</v>
      </c>
      <c r="BY16" s="58">
        <v>1</v>
      </c>
      <c r="BZ16" s="59">
        <f t="shared" si="16"/>
        <v>3.200000000000002</v>
      </c>
      <c r="CA16" s="86">
        <v>3</v>
      </c>
      <c r="CB16" s="86">
        <f t="shared" si="17"/>
        <v>20.000000000000195</v>
      </c>
      <c r="CC16" s="87"/>
      <c r="CE16" s="86" t="s">
        <v>216</v>
      </c>
      <c r="CF16" s="86">
        <v>8</v>
      </c>
      <c r="CG16" s="58">
        <v>11.1</v>
      </c>
      <c r="CH16" s="96"/>
      <c r="CI16" s="96"/>
      <c r="CJ16" s="53">
        <v>22.6</v>
      </c>
      <c r="CK16" s="58">
        <f t="shared" si="18"/>
        <v>11.500000000000002</v>
      </c>
      <c r="CL16" s="97">
        <v>7.3</v>
      </c>
      <c r="CM16" s="58">
        <v>1</v>
      </c>
      <c r="CN16" s="59">
        <f t="shared" si="19"/>
        <v>3.200000000000002</v>
      </c>
      <c r="CO16" s="86">
        <v>3</v>
      </c>
      <c r="CP16" s="86">
        <f t="shared" si="20"/>
        <v>20.000000000000195</v>
      </c>
      <c r="CQ16" s="87"/>
      <c r="CS16" s="86" t="s">
        <v>216</v>
      </c>
      <c r="CT16" s="86">
        <v>8</v>
      </c>
      <c r="CU16" s="58">
        <v>11.1</v>
      </c>
      <c r="CV16" s="96"/>
      <c r="CW16" s="96"/>
      <c r="CX16" s="53">
        <v>22.6</v>
      </c>
      <c r="CY16" s="58">
        <f t="shared" si="21"/>
        <v>11.500000000000002</v>
      </c>
      <c r="CZ16" s="97">
        <v>7.3</v>
      </c>
      <c r="DA16" s="58">
        <v>1</v>
      </c>
      <c r="DB16" s="59">
        <f t="shared" si="22"/>
        <v>3.200000000000002</v>
      </c>
      <c r="DC16" s="86">
        <v>3</v>
      </c>
      <c r="DD16" s="86">
        <f t="shared" si="23"/>
        <v>20.000000000000195</v>
      </c>
      <c r="DE16" s="87"/>
      <c r="DG16" s="86" t="s">
        <v>216</v>
      </c>
      <c r="DH16" s="86">
        <v>8</v>
      </c>
      <c r="DI16" s="58">
        <v>11.1</v>
      </c>
      <c r="DJ16" s="96"/>
      <c r="DK16" s="96"/>
      <c r="DL16" s="53">
        <v>22.6</v>
      </c>
      <c r="DM16" s="58">
        <f t="shared" si="24"/>
        <v>11.500000000000002</v>
      </c>
      <c r="DN16" s="97">
        <v>7.3</v>
      </c>
      <c r="DO16" s="58">
        <v>1</v>
      </c>
      <c r="DP16" s="59">
        <f t="shared" si="25"/>
        <v>3.200000000000002</v>
      </c>
      <c r="DQ16" s="86">
        <v>3</v>
      </c>
      <c r="DR16" s="86">
        <f t="shared" si="26"/>
        <v>20.000000000000195</v>
      </c>
      <c r="DS16" s="87"/>
    </row>
    <row r="17" spans="1:124" ht="17.149999999999999" customHeight="1" x14ac:dyDescent="0.35">
      <c r="A17" s="86" t="s">
        <v>2</v>
      </c>
      <c r="B17" s="86">
        <v>9</v>
      </c>
      <c r="C17" s="58">
        <v>11.1</v>
      </c>
      <c r="D17" s="96"/>
      <c r="E17" s="96"/>
      <c r="F17" s="53">
        <v>22.55</v>
      </c>
      <c r="G17" s="58">
        <f t="shared" si="0"/>
        <v>11.450000000000001</v>
      </c>
      <c r="H17" s="97">
        <v>7.3</v>
      </c>
      <c r="I17" s="58">
        <v>1</v>
      </c>
      <c r="J17" s="59">
        <f t="shared" si="1"/>
        <v>3.1500000000000012</v>
      </c>
      <c r="K17" s="86">
        <v>3</v>
      </c>
      <c r="L17" s="86">
        <f t="shared" si="2"/>
        <v>15.000000000000124</v>
      </c>
      <c r="M17" s="98"/>
      <c r="O17" s="86" t="s">
        <v>2</v>
      </c>
      <c r="P17" s="86">
        <v>9</v>
      </c>
      <c r="Q17" s="58">
        <v>11.1</v>
      </c>
      <c r="R17" s="96"/>
      <c r="S17" s="96"/>
      <c r="T17" s="53">
        <v>22.55</v>
      </c>
      <c r="U17" s="58">
        <f t="shared" si="3"/>
        <v>11.450000000000001</v>
      </c>
      <c r="V17" s="97">
        <v>7.3</v>
      </c>
      <c r="W17" s="58">
        <v>1</v>
      </c>
      <c r="X17" s="59">
        <f t="shared" si="4"/>
        <v>3.1500000000000012</v>
      </c>
      <c r="Y17" s="86">
        <v>3</v>
      </c>
      <c r="Z17" s="86">
        <f t="shared" si="5"/>
        <v>15.000000000000124</v>
      </c>
      <c r="AA17" s="98"/>
      <c r="AB17" s="86" t="s">
        <v>2</v>
      </c>
      <c r="AC17" s="86">
        <v>9</v>
      </c>
      <c r="AD17" s="58">
        <v>11.1</v>
      </c>
      <c r="AE17" s="96"/>
      <c r="AF17" s="96"/>
      <c r="AG17" s="53">
        <v>22.55</v>
      </c>
      <c r="AH17" s="58">
        <f t="shared" si="6"/>
        <v>11.450000000000001</v>
      </c>
      <c r="AI17" s="97">
        <v>7.3</v>
      </c>
      <c r="AJ17" s="58">
        <v>1</v>
      </c>
      <c r="AK17" s="59">
        <f t="shared" si="7"/>
        <v>3.1500000000000012</v>
      </c>
      <c r="AL17" s="86">
        <v>3</v>
      </c>
      <c r="AM17" s="86">
        <f t="shared" si="8"/>
        <v>15.000000000000124</v>
      </c>
      <c r="AN17" s="98"/>
      <c r="AP17" s="86" t="s">
        <v>2</v>
      </c>
      <c r="AQ17" s="86">
        <v>9</v>
      </c>
      <c r="AR17" s="58">
        <v>11.1</v>
      </c>
      <c r="AS17" s="96"/>
      <c r="AT17" s="96"/>
      <c r="AU17" s="53">
        <v>22.55</v>
      </c>
      <c r="AV17" s="58">
        <f t="shared" si="9"/>
        <v>11.450000000000001</v>
      </c>
      <c r="AW17" s="97">
        <v>7.3</v>
      </c>
      <c r="AX17" s="58">
        <v>1</v>
      </c>
      <c r="AY17" s="59">
        <f t="shared" si="10"/>
        <v>3.1500000000000012</v>
      </c>
      <c r="AZ17" s="86">
        <v>3</v>
      </c>
      <c r="BA17" s="86">
        <f t="shared" si="11"/>
        <v>15.000000000000124</v>
      </c>
      <c r="BB17" s="98"/>
      <c r="BC17" s="86" t="s">
        <v>2</v>
      </c>
      <c r="BD17" s="86">
        <v>9</v>
      </c>
      <c r="BE17" s="58">
        <v>11.1</v>
      </c>
      <c r="BF17" s="96"/>
      <c r="BG17" s="96"/>
      <c r="BH17" s="53">
        <v>22.55</v>
      </c>
      <c r="BI17" s="58">
        <f t="shared" si="12"/>
        <v>11.450000000000001</v>
      </c>
      <c r="BJ17" s="97">
        <v>7.3</v>
      </c>
      <c r="BK17" s="58">
        <v>1</v>
      </c>
      <c r="BL17" s="59">
        <f t="shared" si="13"/>
        <v>3.1500000000000012</v>
      </c>
      <c r="BM17" s="86">
        <v>3</v>
      </c>
      <c r="BN17" s="86">
        <f t="shared" si="14"/>
        <v>15.000000000000124</v>
      </c>
      <c r="BO17" s="98"/>
      <c r="BQ17" s="86" t="s">
        <v>2</v>
      </c>
      <c r="BR17" s="86">
        <v>9</v>
      </c>
      <c r="BS17" s="58">
        <v>11.1</v>
      </c>
      <c r="BT17" s="96"/>
      <c r="BU17" s="96"/>
      <c r="BV17" s="53">
        <v>22.55</v>
      </c>
      <c r="BW17" s="58">
        <f t="shared" si="15"/>
        <v>11.450000000000001</v>
      </c>
      <c r="BX17" s="97">
        <v>7.3</v>
      </c>
      <c r="BY17" s="58">
        <v>1</v>
      </c>
      <c r="BZ17" s="59">
        <f t="shared" si="16"/>
        <v>3.1500000000000012</v>
      </c>
      <c r="CA17" s="86">
        <v>3</v>
      </c>
      <c r="CB17" s="86">
        <f t="shared" si="17"/>
        <v>15.000000000000124</v>
      </c>
      <c r="CC17" s="98"/>
      <c r="CE17" s="86" t="s">
        <v>2</v>
      </c>
      <c r="CF17" s="86">
        <v>9</v>
      </c>
      <c r="CG17" s="58">
        <v>11.1</v>
      </c>
      <c r="CH17" s="96"/>
      <c r="CI17" s="96"/>
      <c r="CJ17" s="53">
        <v>22.55</v>
      </c>
      <c r="CK17" s="58">
        <f t="shared" si="18"/>
        <v>11.450000000000001</v>
      </c>
      <c r="CL17" s="97">
        <v>7.3</v>
      </c>
      <c r="CM17" s="58">
        <v>1</v>
      </c>
      <c r="CN17" s="59">
        <f t="shared" si="19"/>
        <v>3.1500000000000012</v>
      </c>
      <c r="CO17" s="86">
        <v>3</v>
      </c>
      <c r="CP17" s="86">
        <f t="shared" si="20"/>
        <v>15.000000000000124</v>
      </c>
      <c r="CQ17" s="98"/>
      <c r="CS17" s="86" t="s">
        <v>2</v>
      </c>
      <c r="CT17" s="86">
        <v>9</v>
      </c>
      <c r="CU17" s="58">
        <v>11.1</v>
      </c>
      <c r="CV17" s="96"/>
      <c r="CW17" s="96"/>
      <c r="CX17" s="53">
        <v>22.55</v>
      </c>
      <c r="CY17" s="58">
        <f t="shared" si="21"/>
        <v>11.450000000000001</v>
      </c>
      <c r="CZ17" s="97">
        <v>7.3</v>
      </c>
      <c r="DA17" s="58">
        <v>1</v>
      </c>
      <c r="DB17" s="59">
        <f t="shared" si="22"/>
        <v>3.1500000000000012</v>
      </c>
      <c r="DC17" s="86">
        <v>3</v>
      </c>
      <c r="DD17" s="86">
        <f t="shared" si="23"/>
        <v>15.000000000000124</v>
      </c>
      <c r="DE17" s="98"/>
      <c r="DG17" s="86" t="s">
        <v>2</v>
      </c>
      <c r="DH17" s="86">
        <v>9</v>
      </c>
      <c r="DI17" s="58">
        <v>11.1</v>
      </c>
      <c r="DJ17" s="96"/>
      <c r="DK17" s="96"/>
      <c r="DL17" s="53">
        <v>22.55</v>
      </c>
      <c r="DM17" s="58">
        <f t="shared" si="24"/>
        <v>11.450000000000001</v>
      </c>
      <c r="DN17" s="97">
        <v>7.3</v>
      </c>
      <c r="DO17" s="58">
        <v>1</v>
      </c>
      <c r="DP17" s="59">
        <f t="shared" si="25"/>
        <v>3.1500000000000012</v>
      </c>
      <c r="DQ17" s="86">
        <v>3</v>
      </c>
      <c r="DR17" s="86">
        <f t="shared" si="26"/>
        <v>15.000000000000124</v>
      </c>
      <c r="DS17" s="98"/>
    </row>
    <row r="18" spans="1:124" s="54" customFormat="1" ht="17.149999999999999" customHeight="1" x14ac:dyDescent="0.35">
      <c r="A18" s="86" t="s">
        <v>225</v>
      </c>
      <c r="B18" s="86">
        <v>10</v>
      </c>
      <c r="C18" s="58">
        <v>11.1</v>
      </c>
      <c r="D18" s="96"/>
      <c r="E18" s="96"/>
      <c r="F18" s="53">
        <v>21.67</v>
      </c>
      <c r="G18" s="58">
        <f t="shared" si="0"/>
        <v>10.570000000000002</v>
      </c>
      <c r="H18" s="97">
        <v>7.3</v>
      </c>
      <c r="I18" s="58">
        <v>1</v>
      </c>
      <c r="J18" s="59">
        <f t="shared" si="1"/>
        <v>2.2700000000000022</v>
      </c>
      <c r="K18" s="86">
        <v>2</v>
      </c>
      <c r="L18" s="86">
        <f t="shared" si="2"/>
        <v>27.000000000000224</v>
      </c>
      <c r="M18" s="98"/>
      <c r="N18"/>
      <c r="O18" s="86" t="s">
        <v>225</v>
      </c>
      <c r="P18" s="86">
        <v>10</v>
      </c>
      <c r="Q18" s="58">
        <v>11.1</v>
      </c>
      <c r="R18" s="96"/>
      <c r="S18" s="96"/>
      <c r="T18" s="53">
        <v>21.67</v>
      </c>
      <c r="U18" s="58">
        <f t="shared" si="3"/>
        <v>10.570000000000002</v>
      </c>
      <c r="V18" s="97">
        <v>7.3</v>
      </c>
      <c r="W18" s="58">
        <v>1</v>
      </c>
      <c r="X18" s="59">
        <f t="shared" si="4"/>
        <v>2.2700000000000022</v>
      </c>
      <c r="Y18" s="86">
        <v>2</v>
      </c>
      <c r="Z18" s="86">
        <f t="shared" si="5"/>
        <v>27.000000000000224</v>
      </c>
      <c r="AA18" s="98"/>
      <c r="AB18" s="86" t="s">
        <v>225</v>
      </c>
      <c r="AC18" s="86">
        <v>10</v>
      </c>
      <c r="AD18" s="58">
        <v>11.1</v>
      </c>
      <c r="AE18" s="96"/>
      <c r="AF18" s="96"/>
      <c r="AG18" s="53">
        <v>21.67</v>
      </c>
      <c r="AH18" s="58">
        <f t="shared" si="6"/>
        <v>10.570000000000002</v>
      </c>
      <c r="AI18" s="97">
        <v>7.3</v>
      </c>
      <c r="AJ18" s="58">
        <v>1</v>
      </c>
      <c r="AK18" s="59">
        <f t="shared" si="7"/>
        <v>2.2700000000000022</v>
      </c>
      <c r="AL18" s="86">
        <v>2</v>
      </c>
      <c r="AM18" s="86">
        <f t="shared" si="8"/>
        <v>27.000000000000224</v>
      </c>
      <c r="AN18" s="98"/>
      <c r="AO18"/>
      <c r="AP18" s="86" t="s">
        <v>225</v>
      </c>
      <c r="AQ18" s="86">
        <v>10</v>
      </c>
      <c r="AR18" s="58">
        <v>11.1</v>
      </c>
      <c r="AS18" s="96"/>
      <c r="AT18" s="96"/>
      <c r="AU18" s="53">
        <v>21.67</v>
      </c>
      <c r="AV18" s="58">
        <f t="shared" si="9"/>
        <v>10.570000000000002</v>
      </c>
      <c r="AW18" s="97">
        <v>7.3</v>
      </c>
      <c r="AX18" s="58">
        <v>1</v>
      </c>
      <c r="AY18" s="59">
        <f t="shared" si="10"/>
        <v>2.2700000000000022</v>
      </c>
      <c r="AZ18" s="86">
        <v>2</v>
      </c>
      <c r="BA18" s="86">
        <f t="shared" si="11"/>
        <v>27.000000000000224</v>
      </c>
      <c r="BB18" s="98"/>
      <c r="BC18" s="86" t="s">
        <v>225</v>
      </c>
      <c r="BD18" s="86">
        <v>10</v>
      </c>
      <c r="BE18" s="58">
        <v>11.1</v>
      </c>
      <c r="BF18" s="96"/>
      <c r="BG18" s="96"/>
      <c r="BH18" s="53">
        <v>21.67</v>
      </c>
      <c r="BI18" s="58">
        <f t="shared" si="12"/>
        <v>10.570000000000002</v>
      </c>
      <c r="BJ18" s="97">
        <v>7.3</v>
      </c>
      <c r="BK18" s="58">
        <v>1</v>
      </c>
      <c r="BL18" s="59">
        <f t="shared" si="13"/>
        <v>2.2700000000000022</v>
      </c>
      <c r="BM18" s="86">
        <v>2</v>
      </c>
      <c r="BN18" s="86">
        <f t="shared" si="14"/>
        <v>27.000000000000224</v>
      </c>
      <c r="BO18" s="98"/>
      <c r="BP18"/>
      <c r="BQ18" s="86" t="s">
        <v>225</v>
      </c>
      <c r="BR18" s="86">
        <v>10</v>
      </c>
      <c r="BS18" s="58">
        <v>11.1</v>
      </c>
      <c r="BT18" s="96"/>
      <c r="BU18" s="96"/>
      <c r="BV18" s="53">
        <v>21.67</v>
      </c>
      <c r="BW18" s="58">
        <f t="shared" si="15"/>
        <v>10.570000000000002</v>
      </c>
      <c r="BX18" s="97">
        <v>7.3</v>
      </c>
      <c r="BY18" s="58">
        <v>1</v>
      </c>
      <c r="BZ18" s="59">
        <f t="shared" si="16"/>
        <v>2.2700000000000022</v>
      </c>
      <c r="CA18" s="86">
        <v>2</v>
      </c>
      <c r="CB18" s="86">
        <f t="shared" si="17"/>
        <v>27.000000000000224</v>
      </c>
      <c r="CC18" s="98"/>
      <c r="CD18"/>
      <c r="CE18" s="86" t="s">
        <v>225</v>
      </c>
      <c r="CF18" s="86">
        <v>10</v>
      </c>
      <c r="CG18" s="58">
        <v>11.1</v>
      </c>
      <c r="CH18" s="96"/>
      <c r="CI18" s="96"/>
      <c r="CJ18" s="53">
        <v>21.67</v>
      </c>
      <c r="CK18" s="58">
        <f t="shared" si="18"/>
        <v>10.570000000000002</v>
      </c>
      <c r="CL18" s="97">
        <v>7.3</v>
      </c>
      <c r="CM18" s="58">
        <v>1</v>
      </c>
      <c r="CN18" s="59">
        <f t="shared" si="19"/>
        <v>2.2700000000000022</v>
      </c>
      <c r="CO18" s="86">
        <v>2</v>
      </c>
      <c r="CP18" s="86">
        <f t="shared" si="20"/>
        <v>27.000000000000224</v>
      </c>
      <c r="CQ18" s="98"/>
      <c r="CR18"/>
      <c r="CS18" s="86" t="s">
        <v>225</v>
      </c>
      <c r="CT18" s="86">
        <v>10</v>
      </c>
      <c r="CU18" s="58">
        <v>11.1</v>
      </c>
      <c r="CV18" s="96"/>
      <c r="CW18" s="96"/>
      <c r="CX18" s="53">
        <v>21.67</v>
      </c>
      <c r="CY18" s="58">
        <f t="shared" si="21"/>
        <v>10.570000000000002</v>
      </c>
      <c r="CZ18" s="97">
        <v>7.3</v>
      </c>
      <c r="DA18" s="58">
        <v>1</v>
      </c>
      <c r="DB18" s="59">
        <f t="shared" si="22"/>
        <v>2.2700000000000022</v>
      </c>
      <c r="DC18" s="86">
        <v>2</v>
      </c>
      <c r="DD18" s="86">
        <f t="shared" si="23"/>
        <v>27.000000000000224</v>
      </c>
      <c r="DE18" s="98"/>
      <c r="DF18"/>
      <c r="DG18" s="86" t="s">
        <v>225</v>
      </c>
      <c r="DH18" s="86">
        <v>10</v>
      </c>
      <c r="DI18" s="58">
        <v>11.1</v>
      </c>
      <c r="DJ18" s="96"/>
      <c r="DK18" s="96"/>
      <c r="DL18" s="53">
        <v>21.67</v>
      </c>
      <c r="DM18" s="58">
        <f t="shared" si="24"/>
        <v>10.570000000000002</v>
      </c>
      <c r="DN18" s="97">
        <v>7.3</v>
      </c>
      <c r="DO18" s="58">
        <v>1</v>
      </c>
      <c r="DP18" s="59">
        <f t="shared" si="25"/>
        <v>2.2700000000000022</v>
      </c>
      <c r="DQ18" s="86">
        <v>2</v>
      </c>
      <c r="DR18" s="86">
        <f t="shared" si="26"/>
        <v>27.000000000000224</v>
      </c>
      <c r="DS18" s="98"/>
      <c r="DT18"/>
    </row>
    <row r="19" spans="1:124" ht="17.149999999999999" customHeight="1" x14ac:dyDescent="0.35">
      <c r="A19" s="86" t="s">
        <v>4</v>
      </c>
      <c r="B19" s="86">
        <v>11</v>
      </c>
      <c r="C19" s="58">
        <v>11.1</v>
      </c>
      <c r="D19" s="96"/>
      <c r="E19" s="96"/>
      <c r="F19" s="53">
        <v>21.75</v>
      </c>
      <c r="G19" s="58">
        <f t="shared" si="0"/>
        <v>10.65</v>
      </c>
      <c r="H19" s="97">
        <v>7.3</v>
      </c>
      <c r="I19" s="58">
        <v>1</v>
      </c>
      <c r="J19" s="59">
        <f t="shared" si="1"/>
        <v>2.3500000000000005</v>
      </c>
      <c r="K19" s="86">
        <v>2</v>
      </c>
      <c r="L19" s="86">
        <f t="shared" si="2"/>
        <v>35.000000000000057</v>
      </c>
      <c r="M19" s="98"/>
      <c r="O19" s="86" t="s">
        <v>4</v>
      </c>
      <c r="P19" s="86">
        <v>11</v>
      </c>
      <c r="Q19" s="58">
        <v>11.1</v>
      </c>
      <c r="R19" s="96"/>
      <c r="S19" s="96"/>
      <c r="T19" s="53">
        <v>21.75</v>
      </c>
      <c r="U19" s="58">
        <f t="shared" si="3"/>
        <v>10.65</v>
      </c>
      <c r="V19" s="97">
        <v>7.3</v>
      </c>
      <c r="W19" s="58">
        <v>1</v>
      </c>
      <c r="X19" s="59">
        <f t="shared" si="4"/>
        <v>2.3500000000000005</v>
      </c>
      <c r="Y19" s="86">
        <v>2</v>
      </c>
      <c r="Z19" s="86">
        <f t="shared" si="5"/>
        <v>35.000000000000057</v>
      </c>
      <c r="AA19" s="98"/>
      <c r="AB19" s="86" t="s">
        <v>4</v>
      </c>
      <c r="AC19" s="86">
        <v>11</v>
      </c>
      <c r="AD19" s="58">
        <v>11.1</v>
      </c>
      <c r="AE19" s="96"/>
      <c r="AF19" s="96"/>
      <c r="AG19" s="53">
        <v>21.75</v>
      </c>
      <c r="AH19" s="58">
        <f t="shared" si="6"/>
        <v>10.65</v>
      </c>
      <c r="AI19" s="97">
        <v>7.3</v>
      </c>
      <c r="AJ19" s="58">
        <v>1</v>
      </c>
      <c r="AK19" s="59">
        <f t="shared" si="7"/>
        <v>2.3500000000000005</v>
      </c>
      <c r="AL19" s="86">
        <v>2</v>
      </c>
      <c r="AM19" s="86">
        <f t="shared" si="8"/>
        <v>35.000000000000057</v>
      </c>
      <c r="AN19" s="98"/>
      <c r="AP19" s="86" t="s">
        <v>4</v>
      </c>
      <c r="AQ19" s="86">
        <v>11</v>
      </c>
      <c r="AR19" s="58">
        <v>11.1</v>
      </c>
      <c r="AS19" s="96"/>
      <c r="AT19" s="96"/>
      <c r="AU19" s="53">
        <v>21.75</v>
      </c>
      <c r="AV19" s="58">
        <f t="shared" si="9"/>
        <v>10.65</v>
      </c>
      <c r="AW19" s="97">
        <v>7.3</v>
      </c>
      <c r="AX19" s="58">
        <v>1</v>
      </c>
      <c r="AY19" s="59">
        <f t="shared" si="10"/>
        <v>2.3500000000000005</v>
      </c>
      <c r="AZ19" s="86">
        <v>2</v>
      </c>
      <c r="BA19" s="86">
        <f t="shared" si="11"/>
        <v>35.000000000000057</v>
      </c>
      <c r="BB19" s="98"/>
      <c r="BC19" s="86" t="s">
        <v>4</v>
      </c>
      <c r="BD19" s="86">
        <v>11</v>
      </c>
      <c r="BE19" s="58">
        <v>11.1</v>
      </c>
      <c r="BF19" s="96"/>
      <c r="BG19" s="96"/>
      <c r="BH19" s="53">
        <v>21.75</v>
      </c>
      <c r="BI19" s="58">
        <f t="shared" si="12"/>
        <v>10.65</v>
      </c>
      <c r="BJ19" s="97">
        <v>7.3</v>
      </c>
      <c r="BK19" s="58">
        <v>1</v>
      </c>
      <c r="BL19" s="59">
        <f t="shared" si="13"/>
        <v>2.3500000000000005</v>
      </c>
      <c r="BM19" s="86">
        <v>2</v>
      </c>
      <c r="BN19" s="86">
        <f t="shared" si="14"/>
        <v>35.000000000000057</v>
      </c>
      <c r="BO19" s="98"/>
      <c r="BQ19" s="86" t="s">
        <v>4</v>
      </c>
      <c r="BR19" s="86">
        <v>11</v>
      </c>
      <c r="BS19" s="58">
        <v>11.1</v>
      </c>
      <c r="BT19" s="96"/>
      <c r="BU19" s="96"/>
      <c r="BV19" s="53">
        <v>21.75</v>
      </c>
      <c r="BW19" s="58">
        <f t="shared" si="15"/>
        <v>10.65</v>
      </c>
      <c r="BX19" s="97">
        <v>7.3</v>
      </c>
      <c r="BY19" s="58">
        <v>1</v>
      </c>
      <c r="BZ19" s="59">
        <f t="shared" si="16"/>
        <v>2.3500000000000005</v>
      </c>
      <c r="CA19" s="86">
        <v>2</v>
      </c>
      <c r="CB19" s="86">
        <f t="shared" si="17"/>
        <v>35.000000000000057</v>
      </c>
      <c r="CC19" s="98"/>
      <c r="CE19" s="86" t="s">
        <v>4</v>
      </c>
      <c r="CF19" s="86">
        <v>11</v>
      </c>
      <c r="CG19" s="58">
        <v>11.1</v>
      </c>
      <c r="CH19" s="96"/>
      <c r="CI19" s="96"/>
      <c r="CJ19" s="53">
        <v>21.75</v>
      </c>
      <c r="CK19" s="58">
        <f t="shared" si="18"/>
        <v>10.65</v>
      </c>
      <c r="CL19" s="97">
        <v>7.3</v>
      </c>
      <c r="CM19" s="58">
        <v>1</v>
      </c>
      <c r="CN19" s="59">
        <f t="shared" si="19"/>
        <v>2.3500000000000005</v>
      </c>
      <c r="CO19" s="86">
        <v>2</v>
      </c>
      <c r="CP19" s="86">
        <f t="shared" si="20"/>
        <v>35.000000000000057</v>
      </c>
      <c r="CQ19" s="98"/>
      <c r="CS19" s="86" t="s">
        <v>4</v>
      </c>
      <c r="CT19" s="86">
        <v>11</v>
      </c>
      <c r="CU19" s="58">
        <v>11.1</v>
      </c>
      <c r="CV19" s="96"/>
      <c r="CW19" s="96"/>
      <c r="CX19" s="53">
        <v>21.75</v>
      </c>
      <c r="CY19" s="58">
        <f t="shared" si="21"/>
        <v>10.65</v>
      </c>
      <c r="CZ19" s="97">
        <v>7.3</v>
      </c>
      <c r="DA19" s="58">
        <v>1</v>
      </c>
      <c r="DB19" s="59">
        <f t="shared" si="22"/>
        <v>2.3500000000000005</v>
      </c>
      <c r="DC19" s="86">
        <v>2</v>
      </c>
      <c r="DD19" s="86">
        <f t="shared" si="23"/>
        <v>35.000000000000057</v>
      </c>
      <c r="DE19" s="98"/>
      <c r="DG19" s="86" t="s">
        <v>4</v>
      </c>
      <c r="DH19" s="86">
        <v>11</v>
      </c>
      <c r="DI19" s="58">
        <v>11.1</v>
      </c>
      <c r="DJ19" s="96"/>
      <c r="DK19" s="96"/>
      <c r="DL19" s="53">
        <v>21.75</v>
      </c>
      <c r="DM19" s="58">
        <f t="shared" si="24"/>
        <v>10.65</v>
      </c>
      <c r="DN19" s="97">
        <v>7.3</v>
      </c>
      <c r="DO19" s="58">
        <v>1</v>
      </c>
      <c r="DP19" s="59">
        <f t="shared" si="25"/>
        <v>2.3500000000000005</v>
      </c>
      <c r="DQ19" s="86">
        <v>2</v>
      </c>
      <c r="DR19" s="86">
        <f t="shared" si="26"/>
        <v>35.000000000000057</v>
      </c>
      <c r="DS19" s="98"/>
    </row>
    <row r="20" spans="1:124" ht="17.149999999999999" customHeight="1" x14ac:dyDescent="0.35">
      <c r="A20" s="86" t="s">
        <v>5</v>
      </c>
      <c r="B20" s="86">
        <v>12</v>
      </c>
      <c r="C20" s="58">
        <v>11.1</v>
      </c>
      <c r="D20" s="96"/>
      <c r="E20" s="96"/>
      <c r="F20" s="53">
        <v>21.6</v>
      </c>
      <c r="G20" s="58">
        <f t="shared" si="0"/>
        <v>10.500000000000002</v>
      </c>
      <c r="H20" s="97">
        <v>7.3</v>
      </c>
      <c r="I20" s="58">
        <v>1</v>
      </c>
      <c r="J20" s="59">
        <f t="shared" si="1"/>
        <v>2.200000000000002</v>
      </c>
      <c r="K20" s="86">
        <v>2</v>
      </c>
      <c r="L20" s="86">
        <f t="shared" si="2"/>
        <v>20.000000000000195</v>
      </c>
      <c r="M20" s="98"/>
      <c r="N20" s="93"/>
      <c r="O20" s="86" t="s">
        <v>5</v>
      </c>
      <c r="P20" s="86">
        <v>12</v>
      </c>
      <c r="Q20" s="58">
        <v>11.1</v>
      </c>
      <c r="R20" s="96"/>
      <c r="S20" s="96"/>
      <c r="T20" s="53">
        <v>21.6</v>
      </c>
      <c r="U20" s="58">
        <f t="shared" si="3"/>
        <v>10.500000000000002</v>
      </c>
      <c r="V20" s="97">
        <v>7.3</v>
      </c>
      <c r="W20" s="58">
        <v>1</v>
      </c>
      <c r="X20" s="59">
        <f t="shared" si="4"/>
        <v>2.200000000000002</v>
      </c>
      <c r="Y20" s="86">
        <v>2</v>
      </c>
      <c r="Z20" s="86">
        <f t="shared" si="5"/>
        <v>20.000000000000195</v>
      </c>
      <c r="AA20" s="98"/>
      <c r="AB20" s="86" t="s">
        <v>5</v>
      </c>
      <c r="AC20" s="86">
        <v>12</v>
      </c>
      <c r="AD20" s="58">
        <v>11.1</v>
      </c>
      <c r="AE20" s="96"/>
      <c r="AF20" s="96"/>
      <c r="AG20" s="53">
        <v>21.6</v>
      </c>
      <c r="AH20" s="58">
        <f t="shared" si="6"/>
        <v>10.500000000000002</v>
      </c>
      <c r="AI20" s="97">
        <v>7.3</v>
      </c>
      <c r="AJ20" s="58">
        <v>1</v>
      </c>
      <c r="AK20" s="59">
        <f t="shared" si="7"/>
        <v>2.200000000000002</v>
      </c>
      <c r="AL20" s="86">
        <v>2</v>
      </c>
      <c r="AM20" s="86">
        <f t="shared" si="8"/>
        <v>20.000000000000195</v>
      </c>
      <c r="AN20" s="98"/>
      <c r="AO20" s="93"/>
      <c r="AP20" s="86" t="s">
        <v>5</v>
      </c>
      <c r="AQ20" s="86">
        <v>12</v>
      </c>
      <c r="AR20" s="58">
        <v>11.1</v>
      </c>
      <c r="AS20" s="96"/>
      <c r="AT20" s="96"/>
      <c r="AU20" s="53">
        <v>21.6</v>
      </c>
      <c r="AV20" s="58">
        <f t="shared" si="9"/>
        <v>10.500000000000002</v>
      </c>
      <c r="AW20" s="97">
        <v>7.3</v>
      </c>
      <c r="AX20" s="58">
        <v>1</v>
      </c>
      <c r="AY20" s="59">
        <f t="shared" si="10"/>
        <v>2.200000000000002</v>
      </c>
      <c r="AZ20" s="86">
        <v>2</v>
      </c>
      <c r="BA20" s="86">
        <f t="shared" si="11"/>
        <v>20.000000000000195</v>
      </c>
      <c r="BB20" s="98"/>
      <c r="BC20" s="86" t="s">
        <v>5</v>
      </c>
      <c r="BD20" s="86">
        <v>12</v>
      </c>
      <c r="BE20" s="58">
        <v>11.1</v>
      </c>
      <c r="BF20" s="96"/>
      <c r="BG20" s="96"/>
      <c r="BH20" s="53">
        <v>21.6</v>
      </c>
      <c r="BI20" s="58">
        <f t="shared" si="12"/>
        <v>10.500000000000002</v>
      </c>
      <c r="BJ20" s="97">
        <v>7.3</v>
      </c>
      <c r="BK20" s="58">
        <v>1</v>
      </c>
      <c r="BL20" s="59">
        <f t="shared" si="13"/>
        <v>2.200000000000002</v>
      </c>
      <c r="BM20" s="86">
        <v>2</v>
      </c>
      <c r="BN20" s="86">
        <f t="shared" si="14"/>
        <v>20.000000000000195</v>
      </c>
      <c r="BO20" s="98"/>
      <c r="BQ20" s="86" t="s">
        <v>5</v>
      </c>
      <c r="BR20" s="86">
        <v>12</v>
      </c>
      <c r="BS20" s="58">
        <v>11.1</v>
      </c>
      <c r="BT20" s="96"/>
      <c r="BU20" s="96"/>
      <c r="BV20" s="53">
        <v>21.6</v>
      </c>
      <c r="BW20" s="58">
        <f t="shared" si="15"/>
        <v>10.500000000000002</v>
      </c>
      <c r="BX20" s="97">
        <v>7.3</v>
      </c>
      <c r="BY20" s="58">
        <v>1</v>
      </c>
      <c r="BZ20" s="59">
        <f t="shared" si="16"/>
        <v>2.200000000000002</v>
      </c>
      <c r="CA20" s="86">
        <v>2</v>
      </c>
      <c r="CB20" s="86">
        <f t="shared" si="17"/>
        <v>20.000000000000195</v>
      </c>
      <c r="CC20" s="98"/>
      <c r="CE20" s="86" t="s">
        <v>5</v>
      </c>
      <c r="CF20" s="86">
        <v>12</v>
      </c>
      <c r="CG20" s="58">
        <v>11.1</v>
      </c>
      <c r="CH20" s="96"/>
      <c r="CI20" s="96"/>
      <c r="CJ20" s="53">
        <v>21.6</v>
      </c>
      <c r="CK20" s="58">
        <f t="shared" si="18"/>
        <v>10.500000000000002</v>
      </c>
      <c r="CL20" s="97">
        <v>7.3</v>
      </c>
      <c r="CM20" s="58">
        <v>1</v>
      </c>
      <c r="CN20" s="59">
        <f t="shared" si="19"/>
        <v>2.200000000000002</v>
      </c>
      <c r="CO20" s="86">
        <v>2</v>
      </c>
      <c r="CP20" s="86">
        <f t="shared" si="20"/>
        <v>20.000000000000195</v>
      </c>
      <c r="CQ20" s="98"/>
      <c r="CR20" s="93"/>
      <c r="CS20" s="86" t="s">
        <v>5</v>
      </c>
      <c r="CT20" s="86">
        <v>12</v>
      </c>
      <c r="CU20" s="58">
        <v>11.1</v>
      </c>
      <c r="CV20" s="96"/>
      <c r="CW20" s="96"/>
      <c r="CX20" s="53">
        <v>21.6</v>
      </c>
      <c r="CY20" s="58">
        <f t="shared" si="21"/>
        <v>10.500000000000002</v>
      </c>
      <c r="CZ20" s="97">
        <v>7.3</v>
      </c>
      <c r="DA20" s="58">
        <v>1</v>
      </c>
      <c r="DB20" s="59">
        <f t="shared" si="22"/>
        <v>2.200000000000002</v>
      </c>
      <c r="DC20" s="86">
        <v>2</v>
      </c>
      <c r="DD20" s="86">
        <f t="shared" si="23"/>
        <v>20.000000000000195</v>
      </c>
      <c r="DE20" s="98"/>
      <c r="DG20" s="86" t="s">
        <v>5</v>
      </c>
      <c r="DH20" s="86">
        <v>12</v>
      </c>
      <c r="DI20" s="58">
        <v>11.1</v>
      </c>
      <c r="DJ20" s="96"/>
      <c r="DK20" s="96"/>
      <c r="DL20" s="53">
        <v>21.6</v>
      </c>
      <c r="DM20" s="58">
        <f t="shared" si="24"/>
        <v>10.500000000000002</v>
      </c>
      <c r="DN20" s="97">
        <v>7.3</v>
      </c>
      <c r="DO20" s="58">
        <v>1</v>
      </c>
      <c r="DP20" s="59">
        <f t="shared" si="25"/>
        <v>2.200000000000002</v>
      </c>
      <c r="DQ20" s="86">
        <v>2</v>
      </c>
      <c r="DR20" s="86">
        <f t="shared" si="26"/>
        <v>20.000000000000195</v>
      </c>
      <c r="DS20" s="98"/>
    </row>
    <row r="21" spans="1:124" ht="17.149999999999999" customHeight="1" x14ac:dyDescent="0.35">
      <c r="A21" s="55" t="s">
        <v>6</v>
      </c>
      <c r="B21" s="55">
        <v>13</v>
      </c>
      <c r="C21" s="136"/>
      <c r="D21" s="52"/>
      <c r="E21" s="52">
        <v>9.1</v>
      </c>
      <c r="F21" s="52">
        <v>11.31</v>
      </c>
      <c r="G21" s="52">
        <f t="shared" si="0"/>
        <v>2.2100000000000009</v>
      </c>
      <c r="H21" s="56"/>
      <c r="I21" s="52"/>
      <c r="J21" s="57">
        <f t="shared" si="1"/>
        <v>2.2100000000000009</v>
      </c>
      <c r="K21" s="55">
        <v>2</v>
      </c>
      <c r="L21" s="55">
        <f t="shared" si="2"/>
        <v>21.000000000000085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/>
      <c r="Z21" s="55">
        <f t="shared" si="5"/>
        <v>0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>
        <f t="shared" si="6"/>
        <v>0</v>
      </c>
      <c r="AI21" s="56"/>
      <c r="AJ21" s="52"/>
      <c r="AK21" s="57">
        <f t="shared" si="7"/>
        <v>0</v>
      </c>
      <c r="AL21" s="55"/>
      <c r="AM21" s="55">
        <f t="shared" si="8"/>
        <v>0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/>
      <c r="BA21" s="55">
        <f t="shared" si="11"/>
        <v>0</v>
      </c>
      <c r="BB21" s="137"/>
      <c r="BC21" s="55" t="s">
        <v>6</v>
      </c>
      <c r="BD21" s="55">
        <v>13</v>
      </c>
      <c r="BE21" s="136"/>
      <c r="BF21" s="52"/>
      <c r="BG21" s="52"/>
      <c r="BH21" s="52"/>
      <c r="BI21" s="52">
        <f t="shared" si="12"/>
        <v>0</v>
      </c>
      <c r="BJ21" s="56"/>
      <c r="BK21" s="52"/>
      <c r="BL21" s="57">
        <f t="shared" si="13"/>
        <v>0</v>
      </c>
      <c r="BM21" s="55"/>
      <c r="BN21" s="55">
        <f t="shared" si="14"/>
        <v>0</v>
      </c>
      <c r="BO21" s="137"/>
      <c r="BQ21" s="55" t="s">
        <v>6</v>
      </c>
      <c r="BR21" s="55">
        <v>13</v>
      </c>
      <c r="BS21" s="136"/>
      <c r="BT21" s="52"/>
      <c r="BU21" s="52"/>
      <c r="BV21" s="52"/>
      <c r="BW21" s="52">
        <f t="shared" si="15"/>
        <v>0</v>
      </c>
      <c r="BX21" s="56"/>
      <c r="BY21" s="52"/>
      <c r="BZ21" s="57">
        <f t="shared" si="16"/>
        <v>0</v>
      </c>
      <c r="CA21" s="55"/>
      <c r="CB21" s="55">
        <f t="shared" si="17"/>
        <v>0</v>
      </c>
      <c r="CC21" s="137"/>
      <c r="CE21" s="55" t="s">
        <v>6</v>
      </c>
      <c r="CF21" s="55">
        <v>13</v>
      </c>
      <c r="CG21" s="136"/>
      <c r="CH21" s="52"/>
      <c r="CI21" s="52">
        <v>9.0500000000000007</v>
      </c>
      <c r="CJ21" s="52">
        <v>11.3</v>
      </c>
      <c r="CK21" s="52">
        <f t="shared" si="18"/>
        <v>2.25</v>
      </c>
      <c r="CL21" s="56"/>
      <c r="CM21" s="52"/>
      <c r="CN21" s="57">
        <f t="shared" si="19"/>
        <v>2.25</v>
      </c>
      <c r="CO21" s="55">
        <v>2</v>
      </c>
      <c r="CP21" s="55">
        <f t="shared" si="20"/>
        <v>25</v>
      </c>
      <c r="CQ21" s="137"/>
      <c r="CS21" s="55" t="s">
        <v>6</v>
      </c>
      <c r="CT21" s="55">
        <v>13</v>
      </c>
      <c r="CU21" s="136"/>
      <c r="CV21" s="52"/>
      <c r="CW21" s="52">
        <v>9.0500000000000007</v>
      </c>
      <c r="CX21" s="52">
        <v>11.3</v>
      </c>
      <c r="CY21" s="52">
        <f t="shared" si="21"/>
        <v>2.25</v>
      </c>
      <c r="CZ21" s="56"/>
      <c r="DA21" s="52"/>
      <c r="DB21" s="57">
        <f t="shared" si="22"/>
        <v>2.25</v>
      </c>
      <c r="DC21" s="55">
        <v>2</v>
      </c>
      <c r="DD21" s="55">
        <f t="shared" si="23"/>
        <v>25</v>
      </c>
      <c r="DE21" s="137"/>
      <c r="DG21" s="55" t="s">
        <v>6</v>
      </c>
      <c r="DH21" s="55">
        <v>13</v>
      </c>
      <c r="DI21" s="136"/>
      <c r="DJ21" s="52"/>
      <c r="DK21" s="52">
        <v>9.1</v>
      </c>
      <c r="DL21" s="52">
        <v>11.31</v>
      </c>
      <c r="DM21" s="52">
        <f t="shared" si="24"/>
        <v>2.2100000000000009</v>
      </c>
      <c r="DN21" s="56"/>
      <c r="DO21" s="52"/>
      <c r="DP21" s="57">
        <f t="shared" si="25"/>
        <v>2.2100000000000009</v>
      </c>
      <c r="DQ21" s="55">
        <v>2</v>
      </c>
      <c r="DR21" s="55">
        <f t="shared" si="26"/>
        <v>21.000000000000085</v>
      </c>
      <c r="DS21" s="137"/>
    </row>
    <row r="22" spans="1:124" ht="17.149999999999999" customHeight="1" x14ac:dyDescent="0.35">
      <c r="A22" s="86" t="s">
        <v>1</v>
      </c>
      <c r="B22" s="94">
        <v>14</v>
      </c>
      <c r="C22" s="58">
        <v>11.1</v>
      </c>
      <c r="D22" s="96"/>
      <c r="E22" s="96"/>
      <c r="F22" s="53">
        <v>21.6</v>
      </c>
      <c r="G22" s="58">
        <f t="shared" si="0"/>
        <v>10.500000000000002</v>
      </c>
      <c r="H22" s="97">
        <v>7.3</v>
      </c>
      <c r="I22" s="58">
        <v>1</v>
      </c>
      <c r="J22" s="59">
        <f t="shared" si="1"/>
        <v>2.200000000000002</v>
      </c>
      <c r="K22" s="86">
        <v>2</v>
      </c>
      <c r="L22" s="86">
        <f t="shared" si="2"/>
        <v>20.000000000000195</v>
      </c>
      <c r="M22" s="98"/>
      <c r="O22" s="86" t="s">
        <v>1</v>
      </c>
      <c r="P22" s="94">
        <v>14</v>
      </c>
      <c r="Q22" s="58">
        <v>11.1</v>
      </c>
      <c r="R22" s="96"/>
      <c r="S22" s="96"/>
      <c r="T22" s="53">
        <v>21.6</v>
      </c>
      <c r="U22" s="58">
        <f t="shared" si="3"/>
        <v>10.500000000000002</v>
      </c>
      <c r="V22" s="97">
        <v>7.3</v>
      </c>
      <c r="W22" s="58">
        <v>1</v>
      </c>
      <c r="X22" s="59">
        <f t="shared" si="4"/>
        <v>2.200000000000002</v>
      </c>
      <c r="Y22" s="86">
        <v>2</v>
      </c>
      <c r="Z22" s="86">
        <f t="shared" si="5"/>
        <v>20.000000000000195</v>
      </c>
      <c r="AA22" s="98"/>
      <c r="AB22" s="86" t="s">
        <v>1</v>
      </c>
      <c r="AC22" s="94">
        <v>14</v>
      </c>
      <c r="AD22" s="58">
        <v>11.1</v>
      </c>
      <c r="AE22" s="96"/>
      <c r="AF22" s="96"/>
      <c r="AG22" s="53">
        <v>21.6</v>
      </c>
      <c r="AH22" s="58">
        <f t="shared" si="6"/>
        <v>10.500000000000002</v>
      </c>
      <c r="AI22" s="97">
        <v>7.3</v>
      </c>
      <c r="AJ22" s="58">
        <v>1</v>
      </c>
      <c r="AK22" s="59">
        <f t="shared" si="7"/>
        <v>2.200000000000002</v>
      </c>
      <c r="AL22" s="86">
        <v>2</v>
      </c>
      <c r="AM22" s="86">
        <f t="shared" si="8"/>
        <v>20.000000000000195</v>
      </c>
      <c r="AN22" s="98"/>
      <c r="AP22" s="86" t="s">
        <v>1</v>
      </c>
      <c r="AQ22" s="94">
        <v>14</v>
      </c>
      <c r="AR22" s="58">
        <v>11.1</v>
      </c>
      <c r="AS22" s="96"/>
      <c r="AT22" s="96"/>
      <c r="AU22" s="53">
        <v>21.6</v>
      </c>
      <c r="AV22" s="58">
        <f t="shared" si="9"/>
        <v>10.500000000000002</v>
      </c>
      <c r="AW22" s="97">
        <v>7.3</v>
      </c>
      <c r="AX22" s="58">
        <v>1</v>
      </c>
      <c r="AY22" s="59">
        <f t="shared" si="10"/>
        <v>2.200000000000002</v>
      </c>
      <c r="AZ22" s="86">
        <v>2</v>
      </c>
      <c r="BA22" s="86">
        <f t="shared" si="11"/>
        <v>20.000000000000195</v>
      </c>
      <c r="BB22" s="98"/>
      <c r="BC22" s="86" t="s">
        <v>1</v>
      </c>
      <c r="BD22" s="94">
        <v>14</v>
      </c>
      <c r="BE22" s="58">
        <v>11.1</v>
      </c>
      <c r="BF22" s="96"/>
      <c r="BG22" s="96"/>
      <c r="BH22" s="53">
        <v>21.6</v>
      </c>
      <c r="BI22" s="58">
        <f t="shared" si="12"/>
        <v>10.500000000000002</v>
      </c>
      <c r="BJ22" s="97">
        <v>7.3</v>
      </c>
      <c r="BK22" s="58">
        <v>1</v>
      </c>
      <c r="BL22" s="59">
        <f t="shared" si="13"/>
        <v>2.200000000000002</v>
      </c>
      <c r="BM22" s="86">
        <v>2</v>
      </c>
      <c r="BN22" s="86">
        <f t="shared" si="14"/>
        <v>20.000000000000195</v>
      </c>
      <c r="BO22" s="98"/>
      <c r="BQ22" s="86" t="s">
        <v>1</v>
      </c>
      <c r="BR22" s="94">
        <v>14</v>
      </c>
      <c r="BS22" s="58">
        <v>11.1</v>
      </c>
      <c r="BT22" s="96"/>
      <c r="BU22" s="96"/>
      <c r="BV22" s="53">
        <v>21.6</v>
      </c>
      <c r="BW22" s="58">
        <f t="shared" si="15"/>
        <v>10.500000000000002</v>
      </c>
      <c r="BX22" s="97">
        <v>7.3</v>
      </c>
      <c r="BY22" s="58">
        <v>1</v>
      </c>
      <c r="BZ22" s="59">
        <f t="shared" si="16"/>
        <v>2.200000000000002</v>
      </c>
      <c r="CA22" s="86">
        <v>2</v>
      </c>
      <c r="CB22" s="86">
        <f t="shared" si="17"/>
        <v>20.000000000000195</v>
      </c>
      <c r="CC22" s="98"/>
      <c r="CE22" s="86" t="s">
        <v>1</v>
      </c>
      <c r="CF22" s="94">
        <v>14</v>
      </c>
      <c r="CG22" s="58">
        <v>11.1</v>
      </c>
      <c r="CH22" s="96"/>
      <c r="CI22" s="96"/>
      <c r="CJ22" s="53">
        <v>21.6</v>
      </c>
      <c r="CK22" s="58">
        <f t="shared" si="18"/>
        <v>10.500000000000002</v>
      </c>
      <c r="CL22" s="97">
        <v>7.3</v>
      </c>
      <c r="CM22" s="58">
        <v>1</v>
      </c>
      <c r="CN22" s="59">
        <f t="shared" si="19"/>
        <v>2.200000000000002</v>
      </c>
      <c r="CO22" s="86">
        <v>2</v>
      </c>
      <c r="CP22" s="86">
        <f t="shared" si="20"/>
        <v>20.000000000000195</v>
      </c>
      <c r="CQ22" s="98"/>
      <c r="CS22" s="86" t="s">
        <v>1</v>
      </c>
      <c r="CT22" s="94">
        <v>14</v>
      </c>
      <c r="CU22" s="58">
        <v>11.1</v>
      </c>
      <c r="CV22" s="96"/>
      <c r="CW22" s="96"/>
      <c r="CX22" s="53">
        <v>21.6</v>
      </c>
      <c r="CY22" s="58">
        <f t="shared" si="21"/>
        <v>10.500000000000002</v>
      </c>
      <c r="CZ22" s="97">
        <v>7.3</v>
      </c>
      <c r="DA22" s="58">
        <v>1</v>
      </c>
      <c r="DB22" s="59">
        <f t="shared" si="22"/>
        <v>2.200000000000002</v>
      </c>
      <c r="DC22" s="86">
        <v>2</v>
      </c>
      <c r="DD22" s="86">
        <f t="shared" si="23"/>
        <v>20.000000000000195</v>
      </c>
      <c r="DE22" s="98"/>
      <c r="DG22" s="86" t="s">
        <v>1</v>
      </c>
      <c r="DH22" s="94">
        <v>14</v>
      </c>
      <c r="DI22" s="58">
        <v>11.1</v>
      </c>
      <c r="DJ22" s="96"/>
      <c r="DK22" s="96"/>
      <c r="DL22" s="53">
        <v>21.6</v>
      </c>
      <c r="DM22" s="58">
        <f t="shared" si="24"/>
        <v>10.500000000000002</v>
      </c>
      <c r="DN22" s="97">
        <v>7.3</v>
      </c>
      <c r="DO22" s="58">
        <v>1</v>
      </c>
      <c r="DP22" s="59">
        <f t="shared" si="25"/>
        <v>2.200000000000002</v>
      </c>
      <c r="DQ22" s="86">
        <v>2</v>
      </c>
      <c r="DR22" s="86">
        <f t="shared" si="26"/>
        <v>20.000000000000195</v>
      </c>
      <c r="DS22" s="98"/>
    </row>
    <row r="23" spans="1:124" ht="17.149999999999999" customHeight="1" x14ac:dyDescent="0.35">
      <c r="A23" s="86" t="s">
        <v>216</v>
      </c>
      <c r="B23" s="94">
        <v>15</v>
      </c>
      <c r="C23" s="58">
        <v>11.1</v>
      </c>
      <c r="D23" s="96"/>
      <c r="E23" s="96"/>
      <c r="F23" s="53">
        <v>21.63</v>
      </c>
      <c r="G23" s="58">
        <f t="shared" si="0"/>
        <v>10.53</v>
      </c>
      <c r="H23" s="97">
        <v>7.3</v>
      </c>
      <c r="I23" s="58">
        <v>1</v>
      </c>
      <c r="J23" s="59">
        <f t="shared" si="1"/>
        <v>2.2299999999999995</v>
      </c>
      <c r="K23" s="86">
        <v>2</v>
      </c>
      <c r="L23" s="86">
        <f t="shared" si="2"/>
        <v>22.999999999999954</v>
      </c>
      <c r="M23" s="103"/>
      <c r="O23" s="86" t="s">
        <v>216</v>
      </c>
      <c r="P23" s="94">
        <v>15</v>
      </c>
      <c r="Q23" s="58">
        <v>11.1</v>
      </c>
      <c r="R23" s="96"/>
      <c r="S23" s="96"/>
      <c r="T23" s="53">
        <v>21.63</v>
      </c>
      <c r="U23" s="58">
        <f t="shared" si="3"/>
        <v>10.53</v>
      </c>
      <c r="V23" s="97">
        <v>7.3</v>
      </c>
      <c r="W23" s="58">
        <v>1</v>
      </c>
      <c r="X23" s="59">
        <f t="shared" si="4"/>
        <v>2.2299999999999995</v>
      </c>
      <c r="Y23" s="86">
        <v>2</v>
      </c>
      <c r="Z23" s="86">
        <f t="shared" si="5"/>
        <v>22.999999999999954</v>
      </c>
      <c r="AA23" s="103"/>
      <c r="AB23" s="86" t="s">
        <v>216</v>
      </c>
      <c r="AC23" s="94">
        <v>15</v>
      </c>
      <c r="AD23" s="58">
        <v>11.1</v>
      </c>
      <c r="AE23" s="96"/>
      <c r="AF23" s="96"/>
      <c r="AG23" s="53">
        <v>21.63</v>
      </c>
      <c r="AH23" s="58">
        <f t="shared" si="6"/>
        <v>10.53</v>
      </c>
      <c r="AI23" s="97">
        <v>7.3</v>
      </c>
      <c r="AJ23" s="58">
        <v>1</v>
      </c>
      <c r="AK23" s="59">
        <f t="shared" si="7"/>
        <v>2.2299999999999995</v>
      </c>
      <c r="AL23" s="86">
        <v>2</v>
      </c>
      <c r="AM23" s="86">
        <f t="shared" si="8"/>
        <v>22.999999999999954</v>
      </c>
      <c r="AN23" s="103"/>
      <c r="AP23" s="86" t="s">
        <v>216</v>
      </c>
      <c r="AQ23" s="94">
        <v>15</v>
      </c>
      <c r="AR23" s="58">
        <v>11.1</v>
      </c>
      <c r="AS23" s="96"/>
      <c r="AT23" s="96"/>
      <c r="AU23" s="53">
        <v>21.63</v>
      </c>
      <c r="AV23" s="58">
        <f t="shared" si="9"/>
        <v>10.53</v>
      </c>
      <c r="AW23" s="97">
        <v>7.3</v>
      </c>
      <c r="AX23" s="58">
        <v>1</v>
      </c>
      <c r="AY23" s="59">
        <f t="shared" si="10"/>
        <v>2.2299999999999995</v>
      </c>
      <c r="AZ23" s="86">
        <v>2</v>
      </c>
      <c r="BA23" s="86">
        <f t="shared" si="11"/>
        <v>22.999999999999954</v>
      </c>
      <c r="BB23" s="103"/>
      <c r="BC23" s="86" t="s">
        <v>216</v>
      </c>
      <c r="BD23" s="94">
        <v>15</v>
      </c>
      <c r="BE23" s="58">
        <v>11.1</v>
      </c>
      <c r="BF23" s="96"/>
      <c r="BG23" s="96"/>
      <c r="BH23" s="53">
        <v>21.63</v>
      </c>
      <c r="BI23" s="58">
        <f t="shared" si="12"/>
        <v>10.53</v>
      </c>
      <c r="BJ23" s="97">
        <v>7.3</v>
      </c>
      <c r="BK23" s="58">
        <v>1</v>
      </c>
      <c r="BL23" s="59">
        <f t="shared" si="13"/>
        <v>2.2299999999999995</v>
      </c>
      <c r="BM23" s="86">
        <v>2</v>
      </c>
      <c r="BN23" s="86">
        <f t="shared" si="14"/>
        <v>22.999999999999954</v>
      </c>
      <c r="BO23" s="103"/>
      <c r="BQ23" s="86" t="s">
        <v>216</v>
      </c>
      <c r="BR23" s="94">
        <v>15</v>
      </c>
      <c r="BS23" s="58">
        <v>11.1</v>
      </c>
      <c r="BT23" s="96"/>
      <c r="BU23" s="96"/>
      <c r="BV23" s="53">
        <v>21.63</v>
      </c>
      <c r="BW23" s="58">
        <f t="shared" si="15"/>
        <v>10.53</v>
      </c>
      <c r="BX23" s="97">
        <v>7.3</v>
      </c>
      <c r="BY23" s="58">
        <v>1</v>
      </c>
      <c r="BZ23" s="59">
        <f t="shared" si="16"/>
        <v>2.2299999999999995</v>
      </c>
      <c r="CA23" s="86">
        <v>2</v>
      </c>
      <c r="CB23" s="86">
        <f t="shared" si="17"/>
        <v>22.999999999999954</v>
      </c>
      <c r="CC23" s="103"/>
      <c r="CE23" s="86" t="s">
        <v>216</v>
      </c>
      <c r="CF23" s="94">
        <v>15</v>
      </c>
      <c r="CG23" s="58">
        <v>11.1</v>
      </c>
      <c r="CH23" s="96"/>
      <c r="CI23" s="96"/>
      <c r="CJ23" s="53">
        <v>21.63</v>
      </c>
      <c r="CK23" s="58">
        <f t="shared" si="18"/>
        <v>10.53</v>
      </c>
      <c r="CL23" s="97">
        <v>7.3</v>
      </c>
      <c r="CM23" s="58">
        <v>1</v>
      </c>
      <c r="CN23" s="59">
        <f t="shared" si="19"/>
        <v>2.2299999999999995</v>
      </c>
      <c r="CO23" s="86">
        <v>2</v>
      </c>
      <c r="CP23" s="86">
        <f t="shared" si="20"/>
        <v>22.999999999999954</v>
      </c>
      <c r="CQ23" s="103"/>
      <c r="CS23" s="86" t="s">
        <v>216</v>
      </c>
      <c r="CT23" s="94">
        <v>15</v>
      </c>
      <c r="CU23" s="58">
        <v>11.1</v>
      </c>
      <c r="CV23" s="96"/>
      <c r="CW23" s="96"/>
      <c r="CX23" s="53">
        <v>21.63</v>
      </c>
      <c r="CY23" s="58">
        <f t="shared" si="21"/>
        <v>10.53</v>
      </c>
      <c r="CZ23" s="97">
        <v>7.3</v>
      </c>
      <c r="DA23" s="58">
        <v>1</v>
      </c>
      <c r="DB23" s="59">
        <f t="shared" si="22"/>
        <v>2.2299999999999995</v>
      </c>
      <c r="DC23" s="86">
        <v>2</v>
      </c>
      <c r="DD23" s="86">
        <f t="shared" si="23"/>
        <v>22.999999999999954</v>
      </c>
      <c r="DE23" s="103"/>
      <c r="DG23" s="86" t="s">
        <v>216</v>
      </c>
      <c r="DH23" s="94">
        <v>15</v>
      </c>
      <c r="DI23" s="58">
        <v>11.1</v>
      </c>
      <c r="DJ23" s="96"/>
      <c r="DK23" s="96"/>
      <c r="DL23" s="53">
        <v>21.63</v>
      </c>
      <c r="DM23" s="58">
        <f t="shared" si="24"/>
        <v>10.53</v>
      </c>
      <c r="DN23" s="97">
        <v>7.3</v>
      </c>
      <c r="DO23" s="58">
        <v>1</v>
      </c>
      <c r="DP23" s="59">
        <f t="shared" si="25"/>
        <v>2.2299999999999995</v>
      </c>
      <c r="DQ23" s="86">
        <v>2</v>
      </c>
      <c r="DR23" s="86">
        <f t="shared" si="26"/>
        <v>22.999999999999954</v>
      </c>
      <c r="DS23" s="103"/>
    </row>
    <row r="24" spans="1:124" ht="17.149999999999999" customHeight="1" x14ac:dyDescent="0.35">
      <c r="A24" s="86" t="s">
        <v>2</v>
      </c>
      <c r="B24" s="94">
        <v>16</v>
      </c>
      <c r="C24" s="58">
        <v>11.1</v>
      </c>
      <c r="D24" s="96"/>
      <c r="E24" s="96"/>
      <c r="F24" s="53">
        <v>21.94</v>
      </c>
      <c r="G24" s="58">
        <f t="shared" si="0"/>
        <v>10.840000000000002</v>
      </c>
      <c r="H24" s="97">
        <v>7.3</v>
      </c>
      <c r="I24" s="58">
        <v>1</v>
      </c>
      <c r="J24" s="59">
        <f t="shared" si="1"/>
        <v>2.5400000000000018</v>
      </c>
      <c r="K24" s="86">
        <v>2</v>
      </c>
      <c r="L24" s="86">
        <f t="shared" si="2"/>
        <v>54.000000000000185</v>
      </c>
      <c r="M24" s="98"/>
      <c r="O24" s="86" t="s">
        <v>2</v>
      </c>
      <c r="P24" s="94">
        <v>16</v>
      </c>
      <c r="Q24" s="58">
        <v>11.1</v>
      </c>
      <c r="R24" s="96"/>
      <c r="S24" s="96"/>
      <c r="T24" s="53">
        <v>21.94</v>
      </c>
      <c r="U24" s="58">
        <f t="shared" si="3"/>
        <v>10.840000000000002</v>
      </c>
      <c r="V24" s="97">
        <v>7.3</v>
      </c>
      <c r="W24" s="58">
        <v>1</v>
      </c>
      <c r="X24" s="59">
        <f t="shared" si="4"/>
        <v>2.5400000000000018</v>
      </c>
      <c r="Y24" s="86">
        <v>2</v>
      </c>
      <c r="Z24" s="86">
        <f t="shared" si="5"/>
        <v>54.000000000000185</v>
      </c>
      <c r="AA24" s="98"/>
      <c r="AB24" s="86" t="s">
        <v>2</v>
      </c>
      <c r="AC24" s="94">
        <v>16</v>
      </c>
      <c r="AD24" s="58">
        <v>11.1</v>
      </c>
      <c r="AE24" s="96"/>
      <c r="AF24" s="96"/>
      <c r="AG24" s="53">
        <v>21.94</v>
      </c>
      <c r="AH24" s="58">
        <f t="shared" si="6"/>
        <v>10.840000000000002</v>
      </c>
      <c r="AI24" s="97">
        <v>7.3</v>
      </c>
      <c r="AJ24" s="58">
        <v>1</v>
      </c>
      <c r="AK24" s="59">
        <f t="shared" si="7"/>
        <v>2.5400000000000018</v>
      </c>
      <c r="AL24" s="86">
        <v>2</v>
      </c>
      <c r="AM24" s="86">
        <f t="shared" si="8"/>
        <v>54.000000000000185</v>
      </c>
      <c r="AN24" s="98"/>
      <c r="AP24" s="86" t="s">
        <v>2</v>
      </c>
      <c r="AQ24" s="94">
        <v>16</v>
      </c>
      <c r="AR24" s="58">
        <v>11.1</v>
      </c>
      <c r="AS24" s="96"/>
      <c r="AT24" s="96"/>
      <c r="AU24" s="53">
        <v>21.94</v>
      </c>
      <c r="AV24" s="58">
        <f t="shared" si="9"/>
        <v>10.840000000000002</v>
      </c>
      <c r="AW24" s="97">
        <v>7.3</v>
      </c>
      <c r="AX24" s="58">
        <v>1</v>
      </c>
      <c r="AY24" s="59">
        <f t="shared" si="10"/>
        <v>2.5400000000000018</v>
      </c>
      <c r="AZ24" s="86">
        <v>2</v>
      </c>
      <c r="BA24" s="86">
        <f t="shared" si="11"/>
        <v>54.000000000000185</v>
      </c>
      <c r="BB24" s="98"/>
      <c r="BC24" s="86" t="s">
        <v>2</v>
      </c>
      <c r="BD24" s="94">
        <v>16</v>
      </c>
      <c r="BE24" s="58">
        <v>11.1</v>
      </c>
      <c r="BF24" s="96"/>
      <c r="BG24" s="96"/>
      <c r="BH24" s="53">
        <v>21.94</v>
      </c>
      <c r="BI24" s="58">
        <f t="shared" si="12"/>
        <v>10.840000000000002</v>
      </c>
      <c r="BJ24" s="97">
        <v>7.3</v>
      </c>
      <c r="BK24" s="58">
        <v>1</v>
      </c>
      <c r="BL24" s="59">
        <f t="shared" si="13"/>
        <v>2.5400000000000018</v>
      </c>
      <c r="BM24" s="86">
        <v>2</v>
      </c>
      <c r="BN24" s="86">
        <f t="shared" si="14"/>
        <v>54.000000000000185</v>
      </c>
      <c r="BO24" s="98"/>
      <c r="BQ24" s="86" t="s">
        <v>2</v>
      </c>
      <c r="BR24" s="94">
        <v>16</v>
      </c>
      <c r="BS24" s="58">
        <v>11.1</v>
      </c>
      <c r="BT24" s="96"/>
      <c r="BU24" s="96"/>
      <c r="BV24" s="53">
        <v>21.94</v>
      </c>
      <c r="BW24" s="58">
        <f t="shared" si="15"/>
        <v>10.840000000000002</v>
      </c>
      <c r="BX24" s="97">
        <v>7.3</v>
      </c>
      <c r="BY24" s="58">
        <v>1</v>
      </c>
      <c r="BZ24" s="59">
        <f t="shared" si="16"/>
        <v>2.5400000000000018</v>
      </c>
      <c r="CA24" s="86">
        <v>2</v>
      </c>
      <c r="CB24" s="86">
        <f t="shared" si="17"/>
        <v>54.000000000000185</v>
      </c>
      <c r="CC24" s="98"/>
      <c r="CE24" s="86" t="s">
        <v>2</v>
      </c>
      <c r="CF24" s="94">
        <v>16</v>
      </c>
      <c r="CG24" s="58">
        <v>11.1</v>
      </c>
      <c r="CH24" s="96"/>
      <c r="CI24" s="96"/>
      <c r="CJ24" s="53">
        <v>21.94</v>
      </c>
      <c r="CK24" s="58">
        <f t="shared" si="18"/>
        <v>10.840000000000002</v>
      </c>
      <c r="CL24" s="97">
        <v>7.3</v>
      </c>
      <c r="CM24" s="58">
        <v>1</v>
      </c>
      <c r="CN24" s="59">
        <f t="shared" si="19"/>
        <v>2.5400000000000018</v>
      </c>
      <c r="CO24" s="86">
        <v>2</v>
      </c>
      <c r="CP24" s="86">
        <f t="shared" si="20"/>
        <v>54.000000000000185</v>
      </c>
      <c r="CQ24" s="98"/>
      <c r="CS24" s="86" t="s">
        <v>2</v>
      </c>
      <c r="CT24" s="94">
        <v>16</v>
      </c>
      <c r="CU24" s="58">
        <v>11.1</v>
      </c>
      <c r="CV24" s="96"/>
      <c r="CW24" s="96"/>
      <c r="CX24" s="53">
        <v>21.94</v>
      </c>
      <c r="CY24" s="58">
        <f t="shared" si="21"/>
        <v>10.840000000000002</v>
      </c>
      <c r="CZ24" s="97">
        <v>7.3</v>
      </c>
      <c r="DA24" s="58">
        <v>1</v>
      </c>
      <c r="DB24" s="59">
        <f t="shared" si="22"/>
        <v>2.5400000000000018</v>
      </c>
      <c r="DC24" s="86">
        <v>2</v>
      </c>
      <c r="DD24" s="86">
        <f t="shared" si="23"/>
        <v>54.000000000000185</v>
      </c>
      <c r="DE24" s="98"/>
      <c r="DG24" s="86" t="s">
        <v>2</v>
      </c>
      <c r="DH24" s="94">
        <v>16</v>
      </c>
      <c r="DI24" s="58">
        <v>11.1</v>
      </c>
      <c r="DJ24" s="96"/>
      <c r="DK24" s="96"/>
      <c r="DL24" s="53">
        <v>21.94</v>
      </c>
      <c r="DM24" s="58">
        <f t="shared" si="24"/>
        <v>10.840000000000002</v>
      </c>
      <c r="DN24" s="97">
        <v>7.3</v>
      </c>
      <c r="DO24" s="58">
        <v>1</v>
      </c>
      <c r="DP24" s="59">
        <f t="shared" si="25"/>
        <v>2.5400000000000018</v>
      </c>
      <c r="DQ24" s="86">
        <v>2</v>
      </c>
      <c r="DR24" s="86">
        <f t="shared" si="26"/>
        <v>54.000000000000185</v>
      </c>
      <c r="DS24" s="98"/>
    </row>
    <row r="25" spans="1:124" s="54" customFormat="1" ht="17.149999999999999" customHeight="1" x14ac:dyDescent="0.35">
      <c r="A25" s="86" t="s">
        <v>225</v>
      </c>
      <c r="B25" s="94">
        <v>17</v>
      </c>
      <c r="C25" s="58">
        <v>11.1</v>
      </c>
      <c r="D25" s="96"/>
      <c r="E25" s="96"/>
      <c r="F25" s="53">
        <v>22.45</v>
      </c>
      <c r="G25" s="58">
        <f t="shared" si="0"/>
        <v>11.35</v>
      </c>
      <c r="H25" s="97">
        <v>7.3</v>
      </c>
      <c r="I25" s="58">
        <v>1</v>
      </c>
      <c r="J25" s="59">
        <f t="shared" si="1"/>
        <v>3.05</v>
      </c>
      <c r="K25" s="86">
        <v>3</v>
      </c>
      <c r="L25" s="86">
        <f t="shared" si="2"/>
        <v>4.9999999999999822</v>
      </c>
      <c r="M25" s="86"/>
      <c r="N25"/>
      <c r="O25" s="86" t="s">
        <v>225</v>
      </c>
      <c r="P25" s="94">
        <v>17</v>
      </c>
      <c r="Q25" s="58">
        <v>11.1</v>
      </c>
      <c r="R25" s="96"/>
      <c r="S25" s="96"/>
      <c r="T25" s="53">
        <v>22.45</v>
      </c>
      <c r="U25" s="58">
        <f t="shared" si="3"/>
        <v>11.35</v>
      </c>
      <c r="V25" s="97">
        <v>7.3</v>
      </c>
      <c r="W25" s="58">
        <v>1</v>
      </c>
      <c r="X25" s="59">
        <f t="shared" si="4"/>
        <v>3.05</v>
      </c>
      <c r="Y25" s="86">
        <v>3</v>
      </c>
      <c r="Z25" s="86">
        <f t="shared" si="5"/>
        <v>4.9999999999999822</v>
      </c>
      <c r="AA25" s="86"/>
      <c r="AB25" s="86" t="s">
        <v>225</v>
      </c>
      <c r="AC25" s="94">
        <v>17</v>
      </c>
      <c r="AD25" s="58">
        <v>11.1</v>
      </c>
      <c r="AE25" s="96"/>
      <c r="AF25" s="96"/>
      <c r="AG25" s="53">
        <v>22.45</v>
      </c>
      <c r="AH25" s="58">
        <f t="shared" si="6"/>
        <v>11.35</v>
      </c>
      <c r="AI25" s="97">
        <v>7.3</v>
      </c>
      <c r="AJ25" s="58">
        <v>1</v>
      </c>
      <c r="AK25" s="59">
        <f t="shared" si="7"/>
        <v>3.05</v>
      </c>
      <c r="AL25" s="86">
        <v>3</v>
      </c>
      <c r="AM25" s="86">
        <f t="shared" si="8"/>
        <v>4.9999999999999822</v>
      </c>
      <c r="AN25" s="86"/>
      <c r="AO25"/>
      <c r="AP25" s="86" t="s">
        <v>225</v>
      </c>
      <c r="AQ25" s="94">
        <v>17</v>
      </c>
      <c r="AR25" s="58">
        <v>11.1</v>
      </c>
      <c r="AS25" s="96"/>
      <c r="AT25" s="96"/>
      <c r="AU25" s="53">
        <v>22.45</v>
      </c>
      <c r="AV25" s="58">
        <f t="shared" si="9"/>
        <v>11.35</v>
      </c>
      <c r="AW25" s="97">
        <v>7.3</v>
      </c>
      <c r="AX25" s="58">
        <v>1</v>
      </c>
      <c r="AY25" s="59">
        <f t="shared" si="10"/>
        <v>3.05</v>
      </c>
      <c r="AZ25" s="86">
        <v>3</v>
      </c>
      <c r="BA25" s="86">
        <f t="shared" si="11"/>
        <v>4.9999999999999822</v>
      </c>
      <c r="BB25" s="86"/>
      <c r="BC25" s="86" t="s">
        <v>225</v>
      </c>
      <c r="BD25" s="94">
        <v>17</v>
      </c>
      <c r="BE25" s="58">
        <v>11.1</v>
      </c>
      <c r="BF25" s="96"/>
      <c r="BG25" s="96"/>
      <c r="BH25" s="53">
        <v>22.45</v>
      </c>
      <c r="BI25" s="58">
        <f t="shared" si="12"/>
        <v>11.35</v>
      </c>
      <c r="BJ25" s="97">
        <v>7.3</v>
      </c>
      <c r="BK25" s="58">
        <v>1</v>
      </c>
      <c r="BL25" s="59">
        <f t="shared" si="13"/>
        <v>3.05</v>
      </c>
      <c r="BM25" s="86">
        <v>3</v>
      </c>
      <c r="BN25" s="86">
        <f t="shared" si="14"/>
        <v>4.9999999999999822</v>
      </c>
      <c r="BO25" s="86"/>
      <c r="BP25"/>
      <c r="BQ25" s="86" t="s">
        <v>225</v>
      </c>
      <c r="BR25" s="94">
        <v>17</v>
      </c>
      <c r="BS25" s="58">
        <v>11.1</v>
      </c>
      <c r="BT25" s="96"/>
      <c r="BU25" s="96"/>
      <c r="BV25" s="53">
        <v>22.45</v>
      </c>
      <c r="BW25" s="58">
        <f t="shared" si="15"/>
        <v>11.35</v>
      </c>
      <c r="BX25" s="97">
        <v>7.3</v>
      </c>
      <c r="BY25" s="58">
        <v>1</v>
      </c>
      <c r="BZ25" s="59">
        <f t="shared" si="16"/>
        <v>3.05</v>
      </c>
      <c r="CA25" s="86">
        <v>3</v>
      </c>
      <c r="CB25" s="86">
        <f t="shared" si="17"/>
        <v>4.9999999999999822</v>
      </c>
      <c r="CC25" s="86"/>
      <c r="CD25"/>
      <c r="CE25" s="86" t="s">
        <v>225</v>
      </c>
      <c r="CF25" s="94">
        <v>17</v>
      </c>
      <c r="CG25" s="58">
        <v>11.1</v>
      </c>
      <c r="CH25" s="96"/>
      <c r="CI25" s="96"/>
      <c r="CJ25" s="53">
        <v>22.45</v>
      </c>
      <c r="CK25" s="58">
        <f t="shared" si="18"/>
        <v>11.35</v>
      </c>
      <c r="CL25" s="97">
        <v>7.3</v>
      </c>
      <c r="CM25" s="58">
        <v>1</v>
      </c>
      <c r="CN25" s="59">
        <f t="shared" si="19"/>
        <v>3.05</v>
      </c>
      <c r="CO25" s="86">
        <v>3</v>
      </c>
      <c r="CP25" s="86">
        <f t="shared" si="20"/>
        <v>4.9999999999999822</v>
      </c>
      <c r="CQ25" s="86"/>
      <c r="CR25"/>
      <c r="CS25" s="86" t="s">
        <v>225</v>
      </c>
      <c r="CT25" s="94">
        <v>17</v>
      </c>
      <c r="CU25" s="58">
        <v>11.1</v>
      </c>
      <c r="CV25" s="96"/>
      <c r="CW25" s="96"/>
      <c r="CX25" s="53">
        <v>22.45</v>
      </c>
      <c r="CY25" s="58">
        <f t="shared" si="21"/>
        <v>11.35</v>
      </c>
      <c r="CZ25" s="97">
        <v>7.3</v>
      </c>
      <c r="DA25" s="58">
        <v>1</v>
      </c>
      <c r="DB25" s="59">
        <f t="shared" si="22"/>
        <v>3.05</v>
      </c>
      <c r="DC25" s="86">
        <v>3</v>
      </c>
      <c r="DD25" s="86">
        <f t="shared" si="23"/>
        <v>4.9999999999999822</v>
      </c>
      <c r="DE25" s="86"/>
      <c r="DF25"/>
      <c r="DG25" s="86" t="s">
        <v>225</v>
      </c>
      <c r="DH25" s="94">
        <v>17</v>
      </c>
      <c r="DI25" s="58">
        <v>11.1</v>
      </c>
      <c r="DJ25" s="96"/>
      <c r="DK25" s="96"/>
      <c r="DL25" s="53">
        <v>22.45</v>
      </c>
      <c r="DM25" s="58">
        <f t="shared" si="24"/>
        <v>11.35</v>
      </c>
      <c r="DN25" s="97">
        <v>7.3</v>
      </c>
      <c r="DO25" s="58">
        <v>1</v>
      </c>
      <c r="DP25" s="59">
        <f t="shared" si="25"/>
        <v>3.05</v>
      </c>
      <c r="DQ25" s="86">
        <v>3</v>
      </c>
      <c r="DR25" s="86">
        <f t="shared" si="26"/>
        <v>4.9999999999999822</v>
      </c>
      <c r="DS25" s="86"/>
      <c r="DT25"/>
    </row>
    <row r="26" spans="1:124" ht="17.149999999999999" customHeight="1" x14ac:dyDescent="0.35">
      <c r="A26" s="86" t="s">
        <v>4</v>
      </c>
      <c r="B26" s="94">
        <v>18</v>
      </c>
      <c r="C26" s="58">
        <v>11.1</v>
      </c>
      <c r="D26" s="96"/>
      <c r="E26" s="96"/>
      <c r="F26" s="53">
        <v>22.6</v>
      </c>
      <c r="G26" s="58">
        <f t="shared" si="0"/>
        <v>11.500000000000002</v>
      </c>
      <c r="H26" s="97">
        <v>7.3</v>
      </c>
      <c r="I26" s="58">
        <v>1</v>
      </c>
      <c r="J26" s="59">
        <f t="shared" si="1"/>
        <v>3.200000000000002</v>
      </c>
      <c r="K26" s="86">
        <v>3</v>
      </c>
      <c r="L26" s="86">
        <f t="shared" si="2"/>
        <v>20.000000000000195</v>
      </c>
      <c r="M26" s="98"/>
      <c r="O26" s="86" t="s">
        <v>4</v>
      </c>
      <c r="P26" s="94">
        <v>18</v>
      </c>
      <c r="Q26" s="58">
        <v>11.1</v>
      </c>
      <c r="R26" s="96"/>
      <c r="S26" s="96"/>
      <c r="T26" s="53">
        <v>22.6</v>
      </c>
      <c r="U26" s="58">
        <f t="shared" si="3"/>
        <v>11.500000000000002</v>
      </c>
      <c r="V26" s="97">
        <v>7.3</v>
      </c>
      <c r="W26" s="58">
        <v>1</v>
      </c>
      <c r="X26" s="59">
        <f t="shared" si="4"/>
        <v>3.200000000000002</v>
      </c>
      <c r="Y26" s="86">
        <v>3</v>
      </c>
      <c r="Z26" s="86">
        <f t="shared" si="5"/>
        <v>20.000000000000195</v>
      </c>
      <c r="AA26" s="98"/>
      <c r="AB26" s="86" t="s">
        <v>4</v>
      </c>
      <c r="AC26" s="94">
        <v>18</v>
      </c>
      <c r="AD26" s="58">
        <v>11.1</v>
      </c>
      <c r="AE26" s="96"/>
      <c r="AF26" s="96"/>
      <c r="AG26" s="53">
        <v>22.6</v>
      </c>
      <c r="AH26" s="58">
        <f t="shared" si="6"/>
        <v>11.500000000000002</v>
      </c>
      <c r="AI26" s="97">
        <v>7.3</v>
      </c>
      <c r="AJ26" s="58">
        <v>1</v>
      </c>
      <c r="AK26" s="59">
        <f t="shared" si="7"/>
        <v>3.200000000000002</v>
      </c>
      <c r="AL26" s="86">
        <v>3</v>
      </c>
      <c r="AM26" s="86">
        <f t="shared" si="8"/>
        <v>20.000000000000195</v>
      </c>
      <c r="AN26" s="98"/>
      <c r="AP26" s="86" t="s">
        <v>4</v>
      </c>
      <c r="AQ26" s="94">
        <v>18</v>
      </c>
      <c r="AR26" s="58">
        <v>11.1</v>
      </c>
      <c r="AS26" s="96"/>
      <c r="AT26" s="96"/>
      <c r="AU26" s="53">
        <v>22.6</v>
      </c>
      <c r="AV26" s="58">
        <f t="shared" si="9"/>
        <v>11.500000000000002</v>
      </c>
      <c r="AW26" s="97">
        <v>7.3</v>
      </c>
      <c r="AX26" s="58">
        <v>1</v>
      </c>
      <c r="AY26" s="59">
        <f t="shared" si="10"/>
        <v>3.200000000000002</v>
      </c>
      <c r="AZ26" s="86">
        <v>3</v>
      </c>
      <c r="BA26" s="86">
        <f t="shared" si="11"/>
        <v>20.000000000000195</v>
      </c>
      <c r="BB26" s="98"/>
      <c r="BC26" s="86" t="s">
        <v>4</v>
      </c>
      <c r="BD26" s="94">
        <v>18</v>
      </c>
      <c r="BE26" s="58">
        <v>11.1</v>
      </c>
      <c r="BF26" s="96"/>
      <c r="BG26" s="96"/>
      <c r="BH26" s="53">
        <v>22.6</v>
      </c>
      <c r="BI26" s="58">
        <f t="shared" si="12"/>
        <v>11.500000000000002</v>
      </c>
      <c r="BJ26" s="97">
        <v>7.3</v>
      </c>
      <c r="BK26" s="58">
        <v>1</v>
      </c>
      <c r="BL26" s="59">
        <f t="shared" si="13"/>
        <v>3.200000000000002</v>
      </c>
      <c r="BM26" s="86">
        <v>3</v>
      </c>
      <c r="BN26" s="86">
        <f t="shared" si="14"/>
        <v>20.000000000000195</v>
      </c>
      <c r="BO26" s="98"/>
      <c r="BQ26" s="86" t="s">
        <v>4</v>
      </c>
      <c r="BR26" s="94">
        <v>18</v>
      </c>
      <c r="BS26" s="58">
        <v>11.1</v>
      </c>
      <c r="BT26" s="96"/>
      <c r="BU26" s="96"/>
      <c r="BV26" s="53">
        <v>22.6</v>
      </c>
      <c r="BW26" s="58">
        <f t="shared" si="15"/>
        <v>11.500000000000002</v>
      </c>
      <c r="BX26" s="97">
        <v>7.3</v>
      </c>
      <c r="BY26" s="58">
        <v>1</v>
      </c>
      <c r="BZ26" s="59">
        <f t="shared" si="16"/>
        <v>3.200000000000002</v>
      </c>
      <c r="CA26" s="86">
        <v>3</v>
      </c>
      <c r="CB26" s="86">
        <f t="shared" si="17"/>
        <v>20.000000000000195</v>
      </c>
      <c r="CC26" s="98"/>
      <c r="CE26" s="86" t="s">
        <v>4</v>
      </c>
      <c r="CF26" s="94">
        <v>18</v>
      </c>
      <c r="CG26" s="58">
        <v>11.1</v>
      </c>
      <c r="CH26" s="96"/>
      <c r="CI26" s="96"/>
      <c r="CJ26" s="53">
        <v>22.6</v>
      </c>
      <c r="CK26" s="58">
        <f t="shared" si="18"/>
        <v>11.500000000000002</v>
      </c>
      <c r="CL26" s="97">
        <v>7.3</v>
      </c>
      <c r="CM26" s="58">
        <v>1</v>
      </c>
      <c r="CN26" s="59">
        <f t="shared" si="19"/>
        <v>3.200000000000002</v>
      </c>
      <c r="CO26" s="86">
        <v>3</v>
      </c>
      <c r="CP26" s="86">
        <f t="shared" si="20"/>
        <v>20.000000000000195</v>
      </c>
      <c r="CQ26" s="98"/>
      <c r="CS26" s="86" t="s">
        <v>4</v>
      </c>
      <c r="CT26" s="94">
        <v>18</v>
      </c>
      <c r="CU26" s="58">
        <v>11.1</v>
      </c>
      <c r="CV26" s="96"/>
      <c r="CW26" s="96"/>
      <c r="CX26" s="53">
        <v>22.6</v>
      </c>
      <c r="CY26" s="58">
        <f t="shared" si="21"/>
        <v>11.500000000000002</v>
      </c>
      <c r="CZ26" s="97">
        <v>7.3</v>
      </c>
      <c r="DA26" s="58">
        <v>1</v>
      </c>
      <c r="DB26" s="59">
        <f t="shared" si="22"/>
        <v>3.200000000000002</v>
      </c>
      <c r="DC26" s="86">
        <v>3</v>
      </c>
      <c r="DD26" s="86">
        <f t="shared" si="23"/>
        <v>20.000000000000195</v>
      </c>
      <c r="DE26" s="98"/>
      <c r="DG26" s="86" t="s">
        <v>4</v>
      </c>
      <c r="DH26" s="94">
        <v>18</v>
      </c>
      <c r="DI26" s="58">
        <v>11.1</v>
      </c>
      <c r="DJ26" s="96"/>
      <c r="DK26" s="96"/>
      <c r="DL26" s="53">
        <v>22.6</v>
      </c>
      <c r="DM26" s="58">
        <f t="shared" si="24"/>
        <v>11.500000000000002</v>
      </c>
      <c r="DN26" s="97">
        <v>7.3</v>
      </c>
      <c r="DO26" s="58">
        <v>1</v>
      </c>
      <c r="DP26" s="59">
        <f t="shared" si="25"/>
        <v>3.200000000000002</v>
      </c>
      <c r="DQ26" s="86">
        <v>3</v>
      </c>
      <c r="DR26" s="86">
        <f t="shared" si="26"/>
        <v>20.000000000000195</v>
      </c>
      <c r="DS26" s="98"/>
    </row>
    <row r="27" spans="1:124" ht="17.149999999999999" customHeight="1" x14ac:dyDescent="0.35">
      <c r="A27" s="86" t="s">
        <v>5</v>
      </c>
      <c r="B27" s="86">
        <v>19</v>
      </c>
      <c r="C27" s="58">
        <v>11.1</v>
      </c>
      <c r="D27" s="96"/>
      <c r="E27" s="96"/>
      <c r="F27" s="53">
        <v>21.94</v>
      </c>
      <c r="G27" s="58">
        <f t="shared" si="0"/>
        <v>10.840000000000002</v>
      </c>
      <c r="H27" s="97">
        <v>7.3</v>
      </c>
      <c r="I27" s="58">
        <v>1</v>
      </c>
      <c r="J27" s="59">
        <f t="shared" si="1"/>
        <v>2.5400000000000018</v>
      </c>
      <c r="K27" s="86">
        <v>2</v>
      </c>
      <c r="L27" s="86">
        <f t="shared" si="2"/>
        <v>54.000000000000185</v>
      </c>
      <c r="M27" s="98"/>
      <c r="O27" s="86" t="s">
        <v>5</v>
      </c>
      <c r="P27" s="86">
        <v>19</v>
      </c>
      <c r="Q27" s="58">
        <v>11.1</v>
      </c>
      <c r="R27" s="96"/>
      <c r="S27" s="96"/>
      <c r="T27" s="53">
        <v>21.94</v>
      </c>
      <c r="U27" s="58">
        <f t="shared" si="3"/>
        <v>10.840000000000002</v>
      </c>
      <c r="V27" s="97">
        <v>7.3</v>
      </c>
      <c r="W27" s="58">
        <v>1</v>
      </c>
      <c r="X27" s="59">
        <f t="shared" si="4"/>
        <v>2.5400000000000018</v>
      </c>
      <c r="Y27" s="86">
        <v>2</v>
      </c>
      <c r="Z27" s="86">
        <f t="shared" si="5"/>
        <v>54.000000000000185</v>
      </c>
      <c r="AA27" s="98"/>
      <c r="AB27" s="86" t="s">
        <v>5</v>
      </c>
      <c r="AC27" s="86">
        <v>19</v>
      </c>
      <c r="AD27" s="58">
        <v>11.1</v>
      </c>
      <c r="AE27" s="96"/>
      <c r="AF27" s="96"/>
      <c r="AG27" s="53">
        <v>21.94</v>
      </c>
      <c r="AH27" s="58">
        <f t="shared" si="6"/>
        <v>10.840000000000002</v>
      </c>
      <c r="AI27" s="97">
        <v>7.3</v>
      </c>
      <c r="AJ27" s="58">
        <v>1</v>
      </c>
      <c r="AK27" s="59">
        <f t="shared" si="7"/>
        <v>2.5400000000000018</v>
      </c>
      <c r="AL27" s="86">
        <v>2</v>
      </c>
      <c r="AM27" s="86">
        <f t="shared" si="8"/>
        <v>54.000000000000185</v>
      </c>
      <c r="AN27" s="98"/>
      <c r="AP27" s="86" t="s">
        <v>5</v>
      </c>
      <c r="AQ27" s="86">
        <v>19</v>
      </c>
      <c r="AR27" s="58">
        <v>11.1</v>
      </c>
      <c r="AS27" s="96"/>
      <c r="AT27" s="96"/>
      <c r="AU27" s="53">
        <v>21.94</v>
      </c>
      <c r="AV27" s="58">
        <f t="shared" si="9"/>
        <v>10.840000000000002</v>
      </c>
      <c r="AW27" s="97">
        <v>7.3</v>
      </c>
      <c r="AX27" s="58">
        <v>1</v>
      </c>
      <c r="AY27" s="59">
        <f t="shared" si="10"/>
        <v>2.5400000000000018</v>
      </c>
      <c r="AZ27" s="86">
        <v>2</v>
      </c>
      <c r="BA27" s="86">
        <f t="shared" si="11"/>
        <v>54.000000000000185</v>
      </c>
      <c r="BB27" s="98"/>
      <c r="BC27" s="86" t="s">
        <v>5</v>
      </c>
      <c r="BD27" s="86">
        <v>19</v>
      </c>
      <c r="BE27" s="58">
        <v>11.1</v>
      </c>
      <c r="BF27" s="96"/>
      <c r="BG27" s="96"/>
      <c r="BH27" s="53">
        <v>21.94</v>
      </c>
      <c r="BI27" s="58">
        <f t="shared" si="12"/>
        <v>10.840000000000002</v>
      </c>
      <c r="BJ27" s="97">
        <v>7.3</v>
      </c>
      <c r="BK27" s="58">
        <v>1</v>
      </c>
      <c r="BL27" s="59">
        <f t="shared" si="13"/>
        <v>2.5400000000000018</v>
      </c>
      <c r="BM27" s="86">
        <v>2</v>
      </c>
      <c r="BN27" s="86">
        <f t="shared" si="14"/>
        <v>54.000000000000185</v>
      </c>
      <c r="BO27" s="98"/>
      <c r="BQ27" s="86" t="s">
        <v>5</v>
      </c>
      <c r="BR27" s="86">
        <v>19</v>
      </c>
      <c r="BS27" s="58">
        <v>11.1</v>
      </c>
      <c r="BT27" s="96"/>
      <c r="BU27" s="96"/>
      <c r="BV27" s="53">
        <v>21.94</v>
      </c>
      <c r="BW27" s="58">
        <f t="shared" si="15"/>
        <v>10.840000000000002</v>
      </c>
      <c r="BX27" s="97">
        <v>7.3</v>
      </c>
      <c r="BY27" s="58">
        <v>1</v>
      </c>
      <c r="BZ27" s="59">
        <f t="shared" si="16"/>
        <v>2.5400000000000018</v>
      </c>
      <c r="CA27" s="86">
        <v>2</v>
      </c>
      <c r="CB27" s="86">
        <f t="shared" si="17"/>
        <v>54.000000000000185</v>
      </c>
      <c r="CC27" s="98"/>
      <c r="CE27" s="86" t="s">
        <v>5</v>
      </c>
      <c r="CF27" s="86">
        <v>19</v>
      </c>
      <c r="CG27" s="58">
        <v>11.1</v>
      </c>
      <c r="CH27" s="96"/>
      <c r="CI27" s="96"/>
      <c r="CJ27" s="53">
        <v>21.94</v>
      </c>
      <c r="CK27" s="58">
        <f t="shared" si="18"/>
        <v>10.840000000000002</v>
      </c>
      <c r="CL27" s="97">
        <v>7.3</v>
      </c>
      <c r="CM27" s="58">
        <v>1</v>
      </c>
      <c r="CN27" s="59">
        <f t="shared" si="19"/>
        <v>2.5400000000000018</v>
      </c>
      <c r="CO27" s="86">
        <v>2</v>
      </c>
      <c r="CP27" s="86">
        <f t="shared" si="20"/>
        <v>54.000000000000185</v>
      </c>
      <c r="CQ27" s="98"/>
      <c r="CS27" s="86" t="s">
        <v>5</v>
      </c>
      <c r="CT27" s="86">
        <v>19</v>
      </c>
      <c r="CU27" s="58">
        <v>11.1</v>
      </c>
      <c r="CV27" s="96"/>
      <c r="CW27" s="96"/>
      <c r="CX27" s="53">
        <v>21.94</v>
      </c>
      <c r="CY27" s="58">
        <f t="shared" si="21"/>
        <v>10.840000000000002</v>
      </c>
      <c r="CZ27" s="97">
        <v>7.3</v>
      </c>
      <c r="DA27" s="58">
        <v>1</v>
      </c>
      <c r="DB27" s="59">
        <f t="shared" si="22"/>
        <v>2.5400000000000018</v>
      </c>
      <c r="DC27" s="86">
        <v>2</v>
      </c>
      <c r="DD27" s="86">
        <f t="shared" si="23"/>
        <v>54.000000000000185</v>
      </c>
      <c r="DE27" s="98"/>
      <c r="DG27" s="86" t="s">
        <v>5</v>
      </c>
      <c r="DH27" s="86">
        <v>19</v>
      </c>
      <c r="DI27" s="58">
        <v>11.1</v>
      </c>
      <c r="DJ27" s="96"/>
      <c r="DK27" s="96"/>
      <c r="DL27" s="53">
        <v>21.94</v>
      </c>
      <c r="DM27" s="58">
        <f t="shared" si="24"/>
        <v>10.840000000000002</v>
      </c>
      <c r="DN27" s="97">
        <v>7.3</v>
      </c>
      <c r="DO27" s="58">
        <v>1</v>
      </c>
      <c r="DP27" s="59">
        <f t="shared" si="25"/>
        <v>2.5400000000000018</v>
      </c>
      <c r="DQ27" s="86">
        <v>2</v>
      </c>
      <c r="DR27" s="86">
        <f t="shared" si="26"/>
        <v>54.000000000000185</v>
      </c>
      <c r="DS27" s="98"/>
    </row>
    <row r="28" spans="1:124" ht="17.149999999999999" customHeight="1" x14ac:dyDescent="0.35">
      <c r="A28" s="55" t="s">
        <v>6</v>
      </c>
      <c r="B28" s="55">
        <v>20</v>
      </c>
      <c r="C28" s="52"/>
      <c r="D28" s="52"/>
      <c r="E28" s="52">
        <v>9.1</v>
      </c>
      <c r="F28" s="52">
        <v>11.43</v>
      </c>
      <c r="G28" s="52">
        <f t="shared" si="0"/>
        <v>2.33</v>
      </c>
      <c r="H28" s="56"/>
      <c r="I28" s="52"/>
      <c r="J28" s="57">
        <f t="shared" si="1"/>
        <v>2.33</v>
      </c>
      <c r="K28" s="55">
        <v>2</v>
      </c>
      <c r="L28" s="55">
        <f t="shared" si="2"/>
        <v>33.000000000000007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/>
      <c r="Z28" s="55">
        <f t="shared" si="5"/>
        <v>0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/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9"/>
        <v>0</v>
      </c>
      <c r="AW28" s="56"/>
      <c r="AX28" s="52"/>
      <c r="AY28" s="57">
        <f t="shared" si="10"/>
        <v>0</v>
      </c>
      <c r="AZ28" s="55"/>
      <c r="BA28" s="55">
        <f t="shared" si="11"/>
        <v>0</v>
      </c>
      <c r="BB28" s="95"/>
      <c r="BC28" s="55" t="s">
        <v>6</v>
      </c>
      <c r="BD28" s="55">
        <v>20</v>
      </c>
      <c r="BE28" s="52"/>
      <c r="BF28" s="52"/>
      <c r="BG28" s="52"/>
      <c r="BH28" s="52"/>
      <c r="BI28" s="52">
        <f t="shared" si="12"/>
        <v>0</v>
      </c>
      <c r="BJ28" s="56"/>
      <c r="BK28" s="52"/>
      <c r="BL28" s="57">
        <f t="shared" si="13"/>
        <v>0</v>
      </c>
      <c r="BM28" s="55"/>
      <c r="BN28" s="55">
        <f t="shared" si="14"/>
        <v>0</v>
      </c>
      <c r="BO28" s="95"/>
      <c r="BQ28" s="55" t="s">
        <v>6</v>
      </c>
      <c r="BR28" s="55">
        <v>20</v>
      </c>
      <c r="BS28" s="52"/>
      <c r="BT28" s="52"/>
      <c r="BU28" s="52"/>
      <c r="BV28" s="52"/>
      <c r="BW28" s="52">
        <f t="shared" si="15"/>
        <v>0</v>
      </c>
      <c r="BX28" s="56"/>
      <c r="BY28" s="52"/>
      <c r="BZ28" s="57">
        <f t="shared" si="16"/>
        <v>0</v>
      </c>
      <c r="CA28" s="55"/>
      <c r="CB28" s="55">
        <f t="shared" si="17"/>
        <v>0</v>
      </c>
      <c r="CC28" s="95"/>
      <c r="CE28" s="55" t="s">
        <v>6</v>
      </c>
      <c r="CF28" s="55">
        <v>20</v>
      </c>
      <c r="CG28" s="52"/>
      <c r="CH28" s="52"/>
      <c r="CI28" s="52">
        <v>9.0500000000000007</v>
      </c>
      <c r="CJ28" s="52">
        <v>11.43</v>
      </c>
      <c r="CK28" s="52">
        <f t="shared" si="18"/>
        <v>2.379999999999999</v>
      </c>
      <c r="CL28" s="56"/>
      <c r="CM28" s="52"/>
      <c r="CN28" s="57">
        <f t="shared" si="19"/>
        <v>2.379999999999999</v>
      </c>
      <c r="CO28" s="55"/>
      <c r="CP28" s="55">
        <f t="shared" si="20"/>
        <v>237.99999999999989</v>
      </c>
      <c r="CQ28" s="95"/>
      <c r="CS28" s="55" t="s">
        <v>6</v>
      </c>
      <c r="CT28" s="55">
        <v>20</v>
      </c>
      <c r="CU28" s="52"/>
      <c r="CV28" s="52"/>
      <c r="CW28" s="52">
        <v>9.0500000000000007</v>
      </c>
      <c r="CX28" s="52">
        <v>11.44</v>
      </c>
      <c r="CY28" s="52">
        <f t="shared" si="21"/>
        <v>2.3899999999999988</v>
      </c>
      <c r="CZ28" s="56"/>
      <c r="DA28" s="52"/>
      <c r="DB28" s="57">
        <f t="shared" si="22"/>
        <v>2.3899999999999988</v>
      </c>
      <c r="DC28" s="55">
        <v>2</v>
      </c>
      <c r="DD28" s="55">
        <f t="shared" si="23"/>
        <v>38.999999999999879</v>
      </c>
      <c r="DE28" s="95"/>
      <c r="DG28" s="55" t="s">
        <v>6</v>
      </c>
      <c r="DH28" s="55">
        <v>20</v>
      </c>
      <c r="DI28" s="52"/>
      <c r="DJ28" s="52"/>
      <c r="DK28" s="52">
        <v>9.0500000000000007</v>
      </c>
      <c r="DL28" s="52">
        <v>11.44</v>
      </c>
      <c r="DM28" s="52">
        <f t="shared" si="24"/>
        <v>2.3899999999999988</v>
      </c>
      <c r="DN28" s="56"/>
      <c r="DO28" s="52"/>
      <c r="DP28" s="57">
        <f t="shared" si="25"/>
        <v>2.3899999999999988</v>
      </c>
      <c r="DQ28" s="55">
        <v>2</v>
      </c>
      <c r="DR28" s="55">
        <f t="shared" si="26"/>
        <v>38.999999999999879</v>
      </c>
      <c r="DS28" s="95"/>
    </row>
    <row r="29" spans="1:124" ht="17.149999999999999" customHeight="1" x14ac:dyDescent="0.35">
      <c r="A29" s="86" t="s">
        <v>1</v>
      </c>
      <c r="B29" s="86">
        <v>21</v>
      </c>
      <c r="C29" s="58">
        <v>11.1</v>
      </c>
      <c r="D29" s="96"/>
      <c r="E29" s="96"/>
      <c r="F29" s="53">
        <v>22.91</v>
      </c>
      <c r="G29" s="58">
        <f t="shared" si="0"/>
        <v>11.81</v>
      </c>
      <c r="H29" s="97">
        <v>7.3</v>
      </c>
      <c r="I29" s="58">
        <v>1</v>
      </c>
      <c r="J29" s="59">
        <f t="shared" si="1"/>
        <v>3.5100000000000007</v>
      </c>
      <c r="K29" s="86">
        <v>3</v>
      </c>
      <c r="L29" s="86">
        <f t="shared" si="2"/>
        <v>51.000000000000071</v>
      </c>
      <c r="M29" s="98"/>
      <c r="O29" s="86" t="s">
        <v>1</v>
      </c>
      <c r="P29" s="86">
        <v>21</v>
      </c>
      <c r="Q29" s="58">
        <v>11.1</v>
      </c>
      <c r="R29" s="96"/>
      <c r="S29" s="96"/>
      <c r="T29" s="53">
        <v>22.91</v>
      </c>
      <c r="U29" s="58">
        <f t="shared" si="3"/>
        <v>11.81</v>
      </c>
      <c r="V29" s="97">
        <v>7.3</v>
      </c>
      <c r="W29" s="58">
        <v>1</v>
      </c>
      <c r="X29" s="59">
        <f t="shared" si="4"/>
        <v>3.5100000000000007</v>
      </c>
      <c r="Y29" s="86">
        <v>3</v>
      </c>
      <c r="Z29" s="86">
        <f t="shared" si="5"/>
        <v>51.000000000000071</v>
      </c>
      <c r="AA29" s="98"/>
      <c r="AB29" s="86" t="s">
        <v>1</v>
      </c>
      <c r="AC29" s="86">
        <v>21</v>
      </c>
      <c r="AD29" s="58">
        <v>11.1</v>
      </c>
      <c r="AE29" s="96"/>
      <c r="AF29" s="96"/>
      <c r="AG29" s="53">
        <v>22.91</v>
      </c>
      <c r="AH29" s="58">
        <f t="shared" si="6"/>
        <v>11.81</v>
      </c>
      <c r="AI29" s="97">
        <v>7.3</v>
      </c>
      <c r="AJ29" s="58">
        <v>1</v>
      </c>
      <c r="AK29" s="59">
        <f t="shared" si="7"/>
        <v>3.5100000000000007</v>
      </c>
      <c r="AL29" s="86">
        <v>3</v>
      </c>
      <c r="AM29" s="86">
        <f t="shared" si="8"/>
        <v>51.000000000000071</v>
      </c>
      <c r="AN29" s="98"/>
      <c r="AP29" s="86" t="s">
        <v>1</v>
      </c>
      <c r="AQ29" s="86">
        <v>21</v>
      </c>
      <c r="AR29" s="58">
        <v>11.1</v>
      </c>
      <c r="AS29" s="96"/>
      <c r="AT29" s="96"/>
      <c r="AU29" s="53">
        <v>22.91</v>
      </c>
      <c r="AV29" s="58">
        <f t="shared" si="9"/>
        <v>11.81</v>
      </c>
      <c r="AW29" s="97">
        <v>7.3</v>
      </c>
      <c r="AX29" s="58">
        <v>1</v>
      </c>
      <c r="AY29" s="59">
        <f t="shared" si="10"/>
        <v>3.5100000000000007</v>
      </c>
      <c r="AZ29" s="86">
        <v>3</v>
      </c>
      <c r="BA29" s="86">
        <f t="shared" si="11"/>
        <v>51.000000000000071</v>
      </c>
      <c r="BB29" s="98"/>
      <c r="BC29" s="86" t="s">
        <v>1</v>
      </c>
      <c r="BD29" s="86">
        <v>21</v>
      </c>
      <c r="BE29" s="58">
        <v>11.1</v>
      </c>
      <c r="BF29" s="96"/>
      <c r="BG29" s="96"/>
      <c r="BH29" s="53">
        <v>22.91</v>
      </c>
      <c r="BI29" s="58">
        <f t="shared" si="12"/>
        <v>11.81</v>
      </c>
      <c r="BJ29" s="97">
        <v>7.3</v>
      </c>
      <c r="BK29" s="58">
        <v>1</v>
      </c>
      <c r="BL29" s="59">
        <f t="shared" si="13"/>
        <v>3.5100000000000007</v>
      </c>
      <c r="BM29" s="86">
        <v>3</v>
      </c>
      <c r="BN29" s="86">
        <f t="shared" si="14"/>
        <v>51.000000000000071</v>
      </c>
      <c r="BO29" s="98"/>
      <c r="BQ29" s="86" t="s">
        <v>1</v>
      </c>
      <c r="BR29" s="86">
        <v>21</v>
      </c>
      <c r="BS29" s="58">
        <v>11.1</v>
      </c>
      <c r="BT29" s="96"/>
      <c r="BU29" s="96"/>
      <c r="BV29" s="53">
        <v>22.91</v>
      </c>
      <c r="BW29" s="58">
        <f t="shared" si="15"/>
        <v>11.81</v>
      </c>
      <c r="BX29" s="97">
        <v>7.3</v>
      </c>
      <c r="BY29" s="58">
        <v>1</v>
      </c>
      <c r="BZ29" s="59">
        <f t="shared" si="16"/>
        <v>3.5100000000000007</v>
      </c>
      <c r="CA29" s="86">
        <v>3</v>
      </c>
      <c r="CB29" s="86">
        <f t="shared" si="17"/>
        <v>51.000000000000071</v>
      </c>
      <c r="CC29" s="98"/>
      <c r="CE29" s="86" t="s">
        <v>1</v>
      </c>
      <c r="CF29" s="86">
        <v>21</v>
      </c>
      <c r="CG29" s="58">
        <v>11.1</v>
      </c>
      <c r="CH29" s="96"/>
      <c r="CI29" s="96"/>
      <c r="CJ29" s="53">
        <v>22.91</v>
      </c>
      <c r="CK29" s="58">
        <f t="shared" si="18"/>
        <v>11.81</v>
      </c>
      <c r="CL29" s="97">
        <v>7.3</v>
      </c>
      <c r="CM29" s="58">
        <v>1</v>
      </c>
      <c r="CN29" s="59">
        <f t="shared" si="19"/>
        <v>3.5100000000000007</v>
      </c>
      <c r="CO29" s="86">
        <v>3</v>
      </c>
      <c r="CP29" s="86">
        <f t="shared" si="20"/>
        <v>51.000000000000071</v>
      </c>
      <c r="CQ29" s="98"/>
      <c r="CS29" s="86" t="s">
        <v>1</v>
      </c>
      <c r="CT29" s="86">
        <v>21</v>
      </c>
      <c r="CU29" s="58">
        <v>11.1</v>
      </c>
      <c r="CV29" s="96"/>
      <c r="CW29" s="96"/>
      <c r="CX29" s="53">
        <v>22.91</v>
      </c>
      <c r="CY29" s="58">
        <f t="shared" si="21"/>
        <v>11.81</v>
      </c>
      <c r="CZ29" s="97">
        <v>7.3</v>
      </c>
      <c r="DA29" s="58">
        <v>1</v>
      </c>
      <c r="DB29" s="59">
        <f t="shared" si="22"/>
        <v>3.5100000000000007</v>
      </c>
      <c r="DC29" s="86">
        <v>3</v>
      </c>
      <c r="DD29" s="86">
        <f t="shared" si="23"/>
        <v>51.000000000000071</v>
      </c>
      <c r="DE29" s="98"/>
      <c r="DG29" s="86" t="s">
        <v>1</v>
      </c>
      <c r="DH29" s="86">
        <v>21</v>
      </c>
      <c r="DI29" s="58">
        <v>11.1</v>
      </c>
      <c r="DJ29" s="96"/>
      <c r="DK29" s="96"/>
      <c r="DL29" s="53">
        <v>22.91</v>
      </c>
      <c r="DM29" s="58">
        <f t="shared" si="24"/>
        <v>11.81</v>
      </c>
      <c r="DN29" s="97">
        <v>7.3</v>
      </c>
      <c r="DO29" s="58">
        <v>1</v>
      </c>
      <c r="DP29" s="59">
        <f t="shared" si="25"/>
        <v>3.5100000000000007</v>
      </c>
      <c r="DQ29" s="86">
        <v>3</v>
      </c>
      <c r="DR29" s="86">
        <f t="shared" si="26"/>
        <v>51.000000000000071</v>
      </c>
      <c r="DS29" s="98"/>
    </row>
    <row r="30" spans="1:124" ht="17.149999999999999" customHeight="1" x14ac:dyDescent="0.35">
      <c r="A30" s="86" t="s">
        <v>216</v>
      </c>
      <c r="B30" s="86">
        <v>22</v>
      </c>
      <c r="C30" s="58">
        <v>11.1</v>
      </c>
      <c r="D30" s="96"/>
      <c r="E30" s="96"/>
      <c r="F30" s="53">
        <v>22.64</v>
      </c>
      <c r="G30" s="58">
        <f t="shared" si="0"/>
        <v>11.540000000000001</v>
      </c>
      <c r="H30" s="97">
        <v>7.3</v>
      </c>
      <c r="I30" s="58">
        <v>1</v>
      </c>
      <c r="J30" s="59">
        <f t="shared" si="1"/>
        <v>3.2400000000000011</v>
      </c>
      <c r="K30" s="86">
        <v>3</v>
      </c>
      <c r="L30" s="86">
        <f t="shared" si="2"/>
        <v>24.00000000000011</v>
      </c>
      <c r="M30" s="98"/>
      <c r="O30" s="86" t="s">
        <v>216</v>
      </c>
      <c r="P30" s="86">
        <v>22</v>
      </c>
      <c r="Q30" s="58">
        <v>11.1</v>
      </c>
      <c r="R30" s="96"/>
      <c r="S30" s="96"/>
      <c r="T30" s="53">
        <v>22.64</v>
      </c>
      <c r="U30" s="58">
        <f t="shared" si="3"/>
        <v>11.540000000000001</v>
      </c>
      <c r="V30" s="97">
        <v>7.3</v>
      </c>
      <c r="W30" s="58">
        <v>1</v>
      </c>
      <c r="X30" s="59">
        <f t="shared" si="4"/>
        <v>3.2400000000000011</v>
      </c>
      <c r="Y30" s="86">
        <v>3</v>
      </c>
      <c r="Z30" s="86">
        <f t="shared" si="5"/>
        <v>24.00000000000011</v>
      </c>
      <c r="AA30" s="98"/>
      <c r="AB30" s="86" t="s">
        <v>216</v>
      </c>
      <c r="AC30" s="86">
        <v>22</v>
      </c>
      <c r="AD30" s="58">
        <v>11.1</v>
      </c>
      <c r="AE30" s="96"/>
      <c r="AF30" s="96"/>
      <c r="AG30" s="53">
        <v>22.64</v>
      </c>
      <c r="AH30" s="58">
        <f t="shared" si="6"/>
        <v>11.540000000000001</v>
      </c>
      <c r="AI30" s="97">
        <v>7.3</v>
      </c>
      <c r="AJ30" s="58">
        <v>1</v>
      </c>
      <c r="AK30" s="59">
        <f t="shared" si="7"/>
        <v>3.2400000000000011</v>
      </c>
      <c r="AL30" s="86">
        <v>3</v>
      </c>
      <c r="AM30" s="86">
        <f t="shared" si="8"/>
        <v>24.00000000000011</v>
      </c>
      <c r="AN30" s="98"/>
      <c r="AP30" s="86" t="s">
        <v>216</v>
      </c>
      <c r="AQ30" s="86">
        <v>22</v>
      </c>
      <c r="AR30" s="58">
        <v>11.1</v>
      </c>
      <c r="AS30" s="96"/>
      <c r="AT30" s="96"/>
      <c r="AU30" s="53">
        <v>22.64</v>
      </c>
      <c r="AV30" s="58">
        <f t="shared" si="9"/>
        <v>11.540000000000001</v>
      </c>
      <c r="AW30" s="97">
        <v>7.3</v>
      </c>
      <c r="AX30" s="58">
        <v>1</v>
      </c>
      <c r="AY30" s="59">
        <f t="shared" si="10"/>
        <v>3.2400000000000011</v>
      </c>
      <c r="AZ30" s="86">
        <v>3</v>
      </c>
      <c r="BA30" s="86">
        <f t="shared" si="11"/>
        <v>24.00000000000011</v>
      </c>
      <c r="BB30" s="98"/>
      <c r="BC30" s="86" t="s">
        <v>216</v>
      </c>
      <c r="BD30" s="86">
        <v>22</v>
      </c>
      <c r="BE30" s="58">
        <v>11.1</v>
      </c>
      <c r="BF30" s="96"/>
      <c r="BG30" s="96"/>
      <c r="BH30" s="53">
        <v>22.64</v>
      </c>
      <c r="BI30" s="58">
        <f t="shared" si="12"/>
        <v>11.540000000000001</v>
      </c>
      <c r="BJ30" s="97">
        <v>7.3</v>
      </c>
      <c r="BK30" s="58">
        <v>1</v>
      </c>
      <c r="BL30" s="59">
        <f t="shared" si="13"/>
        <v>3.2400000000000011</v>
      </c>
      <c r="BM30" s="86">
        <v>3</v>
      </c>
      <c r="BN30" s="86">
        <f t="shared" si="14"/>
        <v>24.00000000000011</v>
      </c>
      <c r="BO30" s="98"/>
      <c r="BQ30" s="86" t="s">
        <v>216</v>
      </c>
      <c r="BR30" s="86">
        <v>22</v>
      </c>
      <c r="BS30" s="58">
        <v>11.1</v>
      </c>
      <c r="BT30" s="96"/>
      <c r="BU30" s="96"/>
      <c r="BV30" s="53">
        <v>22.64</v>
      </c>
      <c r="BW30" s="58">
        <f t="shared" si="15"/>
        <v>11.540000000000001</v>
      </c>
      <c r="BX30" s="97">
        <v>7.3</v>
      </c>
      <c r="BY30" s="58">
        <v>1</v>
      </c>
      <c r="BZ30" s="59">
        <f t="shared" si="16"/>
        <v>3.2400000000000011</v>
      </c>
      <c r="CA30" s="86">
        <v>3</v>
      </c>
      <c r="CB30" s="86">
        <f t="shared" si="17"/>
        <v>24.00000000000011</v>
      </c>
      <c r="CC30" s="98"/>
      <c r="CE30" s="86" t="s">
        <v>216</v>
      </c>
      <c r="CF30" s="86">
        <v>22</v>
      </c>
      <c r="CG30" s="58">
        <v>11.1</v>
      </c>
      <c r="CH30" s="96"/>
      <c r="CI30" s="96"/>
      <c r="CJ30" s="53">
        <v>22.64</v>
      </c>
      <c r="CK30" s="58">
        <f t="shared" si="18"/>
        <v>11.540000000000001</v>
      </c>
      <c r="CL30" s="97">
        <v>7.3</v>
      </c>
      <c r="CM30" s="58">
        <v>1</v>
      </c>
      <c r="CN30" s="59">
        <f t="shared" si="19"/>
        <v>3.2400000000000011</v>
      </c>
      <c r="CO30" s="86">
        <v>3</v>
      </c>
      <c r="CP30" s="86">
        <f t="shared" si="20"/>
        <v>24.00000000000011</v>
      </c>
      <c r="CQ30" s="98"/>
      <c r="CS30" s="86" t="s">
        <v>216</v>
      </c>
      <c r="CT30" s="86">
        <v>22</v>
      </c>
      <c r="CU30" s="58">
        <v>11.1</v>
      </c>
      <c r="CV30" s="96"/>
      <c r="CW30" s="96"/>
      <c r="CX30" s="53">
        <v>22.64</v>
      </c>
      <c r="CY30" s="58">
        <f t="shared" si="21"/>
        <v>11.540000000000001</v>
      </c>
      <c r="CZ30" s="97">
        <v>7.3</v>
      </c>
      <c r="DA30" s="58">
        <v>1</v>
      </c>
      <c r="DB30" s="59">
        <f t="shared" si="22"/>
        <v>3.2400000000000011</v>
      </c>
      <c r="DC30" s="86">
        <v>3</v>
      </c>
      <c r="DD30" s="86">
        <f t="shared" si="23"/>
        <v>24.00000000000011</v>
      </c>
      <c r="DE30" s="98"/>
      <c r="DG30" s="86" t="s">
        <v>216</v>
      </c>
      <c r="DH30" s="86">
        <v>22</v>
      </c>
      <c r="DI30" s="58">
        <v>11.1</v>
      </c>
      <c r="DJ30" s="96"/>
      <c r="DK30" s="96"/>
      <c r="DL30" s="53">
        <v>22.64</v>
      </c>
      <c r="DM30" s="58">
        <f t="shared" si="24"/>
        <v>11.540000000000001</v>
      </c>
      <c r="DN30" s="97">
        <v>7.3</v>
      </c>
      <c r="DO30" s="58">
        <v>1</v>
      </c>
      <c r="DP30" s="59">
        <f t="shared" si="25"/>
        <v>3.2400000000000011</v>
      </c>
      <c r="DQ30" s="86">
        <v>3</v>
      </c>
      <c r="DR30" s="86">
        <f t="shared" si="26"/>
        <v>24.00000000000011</v>
      </c>
      <c r="DS30" s="98"/>
    </row>
    <row r="31" spans="1:124" ht="17.149999999999999" customHeight="1" x14ac:dyDescent="0.35">
      <c r="A31" s="86" t="s">
        <v>2</v>
      </c>
      <c r="B31" s="86">
        <v>23</v>
      </c>
      <c r="C31" s="58">
        <v>11.1</v>
      </c>
      <c r="D31" s="96"/>
      <c r="E31" s="96"/>
      <c r="F31" s="53">
        <v>23.95</v>
      </c>
      <c r="G31" s="58">
        <f t="shared" si="0"/>
        <v>12.85</v>
      </c>
      <c r="H31" s="97">
        <v>7.3</v>
      </c>
      <c r="I31" s="58">
        <v>1</v>
      </c>
      <c r="J31" s="59">
        <f t="shared" si="1"/>
        <v>4.55</v>
      </c>
      <c r="K31" s="86">
        <v>4</v>
      </c>
      <c r="L31" s="86">
        <f t="shared" si="2"/>
        <v>54.999999999999986</v>
      </c>
      <c r="M31" s="98"/>
      <c r="O31" s="86" t="s">
        <v>2</v>
      </c>
      <c r="P31" s="86">
        <v>23</v>
      </c>
      <c r="Q31" s="58">
        <v>11.1</v>
      </c>
      <c r="R31" s="96"/>
      <c r="S31" s="96"/>
      <c r="T31" s="53">
        <v>23.95</v>
      </c>
      <c r="U31" s="58">
        <f t="shared" si="3"/>
        <v>12.85</v>
      </c>
      <c r="V31" s="97">
        <v>7.3</v>
      </c>
      <c r="W31" s="58">
        <v>1</v>
      </c>
      <c r="X31" s="59">
        <f t="shared" si="4"/>
        <v>4.55</v>
      </c>
      <c r="Y31" s="86">
        <v>4</v>
      </c>
      <c r="Z31" s="86">
        <f t="shared" si="5"/>
        <v>54.999999999999986</v>
      </c>
      <c r="AA31" s="98"/>
      <c r="AB31" s="86" t="s">
        <v>2</v>
      </c>
      <c r="AC31" s="86">
        <v>23</v>
      </c>
      <c r="AD31" s="58">
        <v>11.1</v>
      </c>
      <c r="AE31" s="96"/>
      <c r="AF31" s="96"/>
      <c r="AG31" s="53">
        <v>23.95</v>
      </c>
      <c r="AH31" s="58">
        <f t="shared" si="6"/>
        <v>12.85</v>
      </c>
      <c r="AI31" s="97">
        <v>7.3</v>
      </c>
      <c r="AJ31" s="58">
        <v>1</v>
      </c>
      <c r="AK31" s="59">
        <f t="shared" si="7"/>
        <v>4.55</v>
      </c>
      <c r="AL31" s="86">
        <v>4</v>
      </c>
      <c r="AM31" s="86">
        <f t="shared" si="8"/>
        <v>54.999999999999986</v>
      </c>
      <c r="AN31" s="98"/>
      <c r="AP31" s="86" t="s">
        <v>2</v>
      </c>
      <c r="AQ31" s="86">
        <v>23</v>
      </c>
      <c r="AR31" s="58">
        <v>11.1</v>
      </c>
      <c r="AS31" s="96"/>
      <c r="AT31" s="96"/>
      <c r="AU31" s="53">
        <v>23.95</v>
      </c>
      <c r="AV31" s="58">
        <f t="shared" si="9"/>
        <v>12.85</v>
      </c>
      <c r="AW31" s="97">
        <v>7.3</v>
      </c>
      <c r="AX31" s="58">
        <v>1</v>
      </c>
      <c r="AY31" s="59">
        <f t="shared" si="10"/>
        <v>4.55</v>
      </c>
      <c r="AZ31" s="86">
        <v>4</v>
      </c>
      <c r="BA31" s="86">
        <f t="shared" si="11"/>
        <v>54.999999999999986</v>
      </c>
      <c r="BB31" s="98"/>
      <c r="BC31" s="86" t="s">
        <v>2</v>
      </c>
      <c r="BD31" s="86">
        <v>23</v>
      </c>
      <c r="BE31" s="58">
        <v>11.1</v>
      </c>
      <c r="BF31" s="96"/>
      <c r="BG31" s="96"/>
      <c r="BH31" s="53">
        <v>23.95</v>
      </c>
      <c r="BI31" s="58">
        <f t="shared" si="12"/>
        <v>12.85</v>
      </c>
      <c r="BJ31" s="97">
        <v>7.3</v>
      </c>
      <c r="BK31" s="58">
        <v>1</v>
      </c>
      <c r="BL31" s="59">
        <f t="shared" si="13"/>
        <v>4.55</v>
      </c>
      <c r="BM31" s="86">
        <v>4</v>
      </c>
      <c r="BN31" s="86">
        <f t="shared" si="14"/>
        <v>54.999999999999986</v>
      </c>
      <c r="BO31" s="98"/>
      <c r="BQ31" s="86" t="s">
        <v>2</v>
      </c>
      <c r="BR31" s="86">
        <v>23</v>
      </c>
      <c r="BS31" s="58">
        <v>11.1</v>
      </c>
      <c r="BT31" s="96"/>
      <c r="BU31" s="96"/>
      <c r="BV31" s="53">
        <v>23.95</v>
      </c>
      <c r="BW31" s="58">
        <f t="shared" si="15"/>
        <v>12.85</v>
      </c>
      <c r="BX31" s="97">
        <v>7.3</v>
      </c>
      <c r="BY31" s="58">
        <v>1</v>
      </c>
      <c r="BZ31" s="59">
        <f t="shared" si="16"/>
        <v>4.55</v>
      </c>
      <c r="CA31" s="86">
        <v>4</v>
      </c>
      <c r="CB31" s="86">
        <f t="shared" si="17"/>
        <v>54.999999999999986</v>
      </c>
      <c r="CC31" s="98"/>
      <c r="CE31" s="86" t="s">
        <v>2</v>
      </c>
      <c r="CF31" s="86">
        <v>23</v>
      </c>
      <c r="CG31" s="58">
        <v>11.1</v>
      </c>
      <c r="CH31" s="96"/>
      <c r="CI31" s="96"/>
      <c r="CJ31" s="53">
        <v>23.95</v>
      </c>
      <c r="CK31" s="58">
        <f t="shared" si="18"/>
        <v>12.85</v>
      </c>
      <c r="CL31" s="97">
        <v>7.3</v>
      </c>
      <c r="CM31" s="58">
        <v>1</v>
      </c>
      <c r="CN31" s="59">
        <f t="shared" si="19"/>
        <v>4.55</v>
      </c>
      <c r="CO31" s="86">
        <v>4</v>
      </c>
      <c r="CP31" s="86">
        <f t="shared" si="20"/>
        <v>54.999999999999986</v>
      </c>
      <c r="CQ31" s="98"/>
      <c r="CS31" s="86" t="s">
        <v>2</v>
      </c>
      <c r="CT31" s="86">
        <v>23</v>
      </c>
      <c r="CU31" s="58">
        <v>11.1</v>
      </c>
      <c r="CV31" s="96"/>
      <c r="CW31" s="96"/>
      <c r="CX31" s="53">
        <v>23.95</v>
      </c>
      <c r="CY31" s="58">
        <f t="shared" si="21"/>
        <v>12.85</v>
      </c>
      <c r="CZ31" s="97">
        <v>7.3</v>
      </c>
      <c r="DA31" s="58">
        <v>1</v>
      </c>
      <c r="DB31" s="59">
        <f t="shared" si="22"/>
        <v>4.55</v>
      </c>
      <c r="DC31" s="86">
        <v>4</v>
      </c>
      <c r="DD31" s="86">
        <f t="shared" si="23"/>
        <v>54.999999999999986</v>
      </c>
      <c r="DE31" s="98"/>
      <c r="DG31" s="86" t="s">
        <v>2</v>
      </c>
      <c r="DH31" s="86">
        <v>23</v>
      </c>
      <c r="DI31" s="58">
        <v>11.1</v>
      </c>
      <c r="DJ31" s="96"/>
      <c r="DK31" s="96"/>
      <c r="DL31" s="53">
        <v>23.95</v>
      </c>
      <c r="DM31" s="58">
        <f t="shared" si="24"/>
        <v>12.85</v>
      </c>
      <c r="DN31" s="97">
        <v>7.3</v>
      </c>
      <c r="DO31" s="58">
        <v>1</v>
      </c>
      <c r="DP31" s="59">
        <f t="shared" si="25"/>
        <v>4.55</v>
      </c>
      <c r="DQ31" s="86">
        <v>4</v>
      </c>
      <c r="DR31" s="86">
        <f t="shared" si="26"/>
        <v>54.999999999999986</v>
      </c>
      <c r="DS31" s="98"/>
    </row>
    <row r="32" spans="1:124" s="54" customFormat="1" ht="17.149999999999999" customHeight="1" x14ac:dyDescent="0.35">
      <c r="A32" s="86" t="s">
        <v>225</v>
      </c>
      <c r="B32" s="86">
        <v>24</v>
      </c>
      <c r="C32" s="58">
        <v>11.1</v>
      </c>
      <c r="D32" s="96"/>
      <c r="E32" s="96"/>
      <c r="F32" s="53">
        <v>23.99</v>
      </c>
      <c r="G32" s="58">
        <f t="shared" si="0"/>
        <v>12.889999999999999</v>
      </c>
      <c r="H32" s="97">
        <v>7.3</v>
      </c>
      <c r="I32" s="58">
        <v>1.4</v>
      </c>
      <c r="J32" s="59">
        <f t="shared" si="1"/>
        <v>4.1899999999999995</v>
      </c>
      <c r="K32" s="86">
        <v>4</v>
      </c>
      <c r="L32" s="86">
        <f t="shared" si="2"/>
        <v>18.99999999999995</v>
      </c>
      <c r="M32" s="98"/>
      <c r="N32"/>
      <c r="O32" s="86" t="s">
        <v>225</v>
      </c>
      <c r="P32" s="86">
        <v>24</v>
      </c>
      <c r="Q32" s="58">
        <v>11.1</v>
      </c>
      <c r="R32" s="96"/>
      <c r="S32" s="96"/>
      <c r="T32" s="53">
        <v>23.99</v>
      </c>
      <c r="U32" s="58">
        <f t="shared" si="3"/>
        <v>12.889999999999999</v>
      </c>
      <c r="V32" s="97">
        <v>7.3</v>
      </c>
      <c r="W32" s="58">
        <v>1.4</v>
      </c>
      <c r="X32" s="59">
        <f t="shared" si="4"/>
        <v>4.1899999999999995</v>
      </c>
      <c r="Y32" s="86">
        <v>4</v>
      </c>
      <c r="Z32" s="86">
        <f t="shared" si="5"/>
        <v>18.99999999999995</v>
      </c>
      <c r="AA32" s="98"/>
      <c r="AB32" s="86" t="s">
        <v>225</v>
      </c>
      <c r="AC32" s="86">
        <v>24</v>
      </c>
      <c r="AD32" s="58">
        <v>11.1</v>
      </c>
      <c r="AE32" s="96"/>
      <c r="AF32" s="96"/>
      <c r="AG32" s="53">
        <v>23.99</v>
      </c>
      <c r="AH32" s="58">
        <f t="shared" si="6"/>
        <v>12.889999999999999</v>
      </c>
      <c r="AI32" s="97">
        <v>7.3</v>
      </c>
      <c r="AJ32" s="58">
        <v>1.4</v>
      </c>
      <c r="AK32" s="59">
        <f t="shared" si="7"/>
        <v>4.1899999999999995</v>
      </c>
      <c r="AL32" s="86">
        <v>4</v>
      </c>
      <c r="AM32" s="86">
        <f t="shared" si="8"/>
        <v>18.99999999999995</v>
      </c>
      <c r="AN32" s="98"/>
      <c r="AO32"/>
      <c r="AP32" s="86" t="s">
        <v>225</v>
      </c>
      <c r="AQ32" s="86">
        <v>24</v>
      </c>
      <c r="AR32" s="58">
        <v>11.1</v>
      </c>
      <c r="AS32" s="96"/>
      <c r="AT32" s="96"/>
      <c r="AU32" s="53">
        <v>23.99</v>
      </c>
      <c r="AV32" s="58">
        <f t="shared" si="9"/>
        <v>12.889999999999999</v>
      </c>
      <c r="AW32" s="97">
        <v>7.3</v>
      </c>
      <c r="AX32" s="58">
        <v>1.4</v>
      </c>
      <c r="AY32" s="59">
        <f t="shared" si="10"/>
        <v>4.1899999999999995</v>
      </c>
      <c r="AZ32" s="86">
        <v>4</v>
      </c>
      <c r="BA32" s="86">
        <f t="shared" si="11"/>
        <v>18.99999999999995</v>
      </c>
      <c r="BB32" s="98"/>
      <c r="BC32" s="86" t="s">
        <v>225</v>
      </c>
      <c r="BD32" s="86">
        <v>24</v>
      </c>
      <c r="BE32" s="58">
        <v>11.1</v>
      </c>
      <c r="BF32" s="96"/>
      <c r="BG32" s="96"/>
      <c r="BH32" s="53">
        <v>23.99</v>
      </c>
      <c r="BI32" s="58">
        <f t="shared" si="12"/>
        <v>12.889999999999999</v>
      </c>
      <c r="BJ32" s="97">
        <v>7.3</v>
      </c>
      <c r="BK32" s="58">
        <v>1.4</v>
      </c>
      <c r="BL32" s="59">
        <f t="shared" si="13"/>
        <v>4.1899999999999995</v>
      </c>
      <c r="BM32" s="86">
        <v>4</v>
      </c>
      <c r="BN32" s="86">
        <f t="shared" si="14"/>
        <v>18.99999999999995</v>
      </c>
      <c r="BO32" s="98"/>
      <c r="BP32"/>
      <c r="BQ32" s="86" t="s">
        <v>225</v>
      </c>
      <c r="BR32" s="86">
        <v>24</v>
      </c>
      <c r="BS32" s="58">
        <v>11.1</v>
      </c>
      <c r="BT32" s="96"/>
      <c r="BU32" s="96"/>
      <c r="BV32" s="53">
        <v>23.99</v>
      </c>
      <c r="BW32" s="58">
        <f t="shared" si="15"/>
        <v>12.889999999999999</v>
      </c>
      <c r="BX32" s="97">
        <v>7.3</v>
      </c>
      <c r="BY32" s="58">
        <v>1.4</v>
      </c>
      <c r="BZ32" s="59">
        <f t="shared" si="16"/>
        <v>4.1899999999999995</v>
      </c>
      <c r="CA32" s="86">
        <v>4</v>
      </c>
      <c r="CB32" s="86">
        <f t="shared" si="17"/>
        <v>18.99999999999995</v>
      </c>
      <c r="CC32" s="98"/>
      <c r="CD32"/>
      <c r="CE32" s="86" t="s">
        <v>225</v>
      </c>
      <c r="CF32" s="86">
        <v>24</v>
      </c>
      <c r="CG32" s="58">
        <v>11.1</v>
      </c>
      <c r="CH32" s="96"/>
      <c r="CI32" s="96"/>
      <c r="CJ32" s="53">
        <v>23.99</v>
      </c>
      <c r="CK32" s="58">
        <f t="shared" si="18"/>
        <v>12.889999999999999</v>
      </c>
      <c r="CL32" s="97">
        <v>7.3</v>
      </c>
      <c r="CM32" s="58">
        <v>1.4</v>
      </c>
      <c r="CN32" s="59">
        <f t="shared" si="19"/>
        <v>4.1899999999999995</v>
      </c>
      <c r="CO32" s="86">
        <v>4</v>
      </c>
      <c r="CP32" s="86">
        <f t="shared" si="20"/>
        <v>18.99999999999995</v>
      </c>
      <c r="CQ32" s="98"/>
      <c r="CR32"/>
      <c r="CS32" s="86" t="s">
        <v>225</v>
      </c>
      <c r="CT32" s="86">
        <v>24</v>
      </c>
      <c r="CU32" s="58">
        <v>11.1</v>
      </c>
      <c r="CV32" s="96"/>
      <c r="CW32" s="96"/>
      <c r="CX32" s="53">
        <v>23.99</v>
      </c>
      <c r="CY32" s="58">
        <f t="shared" si="21"/>
        <v>12.889999999999999</v>
      </c>
      <c r="CZ32" s="97">
        <v>7.3</v>
      </c>
      <c r="DA32" s="58">
        <v>1.4</v>
      </c>
      <c r="DB32" s="59">
        <f t="shared" si="22"/>
        <v>4.1899999999999995</v>
      </c>
      <c r="DC32" s="86">
        <v>4</v>
      </c>
      <c r="DD32" s="86">
        <f t="shared" si="23"/>
        <v>18.99999999999995</v>
      </c>
      <c r="DE32" s="98"/>
      <c r="DF32"/>
      <c r="DG32" s="86" t="s">
        <v>225</v>
      </c>
      <c r="DH32" s="86">
        <v>24</v>
      </c>
      <c r="DI32" s="58">
        <v>11.1</v>
      </c>
      <c r="DJ32" s="96"/>
      <c r="DK32" s="96"/>
      <c r="DL32" s="53">
        <v>23.99</v>
      </c>
      <c r="DM32" s="58">
        <f t="shared" si="24"/>
        <v>12.889999999999999</v>
      </c>
      <c r="DN32" s="97">
        <v>7.3</v>
      </c>
      <c r="DO32" s="58">
        <v>1.4</v>
      </c>
      <c r="DP32" s="59">
        <f t="shared" si="25"/>
        <v>4.1899999999999995</v>
      </c>
      <c r="DQ32" s="86">
        <v>4</v>
      </c>
      <c r="DR32" s="86">
        <f t="shared" si="26"/>
        <v>18.99999999999995</v>
      </c>
      <c r="DS32" s="98"/>
      <c r="DT32"/>
    </row>
    <row r="33" spans="1:124" ht="17.149999999999999" customHeight="1" x14ac:dyDescent="0.35">
      <c r="A33" s="86" t="s">
        <v>4</v>
      </c>
      <c r="B33" s="86">
        <v>25</v>
      </c>
      <c r="C33" s="58">
        <v>11.1</v>
      </c>
      <c r="D33" s="96"/>
      <c r="E33" s="96"/>
      <c r="F33" s="53">
        <v>22.72</v>
      </c>
      <c r="G33" s="58">
        <f t="shared" si="0"/>
        <v>11.62</v>
      </c>
      <c r="H33" s="97">
        <v>7.3</v>
      </c>
      <c r="I33" s="58">
        <v>1</v>
      </c>
      <c r="J33" s="59">
        <f t="shared" si="1"/>
        <v>3.3199999999999994</v>
      </c>
      <c r="K33" s="86">
        <v>3</v>
      </c>
      <c r="L33" s="86">
        <f t="shared" si="2"/>
        <v>31.99999999999994</v>
      </c>
      <c r="M33" s="98"/>
      <c r="O33" s="86" t="s">
        <v>4</v>
      </c>
      <c r="P33" s="86">
        <v>25</v>
      </c>
      <c r="Q33" s="58">
        <v>11.1</v>
      </c>
      <c r="R33" s="96"/>
      <c r="S33" s="96"/>
      <c r="T33" s="53">
        <v>22.72</v>
      </c>
      <c r="U33" s="58">
        <f t="shared" si="3"/>
        <v>11.62</v>
      </c>
      <c r="V33" s="97">
        <v>7.3</v>
      </c>
      <c r="W33" s="58">
        <v>1</v>
      </c>
      <c r="X33" s="59">
        <f t="shared" si="4"/>
        <v>3.3199999999999994</v>
      </c>
      <c r="Y33" s="86">
        <v>3</v>
      </c>
      <c r="Z33" s="86">
        <f t="shared" si="5"/>
        <v>31.99999999999994</v>
      </c>
      <c r="AA33" s="98"/>
      <c r="AB33" s="86" t="s">
        <v>4</v>
      </c>
      <c r="AC33" s="86">
        <v>25</v>
      </c>
      <c r="AD33" s="58">
        <v>11.1</v>
      </c>
      <c r="AE33" s="96"/>
      <c r="AF33" s="96"/>
      <c r="AG33" s="53">
        <v>22.72</v>
      </c>
      <c r="AH33" s="58">
        <f t="shared" si="6"/>
        <v>11.62</v>
      </c>
      <c r="AI33" s="97">
        <v>7.3</v>
      </c>
      <c r="AJ33" s="58">
        <v>1</v>
      </c>
      <c r="AK33" s="59">
        <f t="shared" si="7"/>
        <v>3.3199999999999994</v>
      </c>
      <c r="AL33" s="86">
        <v>3</v>
      </c>
      <c r="AM33" s="86">
        <f t="shared" si="8"/>
        <v>31.99999999999994</v>
      </c>
      <c r="AN33" s="98"/>
      <c r="AP33" s="86" t="s">
        <v>4</v>
      </c>
      <c r="AQ33" s="86">
        <v>25</v>
      </c>
      <c r="AR33" s="58">
        <v>11.1</v>
      </c>
      <c r="AS33" s="96"/>
      <c r="AT33" s="96"/>
      <c r="AU33" s="53">
        <v>22.72</v>
      </c>
      <c r="AV33" s="58">
        <f t="shared" si="9"/>
        <v>11.62</v>
      </c>
      <c r="AW33" s="97">
        <v>7.3</v>
      </c>
      <c r="AX33" s="58">
        <v>1</v>
      </c>
      <c r="AY33" s="59">
        <f t="shared" si="10"/>
        <v>3.3199999999999994</v>
      </c>
      <c r="AZ33" s="86">
        <v>3</v>
      </c>
      <c r="BA33" s="86">
        <f t="shared" si="11"/>
        <v>31.99999999999994</v>
      </c>
      <c r="BB33" s="98"/>
      <c r="BC33" s="86" t="s">
        <v>4</v>
      </c>
      <c r="BD33" s="86">
        <v>25</v>
      </c>
      <c r="BE33" s="58">
        <v>11.1</v>
      </c>
      <c r="BF33" s="96"/>
      <c r="BG33" s="96"/>
      <c r="BH33" s="53">
        <v>22.72</v>
      </c>
      <c r="BI33" s="58">
        <f t="shared" si="12"/>
        <v>11.62</v>
      </c>
      <c r="BJ33" s="97">
        <v>7.3</v>
      </c>
      <c r="BK33" s="58">
        <v>1</v>
      </c>
      <c r="BL33" s="59">
        <f t="shared" si="13"/>
        <v>3.3199999999999994</v>
      </c>
      <c r="BM33" s="86">
        <v>3</v>
      </c>
      <c r="BN33" s="86">
        <f t="shared" si="14"/>
        <v>31.99999999999994</v>
      </c>
      <c r="BO33" s="98"/>
      <c r="BQ33" s="86" t="s">
        <v>4</v>
      </c>
      <c r="BR33" s="86">
        <v>25</v>
      </c>
      <c r="BS33" s="58">
        <v>11.1</v>
      </c>
      <c r="BT33" s="96"/>
      <c r="BU33" s="96"/>
      <c r="BV33" s="53">
        <v>22.72</v>
      </c>
      <c r="BW33" s="58">
        <f t="shared" si="15"/>
        <v>11.62</v>
      </c>
      <c r="BX33" s="97">
        <v>7.3</v>
      </c>
      <c r="BY33" s="58">
        <v>1</v>
      </c>
      <c r="BZ33" s="59">
        <f t="shared" si="16"/>
        <v>3.3199999999999994</v>
      </c>
      <c r="CA33" s="86">
        <v>3</v>
      </c>
      <c r="CB33" s="86">
        <f t="shared" si="17"/>
        <v>31.99999999999994</v>
      </c>
      <c r="CC33" s="98"/>
      <c r="CE33" s="86" t="s">
        <v>4</v>
      </c>
      <c r="CF33" s="86">
        <v>25</v>
      </c>
      <c r="CG33" s="58">
        <v>11.1</v>
      </c>
      <c r="CH33" s="96"/>
      <c r="CI33" s="96"/>
      <c r="CJ33" s="53">
        <v>22.72</v>
      </c>
      <c r="CK33" s="58">
        <f t="shared" si="18"/>
        <v>11.62</v>
      </c>
      <c r="CL33" s="97">
        <v>7.3</v>
      </c>
      <c r="CM33" s="58">
        <v>1</v>
      </c>
      <c r="CN33" s="59">
        <f t="shared" si="19"/>
        <v>3.3199999999999994</v>
      </c>
      <c r="CO33" s="86">
        <v>3</v>
      </c>
      <c r="CP33" s="86">
        <f t="shared" si="20"/>
        <v>31.99999999999994</v>
      </c>
      <c r="CQ33" s="98"/>
      <c r="CS33" s="86" t="s">
        <v>4</v>
      </c>
      <c r="CT33" s="86">
        <v>25</v>
      </c>
      <c r="CU33" s="58">
        <v>11.1</v>
      </c>
      <c r="CV33" s="96"/>
      <c r="CW33" s="96"/>
      <c r="CX33" s="53">
        <v>22.72</v>
      </c>
      <c r="CY33" s="58">
        <f t="shared" si="21"/>
        <v>11.62</v>
      </c>
      <c r="CZ33" s="97">
        <v>7.3</v>
      </c>
      <c r="DA33" s="58">
        <v>1</v>
      </c>
      <c r="DB33" s="59">
        <f t="shared" si="22"/>
        <v>3.3199999999999994</v>
      </c>
      <c r="DC33" s="86">
        <v>3</v>
      </c>
      <c r="DD33" s="86">
        <f t="shared" si="23"/>
        <v>31.99999999999994</v>
      </c>
      <c r="DE33" s="98"/>
      <c r="DG33" s="86" t="s">
        <v>4</v>
      </c>
      <c r="DH33" s="86">
        <v>25</v>
      </c>
      <c r="DI33" s="58">
        <v>11.1</v>
      </c>
      <c r="DJ33" s="96"/>
      <c r="DK33" s="96"/>
      <c r="DL33" s="53">
        <v>22.72</v>
      </c>
      <c r="DM33" s="58">
        <f t="shared" si="24"/>
        <v>11.62</v>
      </c>
      <c r="DN33" s="97">
        <v>7.3</v>
      </c>
      <c r="DO33" s="58">
        <v>1</v>
      </c>
      <c r="DP33" s="59">
        <f t="shared" si="25"/>
        <v>3.3199999999999994</v>
      </c>
      <c r="DQ33" s="86">
        <v>3</v>
      </c>
      <c r="DR33" s="86">
        <f t="shared" si="26"/>
        <v>31.99999999999994</v>
      </c>
      <c r="DS33" s="98"/>
    </row>
    <row r="34" spans="1:124" ht="17.149999999999999" customHeight="1" x14ac:dyDescent="0.35">
      <c r="A34" s="86" t="s">
        <v>5</v>
      </c>
      <c r="B34" s="86">
        <v>26</v>
      </c>
      <c r="C34" s="58">
        <v>11.1</v>
      </c>
      <c r="D34" s="96"/>
      <c r="E34" s="96"/>
      <c r="F34" s="53">
        <v>22.85</v>
      </c>
      <c r="G34" s="58">
        <f t="shared" si="0"/>
        <v>11.750000000000002</v>
      </c>
      <c r="H34" s="97">
        <v>7.3</v>
      </c>
      <c r="I34" s="58">
        <v>1</v>
      </c>
      <c r="J34" s="59">
        <f t="shared" si="1"/>
        <v>3.450000000000002</v>
      </c>
      <c r="K34" s="86">
        <v>3</v>
      </c>
      <c r="L34" s="86">
        <f t="shared" si="2"/>
        <v>45.000000000000199</v>
      </c>
      <c r="M34" s="98"/>
      <c r="O34" s="86" t="s">
        <v>5</v>
      </c>
      <c r="P34" s="86">
        <v>26</v>
      </c>
      <c r="Q34" s="58">
        <v>11.1</v>
      </c>
      <c r="R34" s="96"/>
      <c r="S34" s="96"/>
      <c r="T34" s="53">
        <v>22.85</v>
      </c>
      <c r="U34" s="58">
        <f t="shared" si="3"/>
        <v>11.750000000000002</v>
      </c>
      <c r="V34" s="97">
        <v>7.3</v>
      </c>
      <c r="W34" s="58">
        <v>1</v>
      </c>
      <c r="X34" s="59">
        <f t="shared" si="4"/>
        <v>3.450000000000002</v>
      </c>
      <c r="Y34" s="86">
        <v>3</v>
      </c>
      <c r="Z34" s="86">
        <f t="shared" si="5"/>
        <v>45.000000000000199</v>
      </c>
      <c r="AA34" s="98"/>
      <c r="AB34" s="86" t="s">
        <v>5</v>
      </c>
      <c r="AC34" s="86">
        <v>26</v>
      </c>
      <c r="AD34" s="58">
        <v>11.1</v>
      </c>
      <c r="AE34" s="96"/>
      <c r="AF34" s="96"/>
      <c r="AG34" s="53">
        <v>22.85</v>
      </c>
      <c r="AH34" s="58">
        <f t="shared" si="6"/>
        <v>11.750000000000002</v>
      </c>
      <c r="AI34" s="97">
        <v>7.3</v>
      </c>
      <c r="AJ34" s="58">
        <v>1</v>
      </c>
      <c r="AK34" s="59">
        <f t="shared" si="7"/>
        <v>3.450000000000002</v>
      </c>
      <c r="AL34" s="86">
        <v>3</v>
      </c>
      <c r="AM34" s="86">
        <f t="shared" si="8"/>
        <v>45.000000000000199</v>
      </c>
      <c r="AN34" s="98"/>
      <c r="AP34" s="86" t="s">
        <v>5</v>
      </c>
      <c r="AQ34" s="86">
        <v>26</v>
      </c>
      <c r="AR34" s="58">
        <v>11.1</v>
      </c>
      <c r="AS34" s="96"/>
      <c r="AT34" s="96"/>
      <c r="AU34" s="53">
        <v>22.85</v>
      </c>
      <c r="AV34" s="58">
        <f t="shared" si="9"/>
        <v>11.750000000000002</v>
      </c>
      <c r="AW34" s="97">
        <v>7.3</v>
      </c>
      <c r="AX34" s="58">
        <v>1</v>
      </c>
      <c r="AY34" s="59">
        <f t="shared" si="10"/>
        <v>3.450000000000002</v>
      </c>
      <c r="AZ34" s="86">
        <v>3</v>
      </c>
      <c r="BA34" s="86">
        <f t="shared" si="11"/>
        <v>45.000000000000199</v>
      </c>
      <c r="BB34" s="98"/>
      <c r="BC34" s="86" t="s">
        <v>5</v>
      </c>
      <c r="BD34" s="86">
        <v>26</v>
      </c>
      <c r="BE34" s="58">
        <v>11.1</v>
      </c>
      <c r="BF34" s="96"/>
      <c r="BG34" s="96"/>
      <c r="BH34" s="53">
        <v>22.85</v>
      </c>
      <c r="BI34" s="58">
        <f t="shared" si="12"/>
        <v>11.750000000000002</v>
      </c>
      <c r="BJ34" s="97">
        <v>7.3</v>
      </c>
      <c r="BK34" s="58">
        <v>1</v>
      </c>
      <c r="BL34" s="59">
        <f t="shared" si="13"/>
        <v>3.450000000000002</v>
      </c>
      <c r="BM34" s="86">
        <v>3</v>
      </c>
      <c r="BN34" s="86">
        <f t="shared" si="14"/>
        <v>45.000000000000199</v>
      </c>
      <c r="BO34" s="98"/>
      <c r="BQ34" s="86" t="s">
        <v>5</v>
      </c>
      <c r="BR34" s="86">
        <v>26</v>
      </c>
      <c r="BS34" s="58">
        <v>11.1</v>
      </c>
      <c r="BT34" s="96"/>
      <c r="BU34" s="96"/>
      <c r="BV34" s="53">
        <v>22.85</v>
      </c>
      <c r="BW34" s="58">
        <f t="shared" si="15"/>
        <v>11.750000000000002</v>
      </c>
      <c r="BX34" s="97">
        <v>7.3</v>
      </c>
      <c r="BY34" s="58">
        <v>1</v>
      </c>
      <c r="BZ34" s="59">
        <f t="shared" si="16"/>
        <v>3.450000000000002</v>
      </c>
      <c r="CA34" s="86">
        <v>3</v>
      </c>
      <c r="CB34" s="86">
        <f t="shared" si="17"/>
        <v>45.000000000000199</v>
      </c>
      <c r="CC34" s="98"/>
      <c r="CE34" s="86" t="s">
        <v>5</v>
      </c>
      <c r="CF34" s="86">
        <v>26</v>
      </c>
      <c r="CG34" s="58">
        <v>11.1</v>
      </c>
      <c r="CH34" s="96"/>
      <c r="CI34" s="96"/>
      <c r="CJ34" s="53">
        <v>22.85</v>
      </c>
      <c r="CK34" s="58">
        <f t="shared" si="18"/>
        <v>11.750000000000002</v>
      </c>
      <c r="CL34" s="97">
        <v>7.3</v>
      </c>
      <c r="CM34" s="58">
        <v>1</v>
      </c>
      <c r="CN34" s="59">
        <f t="shared" si="19"/>
        <v>3.450000000000002</v>
      </c>
      <c r="CO34" s="86">
        <v>3</v>
      </c>
      <c r="CP34" s="86">
        <f t="shared" si="20"/>
        <v>45.000000000000199</v>
      </c>
      <c r="CQ34" s="98"/>
      <c r="CS34" s="86" t="s">
        <v>5</v>
      </c>
      <c r="CT34" s="86">
        <v>26</v>
      </c>
      <c r="CU34" s="58">
        <v>11.1</v>
      </c>
      <c r="CV34" s="96"/>
      <c r="CW34" s="96"/>
      <c r="CX34" s="53">
        <v>22.85</v>
      </c>
      <c r="CY34" s="58">
        <f t="shared" si="21"/>
        <v>11.750000000000002</v>
      </c>
      <c r="CZ34" s="97">
        <v>7.3</v>
      </c>
      <c r="DA34" s="58">
        <v>1</v>
      </c>
      <c r="DB34" s="59">
        <f t="shared" si="22"/>
        <v>3.450000000000002</v>
      </c>
      <c r="DC34" s="86">
        <v>3</v>
      </c>
      <c r="DD34" s="86">
        <f t="shared" si="23"/>
        <v>45.000000000000199</v>
      </c>
      <c r="DE34" s="98"/>
      <c r="DG34" s="86" t="s">
        <v>5</v>
      </c>
      <c r="DH34" s="86">
        <v>26</v>
      </c>
      <c r="DI34" s="58">
        <v>11.1</v>
      </c>
      <c r="DJ34" s="96"/>
      <c r="DK34" s="96"/>
      <c r="DL34" s="53">
        <v>22.85</v>
      </c>
      <c r="DM34" s="58">
        <f t="shared" si="24"/>
        <v>11.750000000000002</v>
      </c>
      <c r="DN34" s="97">
        <v>7.3</v>
      </c>
      <c r="DO34" s="58">
        <v>1</v>
      </c>
      <c r="DP34" s="59">
        <f t="shared" si="25"/>
        <v>3.450000000000002</v>
      </c>
      <c r="DQ34" s="86">
        <v>3</v>
      </c>
      <c r="DR34" s="86">
        <f t="shared" si="26"/>
        <v>45.000000000000199</v>
      </c>
      <c r="DS34" s="98"/>
    </row>
    <row r="35" spans="1:124" ht="17.149999999999999" customHeight="1" x14ac:dyDescent="0.35">
      <c r="A35" s="55" t="s">
        <v>6</v>
      </c>
      <c r="B35" s="55">
        <v>27</v>
      </c>
      <c r="C35" s="52"/>
      <c r="D35" s="52"/>
      <c r="E35" s="52">
        <v>9.1</v>
      </c>
      <c r="F35" s="52">
        <v>11.3</v>
      </c>
      <c r="G35" s="52">
        <f t="shared" si="0"/>
        <v>2.2000000000000011</v>
      </c>
      <c r="H35" s="56"/>
      <c r="I35" s="52"/>
      <c r="J35" s="57">
        <f t="shared" si="1"/>
        <v>2.2000000000000011</v>
      </c>
      <c r="K35" s="55">
        <v>2</v>
      </c>
      <c r="L35" s="55">
        <f t="shared" si="2"/>
        <v>20.000000000000107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/>
      <c r="Z35" s="55">
        <f t="shared" si="5"/>
        <v>0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/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/>
      <c r="BA35" s="55">
        <f t="shared" si="11"/>
        <v>0</v>
      </c>
      <c r="BB35" s="95"/>
      <c r="BC35" s="55" t="s">
        <v>6</v>
      </c>
      <c r="BD35" s="55">
        <v>27</v>
      </c>
      <c r="BE35" s="52"/>
      <c r="BF35" s="52"/>
      <c r="BG35" s="52"/>
      <c r="BH35" s="52"/>
      <c r="BI35" s="52">
        <f t="shared" si="12"/>
        <v>0</v>
      </c>
      <c r="BJ35" s="56"/>
      <c r="BK35" s="52"/>
      <c r="BL35" s="57">
        <f t="shared" si="13"/>
        <v>0</v>
      </c>
      <c r="BM35" s="55"/>
      <c r="BN35" s="55">
        <f t="shared" si="14"/>
        <v>0</v>
      </c>
      <c r="BO35" s="95"/>
      <c r="BQ35" s="55" t="s">
        <v>6</v>
      </c>
      <c r="BR35" s="55">
        <v>27</v>
      </c>
      <c r="BS35" s="52"/>
      <c r="BT35" s="52"/>
      <c r="BU35" s="52"/>
      <c r="BV35" s="52"/>
      <c r="BW35" s="52">
        <f t="shared" si="15"/>
        <v>0</v>
      </c>
      <c r="BX35" s="56"/>
      <c r="BY35" s="52"/>
      <c r="BZ35" s="57">
        <f t="shared" si="16"/>
        <v>0</v>
      </c>
      <c r="CA35" s="55"/>
      <c r="CB35" s="55">
        <f t="shared" si="17"/>
        <v>0</v>
      </c>
      <c r="CC35" s="95"/>
      <c r="CE35" s="55" t="s">
        <v>6</v>
      </c>
      <c r="CF35" s="55">
        <v>27</v>
      </c>
      <c r="CG35" s="52"/>
      <c r="CH35" s="52"/>
      <c r="CI35" s="52">
        <v>9.1</v>
      </c>
      <c r="CJ35" s="52">
        <v>11.3</v>
      </c>
      <c r="CK35" s="52">
        <f t="shared" si="18"/>
        <v>2.2000000000000011</v>
      </c>
      <c r="CL35" s="56"/>
      <c r="CM35" s="52"/>
      <c r="CN35" s="57">
        <f t="shared" si="19"/>
        <v>2.2000000000000011</v>
      </c>
      <c r="CO35" s="55">
        <v>2</v>
      </c>
      <c r="CP35" s="55">
        <f t="shared" si="20"/>
        <v>20.000000000000107</v>
      </c>
      <c r="CQ35" s="95"/>
      <c r="CS35" s="55" t="s">
        <v>6</v>
      </c>
      <c r="CT35" s="55">
        <v>27</v>
      </c>
      <c r="CU35" s="52"/>
      <c r="CV35" s="52"/>
      <c r="CW35" s="52">
        <v>9.0500000000000007</v>
      </c>
      <c r="CX35" s="52">
        <v>11.3</v>
      </c>
      <c r="CY35" s="52">
        <f t="shared" si="21"/>
        <v>2.25</v>
      </c>
      <c r="CZ35" s="56"/>
      <c r="DA35" s="52"/>
      <c r="DB35" s="57">
        <f t="shared" si="22"/>
        <v>2.25</v>
      </c>
      <c r="DC35" s="55">
        <v>2</v>
      </c>
      <c r="DD35" s="55">
        <f t="shared" si="23"/>
        <v>25</v>
      </c>
      <c r="DE35" s="95"/>
      <c r="DG35" s="55" t="s">
        <v>6</v>
      </c>
      <c r="DH35" s="55">
        <v>27</v>
      </c>
      <c r="DI35" s="52"/>
      <c r="DJ35" s="52"/>
      <c r="DK35" s="52">
        <v>9.1</v>
      </c>
      <c r="DL35" s="52">
        <v>11.31</v>
      </c>
      <c r="DM35" s="52">
        <f t="shared" si="24"/>
        <v>2.2100000000000009</v>
      </c>
      <c r="DN35" s="56"/>
      <c r="DO35" s="52"/>
      <c r="DP35" s="57">
        <f t="shared" si="25"/>
        <v>2.2100000000000009</v>
      </c>
      <c r="DQ35" s="55">
        <v>2</v>
      </c>
      <c r="DR35" s="55">
        <f t="shared" si="26"/>
        <v>21.000000000000085</v>
      </c>
      <c r="DS35" s="95"/>
    </row>
    <row r="36" spans="1:124" ht="17.149999999999999" customHeight="1" x14ac:dyDescent="0.35">
      <c r="A36" s="86" t="s">
        <v>1</v>
      </c>
      <c r="B36" s="86">
        <v>28</v>
      </c>
      <c r="C36" s="58">
        <v>11.1</v>
      </c>
      <c r="D36" s="96"/>
      <c r="E36" s="96"/>
      <c r="F36" s="53">
        <v>21.93</v>
      </c>
      <c r="G36" s="58">
        <f t="shared" si="0"/>
        <v>10.83</v>
      </c>
      <c r="H36" s="97">
        <v>7.3</v>
      </c>
      <c r="I36" s="58">
        <v>1</v>
      </c>
      <c r="J36" s="59">
        <f t="shared" si="1"/>
        <v>2.5300000000000002</v>
      </c>
      <c r="K36" s="86">
        <v>2</v>
      </c>
      <c r="L36" s="86">
        <f t="shared" si="2"/>
        <v>53.000000000000028</v>
      </c>
      <c r="M36" s="98"/>
      <c r="O36" s="86" t="s">
        <v>1</v>
      </c>
      <c r="P36" s="86">
        <v>28</v>
      </c>
      <c r="Q36" s="58">
        <v>11.1</v>
      </c>
      <c r="R36" s="96"/>
      <c r="S36" s="96"/>
      <c r="T36" s="53">
        <v>21.93</v>
      </c>
      <c r="U36" s="58">
        <f t="shared" si="3"/>
        <v>10.83</v>
      </c>
      <c r="V36" s="97">
        <v>7.3</v>
      </c>
      <c r="W36" s="58">
        <v>1</v>
      </c>
      <c r="X36" s="59">
        <f t="shared" si="4"/>
        <v>2.5300000000000002</v>
      </c>
      <c r="Y36" s="86">
        <v>2</v>
      </c>
      <c r="Z36" s="86">
        <f t="shared" si="5"/>
        <v>53.000000000000028</v>
      </c>
      <c r="AA36" s="98"/>
      <c r="AB36" s="86" t="s">
        <v>1</v>
      </c>
      <c r="AC36" s="86">
        <v>28</v>
      </c>
      <c r="AD36" s="58">
        <v>11.1</v>
      </c>
      <c r="AE36" s="96"/>
      <c r="AF36" s="96"/>
      <c r="AG36" s="53">
        <v>21.93</v>
      </c>
      <c r="AH36" s="58">
        <f t="shared" si="6"/>
        <v>10.83</v>
      </c>
      <c r="AI36" s="97">
        <v>7.3</v>
      </c>
      <c r="AJ36" s="58">
        <v>1</v>
      </c>
      <c r="AK36" s="59">
        <f t="shared" si="7"/>
        <v>2.5300000000000002</v>
      </c>
      <c r="AL36" s="86">
        <v>2</v>
      </c>
      <c r="AM36" s="86">
        <f t="shared" si="8"/>
        <v>53.000000000000028</v>
      </c>
      <c r="AN36" s="98"/>
      <c r="AP36" s="86" t="s">
        <v>1</v>
      </c>
      <c r="AQ36" s="86">
        <v>28</v>
      </c>
      <c r="AR36" s="58">
        <v>11.1</v>
      </c>
      <c r="AS36" s="96"/>
      <c r="AT36" s="96"/>
      <c r="AU36" s="53">
        <v>21.93</v>
      </c>
      <c r="AV36" s="58">
        <f t="shared" si="9"/>
        <v>10.83</v>
      </c>
      <c r="AW36" s="97">
        <v>7.3</v>
      </c>
      <c r="AX36" s="58">
        <v>1</v>
      </c>
      <c r="AY36" s="59">
        <f t="shared" si="10"/>
        <v>2.5300000000000002</v>
      </c>
      <c r="AZ36" s="86">
        <v>2</v>
      </c>
      <c r="BA36" s="86">
        <f t="shared" si="11"/>
        <v>53.000000000000028</v>
      </c>
      <c r="BB36" s="98"/>
      <c r="BC36" s="86" t="s">
        <v>1</v>
      </c>
      <c r="BD36" s="86">
        <v>28</v>
      </c>
      <c r="BE36" s="58">
        <v>11.1</v>
      </c>
      <c r="BF36" s="96"/>
      <c r="BG36" s="96"/>
      <c r="BH36" s="53">
        <v>21.93</v>
      </c>
      <c r="BI36" s="58">
        <f t="shared" si="12"/>
        <v>10.83</v>
      </c>
      <c r="BJ36" s="97">
        <v>7.3</v>
      </c>
      <c r="BK36" s="58">
        <v>1</v>
      </c>
      <c r="BL36" s="59">
        <f t="shared" si="13"/>
        <v>2.5300000000000002</v>
      </c>
      <c r="BM36" s="86">
        <v>2</v>
      </c>
      <c r="BN36" s="86">
        <f t="shared" si="14"/>
        <v>53.000000000000028</v>
      </c>
      <c r="BO36" s="98"/>
      <c r="BQ36" s="86" t="s">
        <v>1</v>
      </c>
      <c r="BR36" s="86">
        <v>28</v>
      </c>
      <c r="BS36" s="58">
        <v>11.1</v>
      </c>
      <c r="BT36" s="96"/>
      <c r="BU36" s="96"/>
      <c r="BV36" s="53">
        <v>21.93</v>
      </c>
      <c r="BW36" s="58">
        <f t="shared" si="15"/>
        <v>10.83</v>
      </c>
      <c r="BX36" s="97">
        <v>7.3</v>
      </c>
      <c r="BY36" s="58">
        <v>1</v>
      </c>
      <c r="BZ36" s="59">
        <f t="shared" si="16"/>
        <v>2.5300000000000002</v>
      </c>
      <c r="CA36" s="86">
        <v>2</v>
      </c>
      <c r="CB36" s="86">
        <f t="shared" si="17"/>
        <v>53.000000000000028</v>
      </c>
      <c r="CC36" s="98"/>
      <c r="CE36" s="86" t="s">
        <v>1</v>
      </c>
      <c r="CF36" s="86">
        <v>28</v>
      </c>
      <c r="CG36" s="58">
        <v>11.1</v>
      </c>
      <c r="CH36" s="96"/>
      <c r="CI36" s="96"/>
      <c r="CJ36" s="53">
        <v>21.93</v>
      </c>
      <c r="CK36" s="58">
        <f t="shared" si="18"/>
        <v>10.83</v>
      </c>
      <c r="CL36" s="97">
        <v>7.3</v>
      </c>
      <c r="CM36" s="58">
        <v>1</v>
      </c>
      <c r="CN36" s="59">
        <f t="shared" si="19"/>
        <v>2.5300000000000002</v>
      </c>
      <c r="CO36" s="86">
        <v>2</v>
      </c>
      <c r="CP36" s="86">
        <f t="shared" si="20"/>
        <v>53.000000000000028</v>
      </c>
      <c r="CQ36" s="98"/>
      <c r="CS36" s="86" t="s">
        <v>1</v>
      </c>
      <c r="CT36" s="86">
        <v>28</v>
      </c>
      <c r="CU36" s="58">
        <v>11.1</v>
      </c>
      <c r="CV36" s="96"/>
      <c r="CW36" s="96"/>
      <c r="CX36" s="53">
        <v>21.93</v>
      </c>
      <c r="CY36" s="58">
        <f t="shared" si="21"/>
        <v>10.83</v>
      </c>
      <c r="CZ36" s="97">
        <v>7.3</v>
      </c>
      <c r="DA36" s="58">
        <v>1</v>
      </c>
      <c r="DB36" s="59">
        <f t="shared" si="22"/>
        <v>2.5300000000000002</v>
      </c>
      <c r="DC36" s="86">
        <v>2</v>
      </c>
      <c r="DD36" s="86">
        <f t="shared" si="23"/>
        <v>53.000000000000028</v>
      </c>
      <c r="DE36" s="98"/>
      <c r="DG36" s="86" t="s">
        <v>1</v>
      </c>
      <c r="DH36" s="86">
        <v>28</v>
      </c>
      <c r="DI36" s="58">
        <v>11.1</v>
      </c>
      <c r="DJ36" s="96"/>
      <c r="DK36" s="96"/>
      <c r="DL36" s="53">
        <v>21.93</v>
      </c>
      <c r="DM36" s="58">
        <f t="shared" si="24"/>
        <v>10.83</v>
      </c>
      <c r="DN36" s="97">
        <v>7.3</v>
      </c>
      <c r="DO36" s="58">
        <v>1</v>
      </c>
      <c r="DP36" s="59">
        <f t="shared" si="25"/>
        <v>2.5300000000000002</v>
      </c>
      <c r="DQ36" s="86">
        <v>2</v>
      </c>
      <c r="DR36" s="86">
        <f t="shared" si="26"/>
        <v>53.000000000000028</v>
      </c>
      <c r="DS36" s="98"/>
    </row>
    <row r="37" spans="1:124" ht="17.149999999999999" customHeight="1" x14ac:dyDescent="0.35">
      <c r="A37" s="86" t="s">
        <v>216</v>
      </c>
      <c r="B37" s="86">
        <v>29</v>
      </c>
      <c r="C37" s="58">
        <v>11.1</v>
      </c>
      <c r="D37" s="96"/>
      <c r="E37" s="96"/>
      <c r="F37" s="53">
        <v>22.6</v>
      </c>
      <c r="G37" s="58">
        <f t="shared" si="0"/>
        <v>11.500000000000002</v>
      </c>
      <c r="H37" s="97">
        <v>7.3</v>
      </c>
      <c r="I37" s="58">
        <v>1</v>
      </c>
      <c r="J37" s="59">
        <f t="shared" si="1"/>
        <v>3.200000000000002</v>
      </c>
      <c r="K37" s="86">
        <v>3</v>
      </c>
      <c r="L37" s="86">
        <f t="shared" si="2"/>
        <v>20.000000000000195</v>
      </c>
      <c r="M37" s="98"/>
      <c r="O37" s="86" t="s">
        <v>216</v>
      </c>
      <c r="P37" s="86">
        <v>29</v>
      </c>
      <c r="Q37" s="58">
        <v>11.1</v>
      </c>
      <c r="R37" s="96"/>
      <c r="S37" s="96"/>
      <c r="T37" s="53">
        <v>22.6</v>
      </c>
      <c r="U37" s="58">
        <f t="shared" si="3"/>
        <v>11.500000000000002</v>
      </c>
      <c r="V37" s="97">
        <v>7.3</v>
      </c>
      <c r="W37" s="58">
        <v>1</v>
      </c>
      <c r="X37" s="59">
        <f t="shared" si="4"/>
        <v>3.200000000000002</v>
      </c>
      <c r="Y37" s="86">
        <v>3</v>
      </c>
      <c r="Z37" s="86">
        <f t="shared" si="5"/>
        <v>20.000000000000195</v>
      </c>
      <c r="AA37" s="98"/>
      <c r="AB37" s="86" t="s">
        <v>216</v>
      </c>
      <c r="AC37" s="86">
        <v>29</v>
      </c>
      <c r="AD37" s="58">
        <v>11.1</v>
      </c>
      <c r="AE37" s="96"/>
      <c r="AF37" s="96"/>
      <c r="AG37" s="53">
        <v>22.6</v>
      </c>
      <c r="AH37" s="58">
        <f t="shared" si="6"/>
        <v>11.500000000000002</v>
      </c>
      <c r="AI37" s="97">
        <v>7.3</v>
      </c>
      <c r="AJ37" s="58">
        <v>1</v>
      </c>
      <c r="AK37" s="59">
        <f t="shared" si="7"/>
        <v>3.200000000000002</v>
      </c>
      <c r="AL37" s="86">
        <v>3</v>
      </c>
      <c r="AM37" s="86">
        <f t="shared" si="8"/>
        <v>20.000000000000195</v>
      </c>
      <c r="AN37" s="98"/>
      <c r="AP37" s="86" t="s">
        <v>216</v>
      </c>
      <c r="AQ37" s="86">
        <v>29</v>
      </c>
      <c r="AR37" s="58">
        <v>11.1</v>
      </c>
      <c r="AS37" s="96"/>
      <c r="AT37" s="96"/>
      <c r="AU37" s="53">
        <v>22.6</v>
      </c>
      <c r="AV37" s="58">
        <f t="shared" si="9"/>
        <v>11.500000000000002</v>
      </c>
      <c r="AW37" s="97">
        <v>7.3</v>
      </c>
      <c r="AX37" s="58">
        <v>1</v>
      </c>
      <c r="AY37" s="59">
        <f t="shared" si="10"/>
        <v>3.200000000000002</v>
      </c>
      <c r="AZ37" s="86">
        <v>3</v>
      </c>
      <c r="BA37" s="86">
        <f t="shared" si="11"/>
        <v>20.000000000000195</v>
      </c>
      <c r="BB37" s="98"/>
      <c r="BC37" s="86" t="s">
        <v>216</v>
      </c>
      <c r="BD37" s="86">
        <v>29</v>
      </c>
      <c r="BE37" s="58">
        <v>11.1</v>
      </c>
      <c r="BF37" s="96"/>
      <c r="BG37" s="96"/>
      <c r="BH37" s="53">
        <v>22.6</v>
      </c>
      <c r="BI37" s="58">
        <f t="shared" si="12"/>
        <v>11.500000000000002</v>
      </c>
      <c r="BJ37" s="97">
        <v>7.3</v>
      </c>
      <c r="BK37" s="58">
        <v>1</v>
      </c>
      <c r="BL37" s="59">
        <f t="shared" si="13"/>
        <v>3.200000000000002</v>
      </c>
      <c r="BM37" s="86">
        <v>3</v>
      </c>
      <c r="BN37" s="86">
        <f t="shared" si="14"/>
        <v>20.000000000000195</v>
      </c>
      <c r="BO37" s="98"/>
      <c r="BQ37" s="86" t="s">
        <v>216</v>
      </c>
      <c r="BR37" s="86">
        <v>29</v>
      </c>
      <c r="BS37" s="58">
        <v>11.1</v>
      </c>
      <c r="BT37" s="96"/>
      <c r="BU37" s="96"/>
      <c r="BV37" s="53">
        <v>22.6</v>
      </c>
      <c r="BW37" s="58">
        <f t="shared" si="15"/>
        <v>11.500000000000002</v>
      </c>
      <c r="BX37" s="97">
        <v>7.3</v>
      </c>
      <c r="BY37" s="58">
        <v>1</v>
      </c>
      <c r="BZ37" s="59">
        <f t="shared" si="16"/>
        <v>3.200000000000002</v>
      </c>
      <c r="CA37" s="86">
        <v>3</v>
      </c>
      <c r="CB37" s="86">
        <f t="shared" si="17"/>
        <v>20.000000000000195</v>
      </c>
      <c r="CC37" s="98"/>
      <c r="CE37" s="86" t="s">
        <v>216</v>
      </c>
      <c r="CF37" s="86">
        <v>29</v>
      </c>
      <c r="CG37" s="58">
        <v>11.1</v>
      </c>
      <c r="CH37" s="96"/>
      <c r="CI37" s="96"/>
      <c r="CJ37" s="53">
        <v>22.6</v>
      </c>
      <c r="CK37" s="58">
        <f t="shared" si="18"/>
        <v>11.500000000000002</v>
      </c>
      <c r="CL37" s="97">
        <v>7.3</v>
      </c>
      <c r="CM37" s="58">
        <v>1</v>
      </c>
      <c r="CN37" s="59">
        <f t="shared" si="19"/>
        <v>3.200000000000002</v>
      </c>
      <c r="CO37" s="86">
        <v>3</v>
      </c>
      <c r="CP37" s="86">
        <f t="shared" si="20"/>
        <v>20.000000000000195</v>
      </c>
      <c r="CQ37" s="98"/>
      <c r="CS37" s="86" t="s">
        <v>216</v>
      </c>
      <c r="CT37" s="86">
        <v>29</v>
      </c>
      <c r="CU37" s="58">
        <v>11.1</v>
      </c>
      <c r="CV37" s="96"/>
      <c r="CW37" s="96"/>
      <c r="CX37" s="53">
        <v>22.6</v>
      </c>
      <c r="CY37" s="58">
        <f t="shared" si="21"/>
        <v>11.500000000000002</v>
      </c>
      <c r="CZ37" s="97">
        <v>7.3</v>
      </c>
      <c r="DA37" s="58">
        <v>1</v>
      </c>
      <c r="DB37" s="59">
        <f t="shared" si="22"/>
        <v>3.200000000000002</v>
      </c>
      <c r="DC37" s="86">
        <v>3</v>
      </c>
      <c r="DD37" s="86">
        <f t="shared" si="23"/>
        <v>20.000000000000195</v>
      </c>
      <c r="DE37" s="98"/>
      <c r="DG37" s="86" t="s">
        <v>216</v>
      </c>
      <c r="DH37" s="86">
        <v>29</v>
      </c>
      <c r="DI37" s="58">
        <v>11.1</v>
      </c>
      <c r="DJ37" s="96"/>
      <c r="DK37" s="96"/>
      <c r="DL37" s="53">
        <v>22.6</v>
      </c>
      <c r="DM37" s="58">
        <f t="shared" si="24"/>
        <v>11.500000000000002</v>
      </c>
      <c r="DN37" s="97">
        <v>7.3</v>
      </c>
      <c r="DO37" s="58">
        <v>1</v>
      </c>
      <c r="DP37" s="59">
        <f t="shared" si="25"/>
        <v>3.200000000000002</v>
      </c>
      <c r="DQ37" s="86">
        <v>3</v>
      </c>
      <c r="DR37" s="86">
        <f t="shared" si="26"/>
        <v>20.000000000000195</v>
      </c>
      <c r="DS37" s="98"/>
    </row>
    <row r="38" spans="1:124" ht="17.149999999999999" customHeight="1" x14ac:dyDescent="0.35">
      <c r="A38" s="86" t="s">
        <v>2</v>
      </c>
      <c r="B38" s="86">
        <v>30</v>
      </c>
      <c r="C38" s="58">
        <v>11.1</v>
      </c>
      <c r="D38" s="96"/>
      <c r="E38" s="96"/>
      <c r="F38" s="53">
        <v>22.47</v>
      </c>
      <c r="G38" s="58">
        <f t="shared" si="0"/>
        <v>11.37</v>
      </c>
      <c r="H38" s="97">
        <v>7.3</v>
      </c>
      <c r="I38" s="58">
        <v>1</v>
      </c>
      <c r="J38" s="59">
        <f t="shared" si="1"/>
        <v>3.0699999999999994</v>
      </c>
      <c r="K38" s="86">
        <v>3</v>
      </c>
      <c r="L38" s="86">
        <f t="shared" si="2"/>
        <v>6.9999999999999396</v>
      </c>
      <c r="M38" s="98"/>
      <c r="O38" s="86" t="s">
        <v>2</v>
      </c>
      <c r="P38" s="86">
        <v>30</v>
      </c>
      <c r="Q38" s="58">
        <v>11.1</v>
      </c>
      <c r="R38" s="96"/>
      <c r="S38" s="96"/>
      <c r="T38" s="53">
        <v>22.47</v>
      </c>
      <c r="U38" s="58">
        <f t="shared" si="3"/>
        <v>11.37</v>
      </c>
      <c r="V38" s="97">
        <v>7.3</v>
      </c>
      <c r="W38" s="58">
        <v>1</v>
      </c>
      <c r="X38" s="59">
        <f t="shared" si="4"/>
        <v>3.0699999999999994</v>
      </c>
      <c r="Y38" s="86">
        <v>3</v>
      </c>
      <c r="Z38" s="86">
        <f t="shared" si="5"/>
        <v>6.9999999999999396</v>
      </c>
      <c r="AA38" s="98"/>
      <c r="AB38" s="86" t="s">
        <v>2</v>
      </c>
      <c r="AC38" s="86">
        <v>30</v>
      </c>
      <c r="AD38" s="58">
        <v>11.1</v>
      </c>
      <c r="AE38" s="96"/>
      <c r="AF38" s="96"/>
      <c r="AG38" s="53">
        <v>22.47</v>
      </c>
      <c r="AH38" s="58">
        <f t="shared" si="6"/>
        <v>11.37</v>
      </c>
      <c r="AI38" s="97">
        <v>7.3</v>
      </c>
      <c r="AJ38" s="58">
        <v>1</v>
      </c>
      <c r="AK38" s="59">
        <f t="shared" si="7"/>
        <v>3.0699999999999994</v>
      </c>
      <c r="AL38" s="86">
        <v>3</v>
      </c>
      <c r="AM38" s="86">
        <f t="shared" si="8"/>
        <v>6.9999999999999396</v>
      </c>
      <c r="AN38" s="98"/>
      <c r="AP38" s="86" t="s">
        <v>2</v>
      </c>
      <c r="AQ38" s="86">
        <v>30</v>
      </c>
      <c r="AR38" s="58">
        <v>11.1</v>
      </c>
      <c r="AS38" s="96"/>
      <c r="AT38" s="96"/>
      <c r="AU38" s="53">
        <v>22.47</v>
      </c>
      <c r="AV38" s="58">
        <f t="shared" si="9"/>
        <v>11.37</v>
      </c>
      <c r="AW38" s="97">
        <v>7.3</v>
      </c>
      <c r="AX38" s="58">
        <v>1</v>
      </c>
      <c r="AY38" s="59">
        <f t="shared" si="10"/>
        <v>3.0699999999999994</v>
      </c>
      <c r="AZ38" s="86">
        <v>3</v>
      </c>
      <c r="BA38" s="86">
        <f t="shared" si="11"/>
        <v>6.9999999999999396</v>
      </c>
      <c r="BB38" s="98"/>
      <c r="BC38" s="86" t="s">
        <v>2</v>
      </c>
      <c r="BD38" s="86">
        <v>30</v>
      </c>
      <c r="BE38" s="58">
        <v>11.1</v>
      </c>
      <c r="BF38" s="96"/>
      <c r="BG38" s="96"/>
      <c r="BH38" s="53">
        <v>22.47</v>
      </c>
      <c r="BI38" s="58">
        <f t="shared" si="12"/>
        <v>11.37</v>
      </c>
      <c r="BJ38" s="97">
        <v>7.3</v>
      </c>
      <c r="BK38" s="58">
        <v>1</v>
      </c>
      <c r="BL38" s="59">
        <f t="shared" si="13"/>
        <v>3.0699999999999994</v>
      </c>
      <c r="BM38" s="86">
        <v>3</v>
      </c>
      <c r="BN38" s="86">
        <f t="shared" si="14"/>
        <v>6.9999999999999396</v>
      </c>
      <c r="BO38" s="98"/>
      <c r="BQ38" s="86" t="s">
        <v>2</v>
      </c>
      <c r="BR38" s="86">
        <v>30</v>
      </c>
      <c r="BS38" s="58">
        <v>11.1</v>
      </c>
      <c r="BT38" s="96"/>
      <c r="BU38" s="96"/>
      <c r="BV38" s="53">
        <v>22.47</v>
      </c>
      <c r="BW38" s="58">
        <f t="shared" si="15"/>
        <v>11.37</v>
      </c>
      <c r="BX38" s="97">
        <v>7.3</v>
      </c>
      <c r="BY38" s="58">
        <v>1</v>
      </c>
      <c r="BZ38" s="59">
        <f t="shared" si="16"/>
        <v>3.0699999999999994</v>
      </c>
      <c r="CA38" s="86">
        <v>3</v>
      </c>
      <c r="CB38" s="86">
        <f t="shared" si="17"/>
        <v>6.9999999999999396</v>
      </c>
      <c r="CC38" s="98"/>
      <c r="CE38" s="86" t="s">
        <v>2</v>
      </c>
      <c r="CF38" s="86">
        <v>30</v>
      </c>
      <c r="CG38" s="58">
        <v>11.1</v>
      </c>
      <c r="CH38" s="96"/>
      <c r="CI38" s="96"/>
      <c r="CJ38" s="53">
        <v>22.47</v>
      </c>
      <c r="CK38" s="58">
        <f t="shared" si="18"/>
        <v>11.37</v>
      </c>
      <c r="CL38" s="97">
        <v>7.3</v>
      </c>
      <c r="CM38" s="58">
        <v>1</v>
      </c>
      <c r="CN38" s="59">
        <f t="shared" si="19"/>
        <v>3.0699999999999994</v>
      </c>
      <c r="CO38" s="86">
        <v>3</v>
      </c>
      <c r="CP38" s="86">
        <f t="shared" si="20"/>
        <v>6.9999999999999396</v>
      </c>
      <c r="CQ38" s="98"/>
      <c r="CS38" s="86" t="s">
        <v>2</v>
      </c>
      <c r="CT38" s="86">
        <v>30</v>
      </c>
      <c r="CU38" s="58">
        <v>11.1</v>
      </c>
      <c r="CV38" s="96"/>
      <c r="CW38" s="96"/>
      <c r="CX38" s="53">
        <v>22.47</v>
      </c>
      <c r="CY38" s="58">
        <f t="shared" si="21"/>
        <v>11.37</v>
      </c>
      <c r="CZ38" s="97">
        <v>7.3</v>
      </c>
      <c r="DA38" s="58">
        <v>1</v>
      </c>
      <c r="DB38" s="59">
        <f t="shared" si="22"/>
        <v>3.0699999999999994</v>
      </c>
      <c r="DC38" s="86">
        <v>3</v>
      </c>
      <c r="DD38" s="86">
        <f t="shared" si="23"/>
        <v>6.9999999999999396</v>
      </c>
      <c r="DE38" s="98"/>
      <c r="DG38" s="86" t="s">
        <v>2</v>
      </c>
      <c r="DH38" s="86">
        <v>30</v>
      </c>
      <c r="DI38" s="58">
        <v>11.1</v>
      </c>
      <c r="DJ38" s="96"/>
      <c r="DK38" s="96"/>
      <c r="DL38" s="53">
        <v>22.47</v>
      </c>
      <c r="DM38" s="58">
        <f t="shared" si="24"/>
        <v>11.37</v>
      </c>
      <c r="DN38" s="97">
        <v>7.3</v>
      </c>
      <c r="DO38" s="58">
        <v>1</v>
      </c>
      <c r="DP38" s="59">
        <f t="shared" si="25"/>
        <v>3.0699999999999994</v>
      </c>
      <c r="DQ38" s="86">
        <v>3</v>
      </c>
      <c r="DR38" s="86">
        <f t="shared" si="26"/>
        <v>6.9999999999999396</v>
      </c>
      <c r="DS38" s="98"/>
    </row>
    <row r="39" spans="1:124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 s="86"/>
      <c r="BD39" s="86"/>
      <c r="BE39" s="58"/>
      <c r="BF39" s="96"/>
      <c r="BG39" s="96"/>
      <c r="BH39" s="58"/>
      <c r="BI39" s="58"/>
      <c r="BJ39" s="97"/>
      <c r="BK39" s="97"/>
      <c r="BL39" s="59"/>
      <c r="BM39" s="86"/>
      <c r="BN39" s="86"/>
      <c r="BO39" s="98"/>
      <c r="BP39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/>
      <c r="CE39" s="86"/>
      <c r="CF39" s="86"/>
      <c r="CG39" s="58"/>
      <c r="CH39" s="96"/>
      <c r="CI39" s="96"/>
      <c r="CJ39" s="58"/>
      <c r="CK39" s="58"/>
      <c r="CL39" s="97"/>
      <c r="CM39" s="97"/>
      <c r="CN39" s="59"/>
      <c r="CO39" s="86"/>
      <c r="CP39" s="86"/>
      <c r="CQ39" s="98"/>
      <c r="CR39"/>
      <c r="CS39" s="86"/>
      <c r="CT39" s="86"/>
      <c r="CU39" s="58"/>
      <c r="CV39" s="96"/>
      <c r="CW39" s="96"/>
      <c r="CX39" s="58"/>
      <c r="CY39" s="58"/>
      <c r="CZ39" s="97"/>
      <c r="DA39" s="97"/>
      <c r="DB39" s="59"/>
      <c r="DC39" s="86"/>
      <c r="DD39" s="86"/>
      <c r="DE39" s="98"/>
      <c r="DF39"/>
      <c r="DG39" s="86"/>
      <c r="DH39" s="86"/>
      <c r="DI39" s="58"/>
      <c r="DJ39" s="96"/>
      <c r="DK39" s="96"/>
      <c r="DL39" s="58"/>
      <c r="DM39" s="58"/>
      <c r="DN39" s="97"/>
      <c r="DO39" s="97"/>
      <c r="DP39" s="59"/>
      <c r="DQ39" s="86"/>
      <c r="DR39" s="86"/>
      <c r="DS39" s="98"/>
      <c r="DT39"/>
    </row>
    <row r="40" spans="1:124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27">SUM(D40-C40)+(F40-E40)</f>
        <v>-4.3499999999999996</v>
      </c>
      <c r="H40" s="63"/>
      <c r="I40" s="53"/>
      <c r="J40" s="59"/>
      <c r="K40" s="62"/>
      <c r="L40" s="60">
        <f t="shared" ref="L40" si="28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29">SUM(R40-Q40)+(T40-S40)</f>
        <v>-4.3499999999999996</v>
      </c>
      <c r="V40" s="63"/>
      <c r="W40" s="53"/>
      <c r="X40" s="59"/>
      <c r="Y40" s="62"/>
      <c r="Z40" s="60">
        <f t="shared" ref="Z40" si="30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31">SUM(AE40-AD40)+(AG40-AF40)</f>
        <v>-4.3499999999999996</v>
      </c>
      <c r="AI40" s="63"/>
      <c r="AJ40" s="53"/>
      <c r="AK40" s="59"/>
      <c r="AL40" s="62"/>
      <c r="AM40" s="60">
        <f t="shared" ref="AM40" si="32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33">SUM(AS40-AR40)+(AU40-AT40)</f>
        <v>-4.3499999999999996</v>
      </c>
      <c r="AW40" s="63"/>
      <c r="AX40" s="53"/>
      <c r="AY40" s="59"/>
      <c r="AZ40" s="62"/>
      <c r="BA40" s="60">
        <f t="shared" ref="BA40" si="34">SUM(AY40-AZ40)*100</f>
        <v>0</v>
      </c>
      <c r="BB40" s="61"/>
      <c r="BC40" s="62" t="s">
        <v>4</v>
      </c>
      <c r="BD40" s="62">
        <v>32</v>
      </c>
      <c r="BE40" s="58">
        <v>4.3499999999999996</v>
      </c>
      <c r="BF40" s="53"/>
      <c r="BG40" s="53"/>
      <c r="BH40" s="53"/>
      <c r="BI40" s="58">
        <f t="shared" ref="BI40" si="35">SUM(BF40-BE40)+(BH40-BG40)</f>
        <v>-4.3499999999999996</v>
      </c>
      <c r="BJ40" s="63"/>
      <c r="BK40" s="53"/>
      <c r="BL40" s="59"/>
      <c r="BM40" s="62"/>
      <c r="BN40" s="60">
        <f t="shared" ref="BN40" si="36">SUM(BL40-BM40)*100</f>
        <v>0</v>
      </c>
      <c r="BO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37">SUM(BT40-BS40)+(BV40-BU40)</f>
        <v>-4.3499999999999996</v>
      </c>
      <c r="BX40" s="63"/>
      <c r="BY40" s="53"/>
      <c r="BZ40" s="59"/>
      <c r="CA40" s="62"/>
      <c r="CB40" s="60">
        <f t="shared" ref="CB40" si="38">SUM(BZ40-CA40)*100</f>
        <v>0</v>
      </c>
      <c r="CC40" s="61"/>
      <c r="CE40" s="62" t="s">
        <v>4</v>
      </c>
      <c r="CF40" s="62">
        <v>32</v>
      </c>
      <c r="CG40" s="58">
        <v>4.3499999999999996</v>
      </c>
      <c r="CH40" s="53"/>
      <c r="CI40" s="53"/>
      <c r="CJ40" s="53"/>
      <c r="CK40" s="58">
        <f t="shared" ref="CK40" si="39">SUM(CH40-CG40)+(CJ40-CI40)</f>
        <v>-4.3499999999999996</v>
      </c>
      <c r="CL40" s="63"/>
      <c r="CM40" s="53"/>
      <c r="CN40" s="59"/>
      <c r="CO40" s="62"/>
      <c r="CP40" s="60">
        <f t="shared" ref="CP40" si="40">SUM(CN40-CO40)*100</f>
        <v>0</v>
      </c>
      <c r="CQ40" s="61"/>
      <c r="CS40" s="62" t="s">
        <v>4</v>
      </c>
      <c r="CT40" s="62">
        <v>32</v>
      </c>
      <c r="CU40" s="58">
        <v>4.3499999999999996</v>
      </c>
      <c r="CV40" s="53"/>
      <c r="CW40" s="53"/>
      <c r="CX40" s="53"/>
      <c r="CY40" s="58">
        <f t="shared" ref="CY40" si="41">SUM(CV40-CU40)+(CX40-CW40)</f>
        <v>-4.3499999999999996</v>
      </c>
      <c r="CZ40" s="63"/>
      <c r="DA40" s="53"/>
      <c r="DB40" s="59"/>
      <c r="DC40" s="62"/>
      <c r="DD40" s="60">
        <f t="shared" ref="DD40" si="42">SUM(DB40-DC40)*100</f>
        <v>0</v>
      </c>
      <c r="DE40" s="61"/>
      <c r="DG40" s="62" t="s">
        <v>4</v>
      </c>
      <c r="DH40" s="62">
        <v>32</v>
      </c>
      <c r="DI40" s="58">
        <v>4.3499999999999996</v>
      </c>
      <c r="DJ40" s="53"/>
      <c r="DK40" s="53"/>
      <c r="DL40" s="53"/>
      <c r="DM40" s="58">
        <f t="shared" ref="DM40" si="43">SUM(DJ40-DI40)+(DL40-DK40)</f>
        <v>-4.3499999999999996</v>
      </c>
      <c r="DN40" s="63"/>
      <c r="DO40" s="53"/>
      <c r="DP40" s="59"/>
      <c r="DQ40" s="62"/>
      <c r="DR40" s="60">
        <f t="shared" ref="DR40" si="44">SUM(DP40-DQ40)*100</f>
        <v>0</v>
      </c>
      <c r="DS40" s="61"/>
    </row>
    <row r="41" spans="1:124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C41" s="62" t="s">
        <v>5</v>
      </c>
      <c r="BD41" s="62">
        <v>33</v>
      </c>
      <c r="BE41" s="58">
        <v>4.3499999999999996</v>
      </c>
      <c r="BF41" s="53"/>
      <c r="BG41" s="53"/>
      <c r="BH41" s="53"/>
      <c r="BI41" s="53"/>
      <c r="BJ41" s="63"/>
      <c r="BK41" s="63"/>
      <c r="BL41" s="62"/>
      <c r="BM41" s="62"/>
      <c r="BN41" s="62"/>
      <c r="BO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E41" s="62" t="s">
        <v>5</v>
      </c>
      <c r="CF41" s="62">
        <v>33</v>
      </c>
      <c r="CG41" s="58">
        <v>4.3499999999999996</v>
      </c>
      <c r="CH41" s="53"/>
      <c r="CI41" s="53"/>
      <c r="CJ41" s="53"/>
      <c r="CK41" s="53"/>
      <c r="CL41" s="63"/>
      <c r="CM41" s="63"/>
      <c r="CN41" s="62"/>
      <c r="CO41" s="62"/>
      <c r="CP41" s="62"/>
      <c r="CQ41" s="61"/>
      <c r="CS41" s="62" t="s">
        <v>5</v>
      </c>
      <c r="CT41" s="62">
        <v>33</v>
      </c>
      <c r="CU41" s="58">
        <v>4.3499999999999996</v>
      </c>
      <c r="CV41" s="53"/>
      <c r="CW41" s="53"/>
      <c r="CX41" s="53"/>
      <c r="CY41" s="53"/>
      <c r="CZ41" s="63"/>
      <c r="DA41" s="63"/>
      <c r="DB41" s="62"/>
      <c r="DC41" s="62"/>
      <c r="DD41" s="62"/>
      <c r="DE41" s="61"/>
      <c r="DG41" s="62" t="s">
        <v>5</v>
      </c>
      <c r="DH41" s="62">
        <v>33</v>
      </c>
      <c r="DI41" s="58">
        <v>4.3499999999999996</v>
      </c>
      <c r="DJ41" s="53"/>
      <c r="DK41" s="53"/>
      <c r="DL41" s="53"/>
      <c r="DM41" s="53"/>
      <c r="DN41" s="63"/>
      <c r="DO41" s="63"/>
      <c r="DP41" s="62"/>
      <c r="DQ41" s="62"/>
      <c r="DR41" s="62"/>
      <c r="DS41" s="61"/>
    </row>
    <row r="42" spans="1:124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C42" s="62" t="s">
        <v>6</v>
      </c>
      <c r="BD42" s="62">
        <v>34</v>
      </c>
      <c r="BE42" s="58">
        <v>4.3499999999999996</v>
      </c>
      <c r="BF42" s="53"/>
      <c r="BG42" s="53"/>
      <c r="BH42" s="53"/>
      <c r="BI42" s="53"/>
      <c r="BJ42" s="63"/>
      <c r="BK42" s="63"/>
      <c r="BL42" s="62"/>
      <c r="BM42" s="62"/>
      <c r="BN42" s="62"/>
      <c r="BO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E42" s="62" t="s">
        <v>6</v>
      </c>
      <c r="CF42" s="62">
        <v>34</v>
      </c>
      <c r="CG42" s="58">
        <v>4.3499999999999996</v>
      </c>
      <c r="CH42" s="53"/>
      <c r="CI42" s="53"/>
      <c r="CJ42" s="53"/>
      <c r="CK42" s="53"/>
      <c r="CL42" s="63"/>
      <c r="CM42" s="63"/>
      <c r="CN42" s="62"/>
      <c r="CO42" s="62"/>
      <c r="CP42" s="62"/>
      <c r="CQ42" s="61"/>
      <c r="CS42" s="62" t="s">
        <v>6</v>
      </c>
      <c r="CT42" s="62">
        <v>34</v>
      </c>
      <c r="CU42" s="58">
        <v>4.3499999999999996</v>
      </c>
      <c r="CV42" s="53"/>
      <c r="CW42" s="53"/>
      <c r="CX42" s="53"/>
      <c r="CY42" s="53"/>
      <c r="CZ42" s="63"/>
      <c r="DA42" s="63"/>
      <c r="DB42" s="62"/>
      <c r="DC42" s="62"/>
      <c r="DD42" s="62"/>
      <c r="DE42" s="61"/>
      <c r="DG42" s="62" t="s">
        <v>6</v>
      </c>
      <c r="DH42" s="62">
        <v>34</v>
      </c>
      <c r="DI42" s="58">
        <v>4.3499999999999996</v>
      </c>
      <c r="DJ42" s="53"/>
      <c r="DK42" s="53"/>
      <c r="DL42" s="53"/>
      <c r="DM42" s="53"/>
      <c r="DN42" s="63"/>
      <c r="DO42" s="63"/>
      <c r="DP42" s="62"/>
      <c r="DQ42" s="62"/>
      <c r="DR42" s="62"/>
      <c r="DS42" s="61"/>
    </row>
    <row r="43" spans="1:124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C43" s="62" t="s">
        <v>1</v>
      </c>
      <c r="BD43" s="62">
        <v>35</v>
      </c>
      <c r="BE43" s="58">
        <v>4.3499999999999996</v>
      </c>
      <c r="BF43" s="53"/>
      <c r="BG43" s="53"/>
      <c r="BH43" s="53"/>
      <c r="BI43" s="53"/>
      <c r="BJ43" s="63"/>
      <c r="BK43" s="63"/>
      <c r="BL43" s="62"/>
      <c r="BM43" s="62"/>
      <c r="BN43" s="62"/>
      <c r="BO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E43" s="62" t="s">
        <v>1</v>
      </c>
      <c r="CF43" s="62">
        <v>35</v>
      </c>
      <c r="CG43" s="58">
        <v>4.3499999999999996</v>
      </c>
      <c r="CH43" s="53"/>
      <c r="CI43" s="53"/>
      <c r="CJ43" s="53"/>
      <c r="CK43" s="53"/>
      <c r="CL43" s="63"/>
      <c r="CM43" s="63"/>
      <c r="CN43" s="62"/>
      <c r="CO43" s="62"/>
      <c r="CP43" s="62"/>
      <c r="CQ43" s="61"/>
      <c r="CS43" s="62" t="s">
        <v>1</v>
      </c>
      <c r="CT43" s="62">
        <v>35</v>
      </c>
      <c r="CU43" s="58">
        <v>4.3499999999999996</v>
      </c>
      <c r="CV43" s="53"/>
      <c r="CW43" s="53"/>
      <c r="CX43" s="53"/>
      <c r="CY43" s="53"/>
      <c r="CZ43" s="63"/>
      <c r="DA43" s="63"/>
      <c r="DB43" s="62"/>
      <c r="DC43" s="62"/>
      <c r="DD43" s="62"/>
      <c r="DE43" s="61"/>
      <c r="DG43" s="62" t="s">
        <v>1</v>
      </c>
      <c r="DH43" s="62">
        <v>35</v>
      </c>
      <c r="DI43" s="58">
        <v>4.3499999999999996</v>
      </c>
      <c r="DJ43" s="53"/>
      <c r="DK43" s="53"/>
      <c r="DL43" s="53"/>
      <c r="DM43" s="53"/>
      <c r="DN43" s="63"/>
      <c r="DO43" s="63"/>
      <c r="DP43" s="62"/>
      <c r="DQ43" s="62"/>
      <c r="DR43" s="62"/>
      <c r="DS43" s="61"/>
    </row>
    <row r="44" spans="1:124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C44" s="8"/>
      <c r="BD44" s="7"/>
      <c r="BE44" s="64"/>
      <c r="BF44" s="64"/>
      <c r="BG44" s="64"/>
      <c r="BH44" s="64"/>
      <c r="BI44" s="64"/>
      <c r="BJ44" s="65"/>
      <c r="BK44" s="65"/>
      <c r="BL44" s="8"/>
      <c r="BM44" s="8"/>
      <c r="BN44" s="8"/>
      <c r="BO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E44" s="8"/>
      <c r="CF44" s="7"/>
      <c r="CG44" s="64"/>
      <c r="CH44" s="64"/>
      <c r="CI44" s="64"/>
      <c r="CJ44" s="64"/>
      <c r="CK44" s="64"/>
      <c r="CL44" s="65"/>
      <c r="CM44" s="65"/>
      <c r="CN44" s="8"/>
      <c r="CO44" s="8"/>
      <c r="CP44" s="8"/>
      <c r="CQ44" s="66"/>
      <c r="CS44" s="8"/>
      <c r="CT44" s="7"/>
      <c r="CU44" s="64"/>
      <c r="CV44" s="64"/>
      <c r="CW44" s="64"/>
      <c r="CX44" s="64"/>
      <c r="CY44" s="64"/>
      <c r="CZ44" s="65"/>
      <c r="DA44" s="65"/>
      <c r="DB44" s="8"/>
      <c r="DC44" s="8"/>
      <c r="DD44" s="8"/>
      <c r="DE44" s="66"/>
      <c r="DG44" s="8"/>
      <c r="DH44" s="7"/>
      <c r="DI44" s="64"/>
      <c r="DJ44" s="64"/>
      <c r="DK44" s="64"/>
      <c r="DL44" s="64"/>
      <c r="DM44" s="64"/>
      <c r="DN44" s="65"/>
      <c r="DO44" s="65"/>
      <c r="DP44" s="8"/>
      <c r="DQ44" s="8"/>
      <c r="DR44" s="8"/>
      <c r="DS44" s="66"/>
    </row>
    <row r="45" spans="1:124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C45" s="38"/>
      <c r="BD45" s="38"/>
      <c r="BE45" s="24"/>
      <c r="BF45" s="24"/>
      <c r="BG45" s="135"/>
      <c r="BH45" s="24"/>
      <c r="BI45" s="24"/>
      <c r="BJ45" s="22"/>
      <c r="BK45" s="22"/>
      <c r="BL45" s="38"/>
      <c r="BM45" s="24"/>
      <c r="BN45" s="24"/>
      <c r="BO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E45" s="38"/>
      <c r="CF45" s="38"/>
      <c r="CG45" s="24"/>
      <c r="CH45" s="24"/>
      <c r="CI45" s="135"/>
      <c r="CJ45" s="24"/>
      <c r="CK45" s="24"/>
      <c r="CL45" s="22"/>
      <c r="CM45" s="22"/>
      <c r="CN45" s="38"/>
      <c r="CO45" s="24"/>
      <c r="CP45" s="24"/>
      <c r="CQ45" s="25"/>
      <c r="CS45" s="38"/>
      <c r="CT45" s="38"/>
      <c r="CU45" s="24"/>
      <c r="CV45" s="24"/>
      <c r="CW45" s="135"/>
      <c r="CX45" s="24"/>
      <c r="CY45" s="24"/>
      <c r="CZ45" s="22"/>
      <c r="DA45" s="22"/>
      <c r="DB45" s="38"/>
      <c r="DC45" s="24"/>
      <c r="DD45" s="24"/>
      <c r="DE45" s="25"/>
      <c r="DG45" s="38"/>
      <c r="DH45" s="38"/>
      <c r="DI45" s="24"/>
      <c r="DJ45" s="24"/>
      <c r="DK45" s="135"/>
      <c r="DL45" s="24"/>
      <c r="DM45" s="24"/>
      <c r="DN45" s="22"/>
      <c r="DO45" s="22"/>
      <c r="DP45" s="38"/>
      <c r="DQ45" s="24"/>
      <c r="DR45" s="24"/>
      <c r="DS45" s="25"/>
    </row>
    <row r="46" spans="1:124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C46" s="160" t="s">
        <v>58</v>
      </c>
      <c r="BD46" s="161"/>
      <c r="BE46" s="148" t="s">
        <v>10</v>
      </c>
      <c r="BF46" s="149"/>
      <c r="BG46" s="148" t="s">
        <v>11</v>
      </c>
      <c r="BH46" s="149"/>
      <c r="BI46" s="146" t="s">
        <v>6</v>
      </c>
      <c r="BJ46" s="147"/>
      <c r="BK46" s="84"/>
      <c r="BL46" s="158" t="s">
        <v>16</v>
      </c>
      <c r="BM46" s="159"/>
      <c r="BN46" s="158" t="s">
        <v>17</v>
      </c>
      <c r="BO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E46" s="160" t="s">
        <v>58</v>
      </c>
      <c r="CF46" s="161"/>
      <c r="CG46" s="148" t="s">
        <v>10</v>
      </c>
      <c r="CH46" s="149"/>
      <c r="CI46" s="148" t="s">
        <v>11</v>
      </c>
      <c r="CJ46" s="149"/>
      <c r="CK46" s="146" t="s">
        <v>6</v>
      </c>
      <c r="CL46" s="147"/>
      <c r="CM46" s="84"/>
      <c r="CN46" s="158" t="s">
        <v>16</v>
      </c>
      <c r="CO46" s="159"/>
      <c r="CP46" s="158" t="s">
        <v>17</v>
      </c>
      <c r="CQ46" s="159"/>
      <c r="CS46" s="160" t="s">
        <v>58</v>
      </c>
      <c r="CT46" s="161"/>
      <c r="CU46" s="148" t="s">
        <v>10</v>
      </c>
      <c r="CV46" s="149"/>
      <c r="CW46" s="148" t="s">
        <v>11</v>
      </c>
      <c r="CX46" s="149"/>
      <c r="CY46" s="146" t="s">
        <v>6</v>
      </c>
      <c r="CZ46" s="147"/>
      <c r="DA46" s="84"/>
      <c r="DB46" s="158" t="s">
        <v>16</v>
      </c>
      <c r="DC46" s="159"/>
      <c r="DD46" s="158" t="s">
        <v>17</v>
      </c>
      <c r="DE46" s="159"/>
      <c r="DG46" s="160" t="s">
        <v>58</v>
      </c>
      <c r="DH46" s="161"/>
      <c r="DI46" s="148" t="s">
        <v>10</v>
      </c>
      <c r="DJ46" s="149"/>
      <c r="DK46" s="148" t="s">
        <v>11</v>
      </c>
      <c r="DL46" s="149"/>
      <c r="DM46" s="146" t="s">
        <v>6</v>
      </c>
      <c r="DN46" s="147"/>
      <c r="DO46" s="84"/>
      <c r="DP46" s="158" t="s">
        <v>16</v>
      </c>
      <c r="DQ46" s="159"/>
      <c r="DR46" s="158" t="s">
        <v>17</v>
      </c>
      <c r="DS46" s="159"/>
    </row>
    <row r="47" spans="1:124" s="4" customFormat="1" ht="18.5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73.150000000000034</v>
      </c>
      <c r="F47" s="157"/>
      <c r="G47" s="150">
        <f>SUM(F51)</f>
        <v>10.316666666666668</v>
      </c>
      <c r="H47" s="151"/>
      <c r="I47" s="85"/>
      <c r="J47" s="152">
        <f>COUNT(E9)</f>
        <v>1</v>
      </c>
      <c r="K47" s="153"/>
      <c r="L47" s="152">
        <f>J51</f>
        <v>8.0500000000000025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80.883333333333368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8.0500000000000025</v>
      </c>
      <c r="AA47" s="153"/>
      <c r="AB47" s="162"/>
      <c r="AC47" s="163"/>
      <c r="AD47" s="154">
        <f>COUNT(AI10:AI13,AI15:AI20,AI22:AI27,AI29:AI34,AI36:AI38)</f>
        <v>25</v>
      </c>
      <c r="AE47" s="155"/>
      <c r="AF47" s="156">
        <f>SUM(AB51-AF51)</f>
        <v>80.883333333333368</v>
      </c>
      <c r="AG47" s="157"/>
      <c r="AH47" s="150">
        <f>SUM(AG51)</f>
        <v>0</v>
      </c>
      <c r="AI47" s="151"/>
      <c r="AJ47" s="85"/>
      <c r="AK47" s="152">
        <f>COUNT(AF9)</f>
        <v>1</v>
      </c>
      <c r="AL47" s="153"/>
      <c r="AM47" s="152">
        <f>AK51</f>
        <v>8.0500000000000025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80.883333333333368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10.350000000000001</v>
      </c>
      <c r="BB47" s="153"/>
      <c r="BC47" s="162"/>
      <c r="BD47" s="163"/>
      <c r="BE47" s="154">
        <f>COUNT(BJ10:BJ13,BJ15:BJ20,BJ22:BJ27,BJ29:BJ34,BJ36:BJ38)</f>
        <v>25</v>
      </c>
      <c r="BF47" s="155"/>
      <c r="BG47" s="156">
        <f>SUM(BC51-BG51)</f>
        <v>80.883333333333368</v>
      </c>
      <c r="BH47" s="157"/>
      <c r="BI47" s="150">
        <f>SUM(BH51)</f>
        <v>0</v>
      </c>
      <c r="BJ47" s="151"/>
      <c r="BK47" s="85"/>
      <c r="BL47" s="152">
        <f>COUNT(BG9)</f>
        <v>1</v>
      </c>
      <c r="BM47" s="153"/>
      <c r="BN47" s="152">
        <f>BL51</f>
        <v>8.0500000000000025</v>
      </c>
      <c r="BO47" s="153"/>
      <c r="BQ47" s="162"/>
      <c r="BR47" s="163"/>
      <c r="BS47" s="154">
        <f>COUNT(BX10:BX13,BX15:BX20,BX22:BX27,BX29:BX34,BX36:BX38)</f>
        <v>24</v>
      </c>
      <c r="BT47" s="155"/>
      <c r="BU47" s="156">
        <f>SUM(BQ51-BU51)</f>
        <v>76.6666666666667</v>
      </c>
      <c r="BV47" s="157"/>
      <c r="BW47" s="150">
        <f>SUM(BV51)</f>
        <v>0</v>
      </c>
      <c r="BX47" s="151"/>
      <c r="BY47" s="85"/>
      <c r="BZ47" s="152">
        <f>COUNT(BU9)</f>
        <v>1</v>
      </c>
      <c r="CA47" s="153"/>
      <c r="CB47" s="152">
        <f>BZ51</f>
        <v>8.0500000000000025</v>
      </c>
      <c r="CC47" s="153"/>
      <c r="CE47" s="162"/>
      <c r="CF47" s="163"/>
      <c r="CG47" s="154">
        <f>COUNT(CL10:CL13,CL15:CL20,CL22:CL27,CL29:CL34,CL36:CL38)</f>
        <v>25</v>
      </c>
      <c r="CH47" s="155"/>
      <c r="CI47" s="156">
        <f>SUM(CE51-CI51)</f>
        <v>80.883333333333368</v>
      </c>
      <c r="CJ47" s="157"/>
      <c r="CK47" s="150">
        <f>SUM(CJ51)</f>
        <v>13.7</v>
      </c>
      <c r="CL47" s="151"/>
      <c r="CM47" s="85"/>
      <c r="CN47" s="152">
        <f>COUNT(CI9)</f>
        <v>1</v>
      </c>
      <c r="CO47" s="153"/>
      <c r="CP47" s="152">
        <f>CN51</f>
        <v>8.0500000000000025</v>
      </c>
      <c r="CQ47" s="153"/>
      <c r="CS47" s="162"/>
      <c r="CT47" s="163"/>
      <c r="CU47" s="154">
        <f>COUNT(CZ10:CZ13,CZ15:CZ20,CZ22:CZ27,CZ29:CZ34,CZ36:CZ38)</f>
        <v>25</v>
      </c>
      <c r="CV47" s="155"/>
      <c r="CW47" s="156">
        <f>SUM(CS51-CW51)</f>
        <v>80.883333333333368</v>
      </c>
      <c r="CX47" s="157"/>
      <c r="CY47" s="150">
        <f>SUM(CX51)</f>
        <v>10.583333333333329</v>
      </c>
      <c r="CZ47" s="151"/>
      <c r="DA47" s="85"/>
      <c r="DB47" s="152">
        <f>COUNT(CW9)</f>
        <v>1</v>
      </c>
      <c r="DC47" s="153"/>
      <c r="DD47" s="152">
        <f>DB51</f>
        <v>10.666666666666664</v>
      </c>
      <c r="DE47" s="153"/>
      <c r="DG47" s="162"/>
      <c r="DH47" s="163"/>
      <c r="DI47" s="154">
        <f>COUNT(DN10:DN13,DN15:DN20,DN22:DN27,DN29:DN34,DN36:DN38)</f>
        <v>25</v>
      </c>
      <c r="DJ47" s="155"/>
      <c r="DK47" s="156">
        <f>SUM(DG51-DK51)</f>
        <v>80.883333333333368</v>
      </c>
      <c r="DL47" s="157"/>
      <c r="DM47" s="150">
        <f>SUM(DL51)</f>
        <v>7.3500000000000014</v>
      </c>
      <c r="DN47" s="151"/>
      <c r="DO47" s="85"/>
      <c r="DP47" s="152">
        <f>COUNT(DK9)</f>
        <v>1</v>
      </c>
      <c r="DQ47" s="153"/>
      <c r="DR47" s="152">
        <f>DP51</f>
        <v>8.0500000000000025</v>
      </c>
      <c r="DS47" s="153"/>
    </row>
    <row r="48" spans="1:124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C48" s="38"/>
      <c r="BD48" s="38"/>
      <c r="BE48" s="24"/>
      <c r="BF48" s="24"/>
      <c r="BG48" s="24"/>
      <c r="BH48" s="24"/>
      <c r="BI48" s="24"/>
      <c r="BJ48" s="22"/>
      <c r="BK48" s="22"/>
      <c r="BL48" s="38"/>
      <c r="BM48" s="24"/>
      <c r="BN48" s="24"/>
      <c r="BO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E48" s="38"/>
      <c r="CF48" s="38"/>
      <c r="CG48" s="24"/>
      <c r="CH48" s="24"/>
      <c r="CI48" s="24"/>
      <c r="CJ48" s="24"/>
      <c r="CK48" s="24"/>
      <c r="CL48" s="22"/>
      <c r="CM48" s="22"/>
      <c r="CN48" s="38"/>
      <c r="CO48" s="24"/>
      <c r="CP48" s="24"/>
      <c r="CQ48" s="25"/>
      <c r="CS48" s="38"/>
      <c r="CT48" s="38"/>
      <c r="CU48" s="24"/>
      <c r="CV48" s="24"/>
      <c r="CW48" s="24"/>
      <c r="CX48" s="24"/>
      <c r="CY48" s="24"/>
      <c r="CZ48" s="22"/>
      <c r="DA48" s="22"/>
      <c r="DB48" s="38"/>
      <c r="DC48" s="24"/>
      <c r="DD48" s="24"/>
      <c r="DE48" s="25"/>
      <c r="DG48" s="38"/>
      <c r="DH48" s="38"/>
      <c r="DI48" s="24"/>
      <c r="DJ48" s="24"/>
      <c r="DK48" s="24"/>
      <c r="DL48" s="24"/>
      <c r="DM48" s="24"/>
      <c r="DN48" s="22"/>
      <c r="DO48" s="22"/>
      <c r="DP48" s="38"/>
      <c r="DQ48" s="24"/>
      <c r="DR48" s="24"/>
      <c r="DS48" s="25"/>
    </row>
    <row r="49" spans="1:123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C49" s="38"/>
      <c r="BD49" s="38"/>
      <c r="BE49" s="24"/>
      <c r="BF49" s="24"/>
      <c r="BG49" s="24"/>
      <c r="BH49" s="24"/>
      <c r="BI49" s="24"/>
      <c r="BJ49" s="22"/>
      <c r="BK49" s="22"/>
      <c r="BL49" s="38"/>
      <c r="BM49" s="24"/>
      <c r="BN49" s="24"/>
      <c r="BO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E49" s="38"/>
      <c r="CF49" s="38"/>
      <c r="CG49" s="24"/>
      <c r="CH49" s="24"/>
      <c r="CI49" s="24"/>
      <c r="CJ49" s="24"/>
      <c r="CK49" s="24"/>
      <c r="CL49" s="22"/>
      <c r="CM49" s="22"/>
      <c r="CN49" s="38"/>
      <c r="CO49" s="24"/>
      <c r="CP49" s="24"/>
      <c r="CQ49" s="25"/>
      <c r="CS49" s="38"/>
      <c r="CT49" s="38"/>
      <c r="CU49" s="24"/>
      <c r="CV49" s="24"/>
      <c r="CW49" s="24"/>
      <c r="CX49" s="24"/>
      <c r="CY49" s="24"/>
      <c r="CZ49" s="22"/>
      <c r="DA49" s="22"/>
      <c r="DB49" s="38"/>
      <c r="DC49" s="24"/>
      <c r="DD49" s="24"/>
      <c r="DE49" s="25"/>
      <c r="DG49" s="38"/>
      <c r="DH49" s="38"/>
      <c r="DI49" s="24"/>
      <c r="DJ49" s="24"/>
      <c r="DK49" s="24"/>
      <c r="DL49" s="24"/>
      <c r="DM49" s="24"/>
      <c r="DN49" s="22"/>
      <c r="DO49" s="22"/>
      <c r="DP49" s="38"/>
      <c r="DQ49" s="24"/>
      <c r="DR49" s="24"/>
      <c r="DS49" s="25"/>
    </row>
    <row r="50" spans="1:123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C50" s="140" t="s">
        <v>18</v>
      </c>
      <c r="BD50" s="141"/>
      <c r="BE50" s="41" t="s">
        <v>13</v>
      </c>
      <c r="BF50" s="41" t="s">
        <v>14</v>
      </c>
      <c r="BG50" s="26" t="s">
        <v>19</v>
      </c>
      <c r="BH50" s="27" t="s">
        <v>6</v>
      </c>
      <c r="BI50" s="28" t="s">
        <v>13</v>
      </c>
      <c r="BJ50" s="29" t="s">
        <v>14</v>
      </c>
      <c r="BK50" s="142"/>
      <c r="BL50" s="45" t="s">
        <v>16</v>
      </c>
      <c r="BM50" s="46" t="s">
        <v>13</v>
      </c>
      <c r="BN50" s="47" t="s">
        <v>14</v>
      </c>
      <c r="BO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E50" s="140" t="s">
        <v>18</v>
      </c>
      <c r="CF50" s="141"/>
      <c r="CG50" s="41" t="s">
        <v>13</v>
      </c>
      <c r="CH50" s="41" t="s">
        <v>14</v>
      </c>
      <c r="CI50" s="26" t="s">
        <v>19</v>
      </c>
      <c r="CJ50" s="27" t="s">
        <v>6</v>
      </c>
      <c r="CK50" s="28" t="s">
        <v>13</v>
      </c>
      <c r="CL50" s="29" t="s">
        <v>14</v>
      </c>
      <c r="CM50" s="142"/>
      <c r="CN50" s="45" t="s">
        <v>16</v>
      </c>
      <c r="CO50" s="46" t="s">
        <v>13</v>
      </c>
      <c r="CP50" s="47" t="s">
        <v>14</v>
      </c>
      <c r="CQ50" s="67"/>
      <c r="CS50" s="140" t="s">
        <v>18</v>
      </c>
      <c r="CT50" s="141"/>
      <c r="CU50" s="41" t="s">
        <v>13</v>
      </c>
      <c r="CV50" s="41" t="s">
        <v>14</v>
      </c>
      <c r="CW50" s="26" t="s">
        <v>19</v>
      </c>
      <c r="CX50" s="27" t="s">
        <v>6</v>
      </c>
      <c r="CY50" s="28" t="s">
        <v>13</v>
      </c>
      <c r="CZ50" s="29" t="s">
        <v>14</v>
      </c>
      <c r="DA50" s="142"/>
      <c r="DB50" s="45" t="s">
        <v>16</v>
      </c>
      <c r="DC50" s="46" t="s">
        <v>13</v>
      </c>
      <c r="DD50" s="47" t="s">
        <v>14</v>
      </c>
      <c r="DE50" s="67"/>
      <c r="DG50" s="140" t="s">
        <v>18</v>
      </c>
      <c r="DH50" s="141"/>
      <c r="DI50" s="41" t="s">
        <v>13</v>
      </c>
      <c r="DJ50" s="41" t="s">
        <v>14</v>
      </c>
      <c r="DK50" s="26" t="s">
        <v>19</v>
      </c>
      <c r="DL50" s="27" t="s">
        <v>6</v>
      </c>
      <c r="DM50" s="28" t="s">
        <v>13</v>
      </c>
      <c r="DN50" s="29" t="s">
        <v>14</v>
      </c>
      <c r="DO50" s="142"/>
      <c r="DP50" s="45" t="s">
        <v>16</v>
      </c>
      <c r="DQ50" s="46" t="s">
        <v>13</v>
      </c>
      <c r="DR50" s="47" t="s">
        <v>14</v>
      </c>
      <c r="DS50" s="67"/>
    </row>
    <row r="51" spans="1:123" s="2" customFormat="1" ht="29" thickBot="1" x14ac:dyDescent="0.4">
      <c r="A51" s="144">
        <f>SUM(C51+D51/60)</f>
        <v>76.900000000000034</v>
      </c>
      <c r="B51" s="145"/>
      <c r="C51" s="30">
        <f>SUM(K10:K13,K15:K20,K22:K27,K29:K34,K36:K38)</f>
        <v>65</v>
      </c>
      <c r="D51" s="30">
        <f>SUM(L10:L13,L15:L20,L22:L27,L29:L34,L36:L38)</f>
        <v>714.00000000000182</v>
      </c>
      <c r="E51" s="104">
        <f>C47*0.15</f>
        <v>3.75</v>
      </c>
      <c r="F51" s="31">
        <f>SUM(G51+H51/60)</f>
        <v>10.316666666666668</v>
      </c>
      <c r="G51" s="32">
        <f>SUM(K14,K21,K28,K35)</f>
        <v>9</v>
      </c>
      <c r="H51" s="32">
        <f>SUM(L14,L21,L28,L35)</f>
        <v>79.000000000000085</v>
      </c>
      <c r="I51" s="143"/>
      <c r="J51" s="48">
        <f>(K51+L51/60)</f>
        <v>8.0500000000000025</v>
      </c>
      <c r="K51" s="49">
        <f>SUM(K9)</f>
        <v>8</v>
      </c>
      <c r="L51" s="68">
        <f>SUM(L9)</f>
        <v>3.0000000000001137</v>
      </c>
      <c r="M51" s="67"/>
      <c r="O51" s="144">
        <f>SUM(Q51+R51/60)</f>
        <v>84.633333333333368</v>
      </c>
      <c r="P51" s="145"/>
      <c r="Q51" s="30">
        <f>SUM(Y10:Y13,Y15:Y20,Y22:Y27,Y29:Y34,Y36:Y38)</f>
        <v>72</v>
      </c>
      <c r="R51" s="30">
        <f>SUM(Z10:Z13,Z15:Z20,Z22:Z27,Z29:Z34,Z36:Z38)</f>
        <v>758.00000000000205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8.0500000000000025</v>
      </c>
      <c r="Y51" s="49">
        <f>SUM(Y9)</f>
        <v>8</v>
      </c>
      <c r="Z51" s="68">
        <f>SUM(Z9)</f>
        <v>3.0000000000001137</v>
      </c>
      <c r="AA51" s="67"/>
      <c r="AB51" s="144">
        <f>SUM(AD51+AE51/60)</f>
        <v>84.633333333333368</v>
      </c>
      <c r="AC51" s="145"/>
      <c r="AD51" s="30">
        <f>SUM(AL10:AL13,AL15:AL20,AL22:AL27,AL29:AL34,AL36:AL38)</f>
        <v>72</v>
      </c>
      <c r="AE51" s="30">
        <f>SUM(AM10:AM13,AM15:AM20,AM22:AM27,AM29:AM34,AM36:AM38)</f>
        <v>758.00000000000205</v>
      </c>
      <c r="AF51" s="104">
        <f>AD47*0.15</f>
        <v>3.75</v>
      </c>
      <c r="AG51" s="31">
        <f>SUM(AH51+AI51/60)</f>
        <v>0</v>
      </c>
      <c r="AH51" s="32">
        <f>SUM(AL14,AL21,AL28,AL35)</f>
        <v>0</v>
      </c>
      <c r="AI51" s="32">
        <f>SUM(AM14,AM21,AM28,AM35)</f>
        <v>0</v>
      </c>
      <c r="AJ51" s="143"/>
      <c r="AK51" s="48">
        <f>(AL51+AM51/60)</f>
        <v>8.0500000000000025</v>
      </c>
      <c r="AL51" s="49">
        <f>SUM(AL9)</f>
        <v>8</v>
      </c>
      <c r="AM51" s="68">
        <f>SUM(AM9)</f>
        <v>3.0000000000001137</v>
      </c>
      <c r="AN51" s="67"/>
      <c r="AP51" s="144">
        <f>SUM(AR51+AS51/60)</f>
        <v>84.633333333333368</v>
      </c>
      <c r="AQ51" s="145"/>
      <c r="AR51" s="30">
        <f>SUM(AZ10:AZ13,AZ15:AZ20,AZ22:AZ27,AZ29:AZ34,AZ36:AZ38)</f>
        <v>72</v>
      </c>
      <c r="AS51" s="30">
        <f>SUM(BA10:BA13,BA15:BA20,BA22:BA27,BA29:BA34,BA36:BA38)</f>
        <v>758.00000000000205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10.350000000000001</v>
      </c>
      <c r="AZ51" s="49">
        <f>SUM(AZ9)</f>
        <v>10</v>
      </c>
      <c r="BA51" s="68">
        <f>SUM(BA9)</f>
        <v>21.000000000000085</v>
      </c>
      <c r="BB51" s="67"/>
      <c r="BC51" s="144">
        <f>SUM(BE51+BF51/60)</f>
        <v>84.633333333333368</v>
      </c>
      <c r="BD51" s="145"/>
      <c r="BE51" s="30">
        <f>SUM(BM10:BM13,BM15:BM20,BM22:BM27,BM29:BM34,BM36:BM38)</f>
        <v>72</v>
      </c>
      <c r="BF51" s="30">
        <f>SUM(BN10:BN13,BN15:BN20,BN22:BN27,BN29:BN34,BN36:BN38)</f>
        <v>758.00000000000205</v>
      </c>
      <c r="BG51" s="104">
        <f>BE47*0.15</f>
        <v>3.75</v>
      </c>
      <c r="BH51" s="31">
        <f>SUM(BI51+BJ51/60)</f>
        <v>0</v>
      </c>
      <c r="BI51" s="32">
        <f>SUM(BM14,BM21,BM28,BM35)</f>
        <v>0</v>
      </c>
      <c r="BJ51" s="32">
        <f>SUM(BN14,BN21,BN28,BN35)</f>
        <v>0</v>
      </c>
      <c r="BK51" s="143"/>
      <c r="BL51" s="48">
        <f>(BM51+BN51/60)</f>
        <v>8.0500000000000025</v>
      </c>
      <c r="BM51" s="49">
        <f>SUM(BM9)</f>
        <v>8</v>
      </c>
      <c r="BN51" s="68">
        <f>SUM(BN9)</f>
        <v>3.0000000000001137</v>
      </c>
      <c r="BO51" s="67"/>
      <c r="BQ51" s="144">
        <f>SUM(BS51+BT51/60)</f>
        <v>80.266666666666694</v>
      </c>
      <c r="BR51" s="145"/>
      <c r="BS51" s="30">
        <f>SUM(CA10:CA13,CA15:CA20,CA22:CA27,CA29:CA34,CA36:CA38)</f>
        <v>68</v>
      </c>
      <c r="BT51" s="30">
        <f>SUM(CB10:CB13,CB15:CB20,CB22:CB27,CB29:CB34,CB36:CB38)</f>
        <v>736.00000000000193</v>
      </c>
      <c r="BU51" s="104">
        <f>BS47*0.15</f>
        <v>3.5999999999999996</v>
      </c>
      <c r="BV51" s="31">
        <f>SUM(BW51+BX51/60)</f>
        <v>0</v>
      </c>
      <c r="BW51" s="32">
        <f>SUM(CA14,CA21,CA28,CA35)</f>
        <v>0</v>
      </c>
      <c r="BX51" s="32">
        <f>SUM(CB14,CB21,CB28,CB35)</f>
        <v>0</v>
      </c>
      <c r="BY51" s="143"/>
      <c r="BZ51" s="48">
        <f>(CA51+CB51/60)</f>
        <v>8.0500000000000025</v>
      </c>
      <c r="CA51" s="49">
        <f>SUM(CA9)</f>
        <v>8</v>
      </c>
      <c r="CB51" s="68">
        <f>SUM(CB9)</f>
        <v>3.0000000000001137</v>
      </c>
      <c r="CC51" s="67"/>
      <c r="CE51" s="144">
        <f>SUM(CG51+CH51/60)</f>
        <v>84.633333333333368</v>
      </c>
      <c r="CF51" s="145"/>
      <c r="CG51" s="30">
        <f>SUM(CO10:CO13,CO15:CO20,CO22:CO27,CO29:CO34,CO36:CO38)</f>
        <v>72</v>
      </c>
      <c r="CH51" s="30">
        <f>SUM(CP10:CP13,CP15:CP20,CP22:CP27,CP29:CP34,CP36:CP38)</f>
        <v>758.00000000000205</v>
      </c>
      <c r="CI51" s="104">
        <f>CG47*0.15</f>
        <v>3.75</v>
      </c>
      <c r="CJ51" s="31">
        <f>SUM(CK51+CL51/60)</f>
        <v>13.7</v>
      </c>
      <c r="CK51" s="32">
        <f>SUM(CO14,CO21,CO28,CO35)</f>
        <v>8</v>
      </c>
      <c r="CL51" s="32">
        <f>SUM(CP14,CP21,CP28,CP35)</f>
        <v>342</v>
      </c>
      <c r="CM51" s="143"/>
      <c r="CN51" s="48">
        <f>(CO51+CP51/60)</f>
        <v>8.0500000000000025</v>
      </c>
      <c r="CO51" s="49">
        <f>SUM(CO9)</f>
        <v>8</v>
      </c>
      <c r="CP51" s="68">
        <f>SUM(CP9)</f>
        <v>3.0000000000001137</v>
      </c>
      <c r="CQ51" s="67"/>
      <c r="CS51" s="144">
        <f>SUM(CU51+CV51/60)</f>
        <v>84.633333333333368</v>
      </c>
      <c r="CT51" s="145"/>
      <c r="CU51" s="30">
        <f>SUM(DC10:DC13,DC15:DC20,DC22:DC27,DC29:DC34,DC36:DC38)</f>
        <v>72</v>
      </c>
      <c r="CV51" s="30">
        <f>SUM(DD10:DD13,DD15:DD20,DD22:DD27,DD29:DD34,DD36:DD38)</f>
        <v>758.00000000000205</v>
      </c>
      <c r="CW51" s="104">
        <f>CU47*0.15</f>
        <v>3.75</v>
      </c>
      <c r="CX51" s="31">
        <f>SUM(CY51+CZ51/60)</f>
        <v>10.583333333333329</v>
      </c>
      <c r="CY51" s="32">
        <f>SUM(DC14,DC21,DC28,DC35)</f>
        <v>9</v>
      </c>
      <c r="CZ51" s="32">
        <f>SUM(DD14,DD21,DD28,DD35)</f>
        <v>94.999999999999744</v>
      </c>
      <c r="DA51" s="143"/>
      <c r="DB51" s="48">
        <f>(DC51+DD51/60)</f>
        <v>10.666666666666664</v>
      </c>
      <c r="DC51" s="49">
        <f>SUM(DC9)</f>
        <v>10</v>
      </c>
      <c r="DD51" s="68">
        <f>SUM(DD9)</f>
        <v>39.999999999999858</v>
      </c>
      <c r="DE51" s="67"/>
      <c r="DG51" s="144">
        <f>SUM(DI51+DJ51/60)</f>
        <v>84.633333333333368</v>
      </c>
      <c r="DH51" s="145"/>
      <c r="DI51" s="30">
        <f>SUM(DQ10:DQ13,DQ15:DQ20,DQ22:DQ27,DQ29:DQ34,DQ36:DQ38)</f>
        <v>72</v>
      </c>
      <c r="DJ51" s="30">
        <f>SUM(DR10:DR13,DR15:DR20,DR22:DR27,DR29:DR34,DR36:DR38)</f>
        <v>758.00000000000205</v>
      </c>
      <c r="DK51" s="104">
        <f>DI47*0.15</f>
        <v>3.75</v>
      </c>
      <c r="DL51" s="31">
        <f>SUM(DM51+DN51/60)</f>
        <v>7.3500000000000014</v>
      </c>
      <c r="DM51" s="32">
        <f>SUM(DQ14,DQ21,DQ28,DQ35)</f>
        <v>6</v>
      </c>
      <c r="DN51" s="32">
        <f>SUM(DR14,DR21,DR28,DR35)</f>
        <v>81.000000000000057</v>
      </c>
      <c r="DO51" s="143"/>
      <c r="DP51" s="48">
        <f>(DQ51+DR51/60)</f>
        <v>8.0500000000000025</v>
      </c>
      <c r="DQ51" s="49">
        <f>SUM(DQ9)</f>
        <v>8</v>
      </c>
      <c r="DR51" s="68">
        <f>SUM(DR9)</f>
        <v>3.0000000000001137</v>
      </c>
      <c r="DS51" s="67"/>
    </row>
    <row r="53" spans="1:123" x14ac:dyDescent="0.35">
      <c r="A53" t="s">
        <v>24</v>
      </c>
      <c r="C53" s="20" t="str">
        <f>+C2</f>
        <v>AKRAM</v>
      </c>
      <c r="E53" s="101"/>
      <c r="F53" s="101"/>
      <c r="O53" t="s">
        <v>24</v>
      </c>
      <c r="Q53" s="20" t="str">
        <f>+Q2</f>
        <v>AHMED MD BIJOY</v>
      </c>
      <c r="S53" s="101"/>
      <c r="T53" s="101"/>
      <c r="AB53" t="s">
        <v>24</v>
      </c>
      <c r="AD53" s="20" t="str">
        <f>+AD2</f>
        <v>ISLAM SAIFUL</v>
      </c>
      <c r="AF53" s="101"/>
      <c r="AG53" s="101"/>
      <c r="AP53" t="s">
        <v>24</v>
      </c>
      <c r="AR53" s="20" t="str">
        <f>+AR2</f>
        <v>HASAN MD</v>
      </c>
      <c r="AT53" s="101"/>
      <c r="AU53" s="101"/>
      <c r="BC53" t="s">
        <v>24</v>
      </c>
      <c r="BE53" s="20" t="str">
        <f>+BE2</f>
        <v>HOSSAIN MD MUNNA</v>
      </c>
      <c r="BG53" s="101"/>
      <c r="BH53" s="101"/>
      <c r="BQ53" t="s">
        <v>24</v>
      </c>
      <c r="BS53" s="20" t="str">
        <f>+BS2</f>
        <v>AUNG NAING WIN</v>
      </c>
      <c r="BU53" s="101"/>
      <c r="BV53" s="101"/>
      <c r="CE53" t="s">
        <v>24</v>
      </c>
      <c r="CG53" s="20" t="str">
        <f>+CG2</f>
        <v>DAYANIDHI</v>
      </c>
      <c r="CI53" s="101"/>
      <c r="CJ53" s="101"/>
      <c r="CS53" t="s">
        <v>24</v>
      </c>
      <c r="CU53" s="20" t="str">
        <f>+CU2</f>
        <v>YADAV SHATRUHAN KUMAR</v>
      </c>
      <c r="CW53" s="101"/>
      <c r="CX53" s="101"/>
      <c r="DG53" t="s">
        <v>24</v>
      </c>
      <c r="DI53" s="20" t="str">
        <f>+DI2</f>
        <v>SAH ANISH KUMAR</v>
      </c>
      <c r="DK53" s="101"/>
      <c r="DL53" s="101"/>
    </row>
    <row r="54" spans="1:123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25</v>
      </c>
      <c r="AE54" s="13" t="s">
        <v>30</v>
      </c>
      <c r="AF54">
        <v>65.38</v>
      </c>
      <c r="AG54" t="s">
        <v>30</v>
      </c>
      <c r="AH54">
        <f>SUM(AD54*AF54)</f>
        <v>1634.5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C54" t="s">
        <v>25</v>
      </c>
      <c r="BE54" s="10">
        <f>+BE5</f>
        <v>25</v>
      </c>
      <c r="BF54" s="13" t="s">
        <v>30</v>
      </c>
      <c r="BG54">
        <v>65.38</v>
      </c>
      <c r="BH54" t="s">
        <v>30</v>
      </c>
      <c r="BI54">
        <f>SUM(BE54*BG54)</f>
        <v>1634.5</v>
      </c>
      <c r="BQ54" t="s">
        <v>25</v>
      </c>
      <c r="BS54" s="10">
        <f>+BS5</f>
        <v>24</v>
      </c>
      <c r="BT54" s="13" t="s">
        <v>30</v>
      </c>
      <c r="BU54">
        <v>65.38</v>
      </c>
      <c r="BV54" t="s">
        <v>30</v>
      </c>
      <c r="BW54">
        <f>SUM(BS54*BU54)</f>
        <v>1569.12</v>
      </c>
      <c r="CE54" t="s">
        <v>25</v>
      </c>
      <c r="CG54" s="10">
        <f>+CG5</f>
        <v>25</v>
      </c>
      <c r="CH54" s="13" t="s">
        <v>30</v>
      </c>
      <c r="CI54">
        <v>65.38</v>
      </c>
      <c r="CJ54" t="s">
        <v>30</v>
      </c>
      <c r="CK54">
        <f>SUM(CG54*CI54)</f>
        <v>1634.5</v>
      </c>
      <c r="CS54" t="s">
        <v>25</v>
      </c>
      <c r="CU54" s="10">
        <f>+CU5</f>
        <v>25</v>
      </c>
      <c r="CV54" s="13" t="s">
        <v>30</v>
      </c>
      <c r="CW54">
        <v>65.38</v>
      </c>
      <c r="CX54" t="s">
        <v>30</v>
      </c>
      <c r="CY54">
        <f>SUM(CU54*CW54)</f>
        <v>1634.5</v>
      </c>
      <c r="DG54" t="s">
        <v>25</v>
      </c>
      <c r="DI54" s="10">
        <f>+DI5</f>
        <v>25</v>
      </c>
      <c r="DJ54" s="13" t="s">
        <v>30</v>
      </c>
      <c r="DK54">
        <v>65.38</v>
      </c>
      <c r="DL54" t="s">
        <v>30</v>
      </c>
      <c r="DM54">
        <f>SUM(DI54*DK54)</f>
        <v>1634.5</v>
      </c>
    </row>
    <row r="55" spans="1:123" x14ac:dyDescent="0.35">
      <c r="A55" t="s">
        <v>26</v>
      </c>
      <c r="C55" s="11">
        <f>+C6</f>
        <v>73.150000000000034</v>
      </c>
      <c r="D55" s="13" t="s">
        <v>30</v>
      </c>
      <c r="E55">
        <v>13.08</v>
      </c>
      <c r="F55" t="s">
        <v>30</v>
      </c>
      <c r="G55">
        <f>SUM(C55*E55)</f>
        <v>956.80200000000048</v>
      </c>
      <c r="O55" t="s">
        <v>26</v>
      </c>
      <c r="Q55" s="11">
        <f>+Q6</f>
        <v>80.883333333333368</v>
      </c>
      <c r="R55" s="13" t="s">
        <v>30</v>
      </c>
      <c r="S55">
        <v>13.08</v>
      </c>
      <c r="T55" t="s">
        <v>30</v>
      </c>
      <c r="U55">
        <f>SUM(Q55*S55)</f>
        <v>1057.9540000000004</v>
      </c>
      <c r="AB55" t="s">
        <v>26</v>
      </c>
      <c r="AD55" s="11">
        <f>+AD6</f>
        <v>80.883333333333368</v>
      </c>
      <c r="AE55" s="13" t="s">
        <v>30</v>
      </c>
      <c r="AF55">
        <v>13.08</v>
      </c>
      <c r="AG55" t="s">
        <v>30</v>
      </c>
      <c r="AH55">
        <f>SUM(AD55*AF55)</f>
        <v>1057.9540000000004</v>
      </c>
      <c r="AP55" t="s">
        <v>26</v>
      </c>
      <c r="AR55" s="11">
        <f>+AR6</f>
        <v>80.883333333333368</v>
      </c>
      <c r="AS55" s="13" t="s">
        <v>30</v>
      </c>
      <c r="AT55">
        <v>13.08</v>
      </c>
      <c r="AU55" t="s">
        <v>30</v>
      </c>
      <c r="AV55">
        <f>SUM(AR55*AT55)</f>
        <v>1057.9540000000004</v>
      </c>
      <c r="BC55" t="s">
        <v>26</v>
      </c>
      <c r="BE55" s="11">
        <f>+BE6</f>
        <v>80.883333333333368</v>
      </c>
      <c r="BF55" s="13" t="s">
        <v>30</v>
      </c>
      <c r="BG55">
        <v>13.08</v>
      </c>
      <c r="BH55" t="s">
        <v>30</v>
      </c>
      <c r="BI55">
        <f>SUM(BE55*BG55)</f>
        <v>1057.9540000000004</v>
      </c>
      <c r="BQ55" t="s">
        <v>26</v>
      </c>
      <c r="BS55" s="11">
        <f>+BS6</f>
        <v>76.6666666666667</v>
      </c>
      <c r="BT55" s="13" t="s">
        <v>30</v>
      </c>
      <c r="BU55">
        <v>13.08</v>
      </c>
      <c r="BV55" t="s">
        <v>30</v>
      </c>
      <c r="BW55">
        <f>SUM(BS55*BU55)</f>
        <v>1002.8000000000004</v>
      </c>
      <c r="CE55" t="s">
        <v>26</v>
      </c>
      <c r="CG55" s="11">
        <f>+CG6</f>
        <v>80.883333333333368</v>
      </c>
      <c r="CH55" s="13" t="s">
        <v>30</v>
      </c>
      <c r="CI55">
        <v>13.08</v>
      </c>
      <c r="CJ55" t="s">
        <v>30</v>
      </c>
      <c r="CK55">
        <f>SUM(CG55*CI55)</f>
        <v>1057.9540000000004</v>
      </c>
      <c r="CS55" t="s">
        <v>26</v>
      </c>
      <c r="CU55" s="11">
        <f>+CU6</f>
        <v>80.883333333333368</v>
      </c>
      <c r="CV55" s="13" t="s">
        <v>30</v>
      </c>
      <c r="CW55">
        <v>13.08</v>
      </c>
      <c r="CX55" t="s">
        <v>30</v>
      </c>
      <c r="CY55">
        <f>SUM(CU55*CW55)</f>
        <v>1057.9540000000004</v>
      </c>
      <c r="DG55" t="s">
        <v>26</v>
      </c>
      <c r="DI55" s="11">
        <f>+DI6</f>
        <v>80.883333333333368</v>
      </c>
      <c r="DJ55" s="13" t="s">
        <v>30</v>
      </c>
      <c r="DK55">
        <v>13.08</v>
      </c>
      <c r="DL55" t="s">
        <v>30</v>
      </c>
      <c r="DM55">
        <f>SUM(DI55*DK55)</f>
        <v>1057.9540000000004</v>
      </c>
    </row>
    <row r="56" spans="1:123" x14ac:dyDescent="0.35">
      <c r="A56" t="s">
        <v>27</v>
      </c>
      <c r="C56" s="10">
        <f>+G5</f>
        <v>10.316666666666668</v>
      </c>
      <c r="D56" s="13" t="s">
        <v>30</v>
      </c>
      <c r="E56">
        <v>17.43</v>
      </c>
      <c r="F56" t="s">
        <v>30</v>
      </c>
      <c r="G56">
        <f>SUM(C56*E56)</f>
        <v>179.81950000000003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B56" t="s">
        <v>27</v>
      </c>
      <c r="AD56" s="10">
        <f>+AH5</f>
        <v>0</v>
      </c>
      <c r="AE56" s="13" t="s">
        <v>30</v>
      </c>
      <c r="AF56">
        <v>17.43</v>
      </c>
      <c r="AG56" t="s">
        <v>30</v>
      </c>
      <c r="AH56">
        <f>SUM(AD56*AF56)</f>
        <v>0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  <c r="BC56" t="s">
        <v>27</v>
      </c>
      <c r="BE56" s="10">
        <f>+BI5</f>
        <v>0</v>
      </c>
      <c r="BF56" s="13" t="s">
        <v>30</v>
      </c>
      <c r="BG56">
        <v>17.43</v>
      </c>
      <c r="BH56" t="s">
        <v>30</v>
      </c>
      <c r="BI56">
        <f>SUM(BE56*BG56)</f>
        <v>0</v>
      </c>
      <c r="BQ56" t="s">
        <v>27</v>
      </c>
      <c r="BS56" s="10">
        <f>+BW5</f>
        <v>0</v>
      </c>
      <c r="BT56" s="13" t="s">
        <v>30</v>
      </c>
      <c r="BU56">
        <v>17.43</v>
      </c>
      <c r="BV56" t="s">
        <v>30</v>
      </c>
      <c r="BW56">
        <f>SUM(BS56*BU56)</f>
        <v>0</v>
      </c>
      <c r="CE56" t="s">
        <v>27</v>
      </c>
      <c r="CG56" s="10">
        <f>+CK5</f>
        <v>13.7</v>
      </c>
      <c r="CH56" s="13" t="s">
        <v>30</v>
      </c>
      <c r="CI56">
        <v>17.43</v>
      </c>
      <c r="CJ56" t="s">
        <v>30</v>
      </c>
      <c r="CK56">
        <f>SUM(CG56*CI56)</f>
        <v>238.791</v>
      </c>
      <c r="CS56" t="s">
        <v>27</v>
      </c>
      <c r="CU56" s="10">
        <f>+CY5</f>
        <v>10.583333333333329</v>
      </c>
      <c r="CV56" s="13" t="s">
        <v>30</v>
      </c>
      <c r="CW56">
        <v>17.43</v>
      </c>
      <c r="CX56" t="s">
        <v>30</v>
      </c>
      <c r="CY56">
        <f>SUM(CU56*CW56)</f>
        <v>184.46749999999992</v>
      </c>
      <c r="DG56" t="s">
        <v>27</v>
      </c>
      <c r="DI56" s="10">
        <f>+DM5</f>
        <v>7.3500000000000014</v>
      </c>
      <c r="DJ56" s="13" t="s">
        <v>30</v>
      </c>
      <c r="DK56">
        <v>17.43</v>
      </c>
      <c r="DL56" t="s">
        <v>30</v>
      </c>
      <c r="DM56">
        <f>SUM(DI56*DK56)</f>
        <v>128.11050000000003</v>
      </c>
    </row>
    <row r="57" spans="1:123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C57" t="s">
        <v>28</v>
      </c>
      <c r="BE57" s="10">
        <f>+BN5</f>
        <v>1</v>
      </c>
      <c r="BF57" s="13" t="s">
        <v>30</v>
      </c>
      <c r="BG57">
        <v>65.38</v>
      </c>
      <c r="BH57" t="s">
        <v>30</v>
      </c>
      <c r="BI57">
        <f>SUM(BE57*BG57)</f>
        <v>65.38</v>
      </c>
      <c r="BQ57" t="s">
        <v>28</v>
      </c>
      <c r="BS57" s="10">
        <f>+CB5</f>
        <v>1</v>
      </c>
      <c r="BT57" s="13" t="s">
        <v>30</v>
      </c>
      <c r="BU57">
        <v>65.38</v>
      </c>
      <c r="BV57" t="s">
        <v>30</v>
      </c>
      <c r="BW57">
        <f>SUM(BS57*BU57)</f>
        <v>65.38</v>
      </c>
      <c r="CE57" t="s">
        <v>28</v>
      </c>
      <c r="CG57" s="10">
        <f>+CP5</f>
        <v>1</v>
      </c>
      <c r="CH57" s="13" t="s">
        <v>30</v>
      </c>
      <c r="CI57">
        <v>65.38</v>
      </c>
      <c r="CJ57" t="s">
        <v>30</v>
      </c>
      <c r="CK57">
        <f>SUM(CG57*CI57)</f>
        <v>65.38</v>
      </c>
      <c r="CS57" t="s">
        <v>28</v>
      </c>
      <c r="CU57" s="10">
        <f>+DD5</f>
        <v>1</v>
      </c>
      <c r="CV57" s="13" t="s">
        <v>30</v>
      </c>
      <c r="CW57">
        <v>65.38</v>
      </c>
      <c r="CX57" t="s">
        <v>30</v>
      </c>
      <c r="CY57">
        <f>SUM(CU57*CW57)</f>
        <v>65.38</v>
      </c>
      <c r="DG57" t="s">
        <v>28</v>
      </c>
      <c r="DI57" s="10">
        <f>+DR5</f>
        <v>1</v>
      </c>
      <c r="DJ57" s="13" t="s">
        <v>30</v>
      </c>
      <c r="DK57">
        <v>65.38</v>
      </c>
      <c r="DL57" t="s">
        <v>30</v>
      </c>
      <c r="DM57">
        <f>SUM(DI57*DK57)</f>
        <v>65.38</v>
      </c>
    </row>
    <row r="58" spans="1:123" x14ac:dyDescent="0.35">
      <c r="A58" t="s">
        <v>29</v>
      </c>
      <c r="C58" s="10">
        <f>+L6</f>
        <v>8.0500000000000025</v>
      </c>
      <c r="D58" s="13" t="s">
        <v>30</v>
      </c>
      <c r="E58">
        <v>17.43</v>
      </c>
      <c r="F58" t="s">
        <v>30</v>
      </c>
      <c r="G58">
        <f>SUM(C58*E58)</f>
        <v>140.31150000000005</v>
      </c>
      <c r="O58" t="s">
        <v>29</v>
      </c>
      <c r="Q58" s="10">
        <f>+Z6</f>
        <v>8.0500000000000025</v>
      </c>
      <c r="R58" s="13" t="s">
        <v>30</v>
      </c>
      <c r="S58">
        <v>17.43</v>
      </c>
      <c r="T58" t="s">
        <v>30</v>
      </c>
      <c r="U58">
        <f>SUM(Q58*S58)</f>
        <v>140.31150000000005</v>
      </c>
      <c r="AB58" t="s">
        <v>29</v>
      </c>
      <c r="AD58" s="10">
        <f>+AM6</f>
        <v>8.0500000000000025</v>
      </c>
      <c r="AE58" s="13" t="s">
        <v>30</v>
      </c>
      <c r="AF58">
        <v>17.43</v>
      </c>
      <c r="AG58" t="s">
        <v>30</v>
      </c>
      <c r="AH58">
        <f>SUM(AD58*AF58)</f>
        <v>140.31150000000005</v>
      </c>
      <c r="AP58" t="s">
        <v>29</v>
      </c>
      <c r="AR58" s="10">
        <f>+BA6</f>
        <v>10.350000000000001</v>
      </c>
      <c r="AS58" s="13" t="s">
        <v>30</v>
      </c>
      <c r="AT58">
        <v>17.43</v>
      </c>
      <c r="AU58" t="s">
        <v>30</v>
      </c>
      <c r="AV58">
        <f>SUM(AR58*AT58)</f>
        <v>180.40050000000002</v>
      </c>
      <c r="BC58" t="s">
        <v>29</v>
      </c>
      <c r="BE58" s="10">
        <f>+BN6</f>
        <v>8.0500000000000025</v>
      </c>
      <c r="BF58" s="13" t="s">
        <v>30</v>
      </c>
      <c r="BG58">
        <v>17.43</v>
      </c>
      <c r="BH58" t="s">
        <v>30</v>
      </c>
      <c r="BI58">
        <f>SUM(BE58*BG58)</f>
        <v>140.31150000000005</v>
      </c>
      <c r="BQ58" t="s">
        <v>29</v>
      </c>
      <c r="BS58" s="10">
        <f>+CB6</f>
        <v>8.0500000000000025</v>
      </c>
      <c r="BT58" s="13" t="s">
        <v>30</v>
      </c>
      <c r="BU58">
        <v>17.43</v>
      </c>
      <c r="BV58" t="s">
        <v>30</v>
      </c>
      <c r="BW58">
        <f>SUM(BS58*BU58)</f>
        <v>140.31150000000005</v>
      </c>
      <c r="CE58" t="s">
        <v>29</v>
      </c>
      <c r="CG58" s="10">
        <f>+CP6</f>
        <v>8.0500000000000025</v>
      </c>
      <c r="CH58" s="13" t="s">
        <v>30</v>
      </c>
      <c r="CI58">
        <v>17.43</v>
      </c>
      <c r="CJ58" t="s">
        <v>30</v>
      </c>
      <c r="CK58">
        <f>SUM(CG58*CI58)</f>
        <v>140.31150000000005</v>
      </c>
      <c r="CS58" t="s">
        <v>29</v>
      </c>
      <c r="CU58" s="10">
        <f>+DD6</f>
        <v>10.666666666666664</v>
      </c>
      <c r="CV58" s="13" t="s">
        <v>30</v>
      </c>
      <c r="CW58">
        <v>17.43</v>
      </c>
      <c r="CX58" t="s">
        <v>30</v>
      </c>
      <c r="CY58">
        <f>SUM(CU58*CW58)</f>
        <v>185.91999999999996</v>
      </c>
      <c r="DG58" t="s">
        <v>29</v>
      </c>
      <c r="DI58" s="10">
        <f>+DR6</f>
        <v>8.0500000000000025</v>
      </c>
      <c r="DJ58" s="13" t="s">
        <v>30</v>
      </c>
      <c r="DK58">
        <v>17.43</v>
      </c>
      <c r="DL58" t="s">
        <v>30</v>
      </c>
      <c r="DM58">
        <f>SUM(DI58*DK58)</f>
        <v>140.31150000000005</v>
      </c>
    </row>
    <row r="59" spans="1:123" x14ac:dyDescent="0.35">
      <c r="D59" s="13"/>
      <c r="E59" s="14"/>
      <c r="F59" s="14" t="s">
        <v>30</v>
      </c>
      <c r="G59" s="14">
        <f>SUM(G54:G58)</f>
        <v>2976.813000000001</v>
      </c>
      <c r="R59" s="13"/>
      <c r="S59" s="14"/>
      <c r="T59" s="14" t="s">
        <v>30</v>
      </c>
      <c r="U59" s="14">
        <f>SUM(U54:U58)</f>
        <v>2898.145500000001</v>
      </c>
      <c r="AE59" s="13"/>
      <c r="AF59" s="14"/>
      <c r="AG59" s="14" t="s">
        <v>30</v>
      </c>
      <c r="AH59" s="14">
        <f>SUM(AH54:AH58)</f>
        <v>2898.145500000001</v>
      </c>
      <c r="AS59" s="13"/>
      <c r="AT59" s="14"/>
      <c r="AU59" s="14" t="s">
        <v>30</v>
      </c>
      <c r="AV59" s="14">
        <f>SUM(AV54:AV58)</f>
        <v>2938.2345000000009</v>
      </c>
      <c r="BF59" s="13"/>
      <c r="BG59" s="14"/>
      <c r="BH59" s="14" t="s">
        <v>30</v>
      </c>
      <c r="BI59" s="14">
        <f>SUM(BI54:BI58)</f>
        <v>2898.145500000001</v>
      </c>
      <c r="BT59" s="13"/>
      <c r="BU59" s="14"/>
      <c r="BV59" s="14" t="s">
        <v>30</v>
      </c>
      <c r="BW59" s="14">
        <f>SUM(BW54:BW58)</f>
        <v>2777.6115000000004</v>
      </c>
      <c r="CH59" s="13"/>
      <c r="CI59" s="14"/>
      <c r="CJ59" s="14" t="s">
        <v>30</v>
      </c>
      <c r="CK59" s="14">
        <f>SUM(CK54:CK58)</f>
        <v>3136.9365000000012</v>
      </c>
      <c r="CV59" s="13"/>
      <c r="CW59" s="14"/>
      <c r="CX59" s="14" t="s">
        <v>30</v>
      </c>
      <c r="CY59" s="14">
        <f>SUM(CY54:CY58)</f>
        <v>3128.2215000000006</v>
      </c>
      <c r="DJ59" s="13"/>
      <c r="DK59" s="14"/>
      <c r="DL59" s="14" t="s">
        <v>30</v>
      </c>
      <c r="DM59" s="14">
        <f>SUM(DM54:DM58)</f>
        <v>3026.2560000000012</v>
      </c>
    </row>
    <row r="60" spans="1:123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  <c r="BF60" s="13"/>
      <c r="BG60" t="s">
        <v>31</v>
      </c>
      <c r="BH60" t="s">
        <v>30</v>
      </c>
      <c r="BI60">
        <v>200</v>
      </c>
      <c r="BT60" s="13"/>
      <c r="BU60" t="s">
        <v>31</v>
      </c>
      <c r="BV60" t="s">
        <v>30</v>
      </c>
      <c r="BW60">
        <v>200</v>
      </c>
      <c r="CH60" s="13"/>
      <c r="CI60" t="s">
        <v>31</v>
      </c>
      <c r="CJ60" t="s">
        <v>30</v>
      </c>
      <c r="CK60">
        <v>200</v>
      </c>
      <c r="CV60" s="13"/>
      <c r="CW60" t="s">
        <v>31</v>
      </c>
      <c r="CX60" t="s">
        <v>30</v>
      </c>
      <c r="CY60">
        <v>200</v>
      </c>
      <c r="DJ60" s="13"/>
      <c r="DK60" t="s">
        <v>31</v>
      </c>
      <c r="DL60" t="s">
        <v>30</v>
      </c>
      <c r="DM60">
        <v>200</v>
      </c>
    </row>
    <row r="62" spans="1:123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G62" s="15" t="s">
        <v>32</v>
      </c>
      <c r="BH62" s="15" t="s">
        <v>30</v>
      </c>
      <c r="BI62" s="15">
        <v>550</v>
      </c>
      <c r="BJ62" s="16"/>
      <c r="BK62" s="16"/>
      <c r="BL62" s="17"/>
      <c r="BO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I62" s="15" t="s">
        <v>32</v>
      </c>
      <c r="CJ62" s="15" t="s">
        <v>30</v>
      </c>
      <c r="CK62" s="15">
        <v>550</v>
      </c>
      <c r="CL62" s="16"/>
      <c r="CM62" s="16"/>
      <c r="CN62" s="17"/>
      <c r="CQ62" s="18"/>
      <c r="CW62" s="15" t="s">
        <v>32</v>
      </c>
      <c r="CX62" s="15" t="s">
        <v>30</v>
      </c>
      <c r="CY62" s="15">
        <v>550</v>
      </c>
      <c r="CZ62" s="16"/>
      <c r="DA62" s="16"/>
      <c r="DB62" s="17"/>
      <c r="DE62" s="18"/>
      <c r="DK62" s="15" t="s">
        <v>32</v>
      </c>
      <c r="DL62" s="15" t="s">
        <v>30</v>
      </c>
      <c r="DM62" s="15">
        <v>550</v>
      </c>
      <c r="DN62" s="16"/>
      <c r="DO62" s="16"/>
      <c r="DP62" s="17"/>
      <c r="DS62" s="18"/>
    </row>
    <row r="63" spans="1:123" ht="15" thickBot="1" x14ac:dyDescent="0.4">
      <c r="E63" t="s">
        <v>33</v>
      </c>
      <c r="F63" s="19" t="s">
        <v>30</v>
      </c>
      <c r="G63" s="19">
        <f>SUM(G59+G60+G61-G62)</f>
        <v>2626.813000000001</v>
      </c>
      <c r="S63" t="s">
        <v>33</v>
      </c>
      <c r="T63" s="19" t="s">
        <v>30</v>
      </c>
      <c r="U63" s="19">
        <f>SUM(U59+U60+U61-U62)</f>
        <v>2548.145500000001</v>
      </c>
      <c r="AF63" t="s">
        <v>33</v>
      </c>
      <c r="AG63" s="19" t="s">
        <v>30</v>
      </c>
      <c r="AH63" s="19">
        <f>SUM(AH59+AH60+AH61-AH62)</f>
        <v>2548.145500000001</v>
      </c>
      <c r="AT63" t="s">
        <v>33</v>
      </c>
      <c r="AU63" s="19" t="s">
        <v>30</v>
      </c>
      <c r="AV63" s="19">
        <f>SUM(AV59+AV60+AV61-AV62)</f>
        <v>2588.2345000000009</v>
      </c>
      <c r="BG63" t="s">
        <v>33</v>
      </c>
      <c r="BH63" s="19" t="s">
        <v>30</v>
      </c>
      <c r="BI63" s="19">
        <f>SUM(BI59+BI60+BI61-BI62)</f>
        <v>2548.145500000001</v>
      </c>
      <c r="BU63" t="s">
        <v>33</v>
      </c>
      <c r="BV63" s="19" t="s">
        <v>30</v>
      </c>
      <c r="BW63" s="19">
        <f>SUM(BW59+BW60+BW61-BW62)</f>
        <v>2427.6115000000004</v>
      </c>
      <c r="CI63" t="s">
        <v>33</v>
      </c>
      <c r="CJ63" s="19" t="s">
        <v>30</v>
      </c>
      <c r="CK63" s="19">
        <f>SUM(CK59+CK60+CK61-CK62)</f>
        <v>2786.9365000000012</v>
      </c>
      <c r="CW63" t="s">
        <v>33</v>
      </c>
      <c r="CX63" s="19" t="s">
        <v>30</v>
      </c>
      <c r="CY63" s="19">
        <f>SUM(CY59+CY60+CY61-CY62)</f>
        <v>2778.2215000000006</v>
      </c>
      <c r="DK63" t="s">
        <v>33</v>
      </c>
      <c r="DL63" s="19" t="s">
        <v>30</v>
      </c>
      <c r="DM63" s="19">
        <f>SUM(DM59+DM60+DM61-DM62)</f>
        <v>2676.2560000000012</v>
      </c>
    </row>
    <row r="64" spans="1:123" ht="15" thickTop="1" x14ac:dyDescent="0.35">
      <c r="DE64" s="38"/>
      <c r="DG64" s="112"/>
      <c r="DH64" s="112"/>
      <c r="DI64" s="112"/>
      <c r="DJ64" s="112"/>
      <c r="DK64" s="113"/>
      <c r="DL64" s="22"/>
      <c r="DM64" s="22"/>
      <c r="DN64" s="106"/>
      <c r="DO64" s="38"/>
      <c r="DP64" s="107"/>
      <c r="DQ64" s="108"/>
    </row>
    <row r="65" spans="109:121" x14ac:dyDescent="0.35">
      <c r="DE65" s="38"/>
      <c r="DG65" s="112"/>
      <c r="DH65" s="112"/>
      <c r="DI65" s="112"/>
      <c r="DJ65" s="112"/>
      <c r="DK65" s="113"/>
      <c r="DL65" s="22"/>
      <c r="DM65" s="22"/>
      <c r="DN65" s="106"/>
      <c r="DO65" s="38"/>
      <c r="DP65" s="107"/>
      <c r="DQ65" s="108"/>
    </row>
    <row r="66" spans="109:121" x14ac:dyDescent="0.35">
      <c r="DE66" s="38"/>
      <c r="DG66" s="112"/>
      <c r="DH66" s="112"/>
      <c r="DI66" s="112"/>
      <c r="DJ66" s="112"/>
      <c r="DK66" s="113"/>
      <c r="DL66" s="22"/>
      <c r="DM66" s="22"/>
      <c r="DN66" s="106"/>
      <c r="DO66" s="38"/>
      <c r="DP66" s="107"/>
      <c r="DQ66" s="108"/>
    </row>
    <row r="67" spans="109:121" x14ac:dyDescent="0.35">
      <c r="DE67" s="110"/>
      <c r="DG67" s="114"/>
      <c r="DH67" s="114"/>
      <c r="DI67" s="114"/>
      <c r="DJ67" s="114"/>
      <c r="DK67" s="115"/>
      <c r="DL67" s="116"/>
      <c r="DM67" s="116"/>
      <c r="DN67" s="109"/>
      <c r="DO67" s="110"/>
      <c r="DP67" s="110"/>
      <c r="DQ67" s="111"/>
    </row>
    <row r="68" spans="109:121" x14ac:dyDescent="0.35">
      <c r="DE68" s="38"/>
      <c r="DG68" s="112"/>
      <c r="DH68" s="112"/>
      <c r="DI68" s="112"/>
      <c r="DJ68" s="112"/>
      <c r="DK68" s="113"/>
      <c r="DL68" s="22"/>
      <c r="DM68" s="22"/>
      <c r="DN68" s="106"/>
      <c r="DO68" s="38"/>
      <c r="DP68" s="107"/>
      <c r="DQ68" s="108"/>
    </row>
    <row r="69" spans="109:121" x14ac:dyDescent="0.35">
      <c r="DE69" s="38"/>
      <c r="DG69" s="112"/>
      <c r="DH69" s="112"/>
      <c r="DI69" s="112"/>
      <c r="DJ69" s="112"/>
      <c r="DK69" s="113"/>
      <c r="DL69" s="22"/>
      <c r="DM69" s="22"/>
      <c r="DN69" s="106"/>
      <c r="DO69" s="38"/>
      <c r="DP69" s="107"/>
      <c r="DQ69" s="108"/>
    </row>
    <row r="70" spans="109:121" x14ac:dyDescent="0.35">
      <c r="DE70" s="38"/>
      <c r="DG70" s="112"/>
      <c r="DH70" s="112"/>
      <c r="DI70" s="112"/>
      <c r="DJ70" s="112"/>
      <c r="DK70" s="113"/>
      <c r="DL70" s="22"/>
      <c r="DM70" s="22"/>
      <c r="DN70" s="106"/>
      <c r="DO70" s="38"/>
      <c r="DP70" s="107"/>
      <c r="DQ70" s="108"/>
    </row>
    <row r="71" spans="109:121" x14ac:dyDescent="0.35">
      <c r="DE71" s="38"/>
      <c r="DG71" s="112"/>
      <c r="DH71" s="112"/>
      <c r="DI71" s="112"/>
      <c r="DJ71" s="112"/>
      <c r="DK71" s="113"/>
      <c r="DL71" s="22"/>
      <c r="DM71" s="22"/>
      <c r="DN71" s="106"/>
      <c r="DO71" s="38"/>
      <c r="DP71" s="107"/>
      <c r="DQ71" s="108"/>
    </row>
    <row r="72" spans="109:121" x14ac:dyDescent="0.35">
      <c r="DE72" s="38"/>
      <c r="DG72" s="112"/>
      <c r="DH72" s="112"/>
      <c r="DI72" s="112"/>
      <c r="DJ72" s="112"/>
      <c r="DK72" s="113"/>
      <c r="DL72" s="22"/>
      <c r="DM72" s="22"/>
      <c r="DN72" s="106"/>
      <c r="DO72" s="38"/>
      <c r="DP72" s="107"/>
      <c r="DQ72" s="108"/>
    </row>
    <row r="73" spans="109:121" x14ac:dyDescent="0.35">
      <c r="DE73" s="38"/>
      <c r="DG73" s="112"/>
      <c r="DH73" s="112"/>
      <c r="DI73" s="112"/>
      <c r="DJ73" s="112"/>
      <c r="DK73" s="113"/>
      <c r="DL73" s="22"/>
      <c r="DM73" s="22"/>
      <c r="DN73" s="106"/>
      <c r="DO73" s="38"/>
      <c r="DP73" s="107"/>
      <c r="DQ73" s="108"/>
    </row>
    <row r="74" spans="109:121" x14ac:dyDescent="0.35">
      <c r="DE74" s="110"/>
      <c r="DG74" s="114"/>
      <c r="DH74" s="114"/>
      <c r="DI74" s="114"/>
      <c r="DJ74" s="114"/>
      <c r="DK74" s="115"/>
      <c r="DL74" s="116"/>
      <c r="DM74" s="116"/>
      <c r="DN74" s="109"/>
      <c r="DO74" s="110"/>
      <c r="DP74" s="110"/>
      <c r="DQ74" s="111"/>
    </row>
    <row r="75" spans="109:121" x14ac:dyDescent="0.35">
      <c r="DE75" s="38"/>
      <c r="DG75" s="112"/>
      <c r="DH75" s="112"/>
      <c r="DI75" s="112"/>
      <c r="DJ75" s="112"/>
      <c r="DK75" s="113"/>
      <c r="DL75" s="22"/>
      <c r="DM75" s="22"/>
      <c r="DN75" s="106"/>
      <c r="DO75" s="38"/>
      <c r="DP75" s="107"/>
      <c r="DQ75" s="108"/>
    </row>
    <row r="76" spans="109:121" x14ac:dyDescent="0.35">
      <c r="DE76" s="38"/>
      <c r="DG76" s="112"/>
      <c r="DH76" s="112"/>
      <c r="DI76" s="112"/>
      <c r="DJ76" s="112"/>
      <c r="DK76" s="113"/>
      <c r="DL76" s="22"/>
      <c r="DM76" s="22"/>
      <c r="DN76" s="106"/>
      <c r="DO76" s="38"/>
      <c r="DP76" s="107"/>
      <c r="DQ76" s="108"/>
    </row>
    <row r="77" spans="109:121" x14ac:dyDescent="0.35">
      <c r="DE77" s="38"/>
      <c r="DG77" s="112"/>
      <c r="DH77" s="112"/>
      <c r="DI77" s="112"/>
      <c r="DJ77" s="112"/>
      <c r="DK77" s="113"/>
      <c r="DL77" s="22"/>
      <c r="DM77" s="22"/>
      <c r="DN77" s="106"/>
      <c r="DO77" s="38"/>
      <c r="DP77" s="107"/>
      <c r="DQ77" s="108"/>
    </row>
    <row r="78" spans="109:121" x14ac:dyDescent="0.35">
      <c r="DE78" s="38"/>
      <c r="DG78" s="112"/>
      <c r="DH78" s="112"/>
      <c r="DI78" s="112"/>
      <c r="DJ78" s="112"/>
      <c r="DK78" s="113"/>
      <c r="DL78" s="22"/>
      <c r="DM78" s="22"/>
      <c r="DN78" s="106"/>
      <c r="DO78" s="38"/>
      <c r="DP78" s="107"/>
      <c r="DQ78" s="108"/>
    </row>
    <row r="79" spans="109:121" x14ac:dyDescent="0.35">
      <c r="DE79" s="38"/>
      <c r="DG79" s="112"/>
      <c r="DH79" s="112"/>
      <c r="DI79" s="112"/>
      <c r="DJ79" s="112"/>
      <c r="DK79" s="113"/>
      <c r="DL79" s="22"/>
      <c r="DM79" s="22"/>
      <c r="DN79" s="106"/>
      <c r="DO79" s="38"/>
      <c r="DP79" s="107"/>
      <c r="DQ79" s="108"/>
    </row>
    <row r="80" spans="109:121" x14ac:dyDescent="0.35">
      <c r="DE80" s="38"/>
      <c r="DG80" s="112"/>
      <c r="DH80" s="112"/>
      <c r="DI80" s="112"/>
      <c r="DJ80" s="112"/>
      <c r="DK80" s="113"/>
      <c r="DL80" s="22"/>
      <c r="DM80" s="22"/>
      <c r="DN80" s="106"/>
      <c r="DO80" s="38"/>
      <c r="DP80" s="107"/>
      <c r="DQ80" s="108"/>
    </row>
    <row r="81" spans="109:121" x14ac:dyDescent="0.35">
      <c r="DE81" s="110"/>
      <c r="DG81" s="114"/>
      <c r="DH81" s="114"/>
      <c r="DI81" s="114"/>
      <c r="DJ81" s="114"/>
      <c r="DK81" s="115"/>
      <c r="DL81" s="116"/>
      <c r="DM81" s="116"/>
      <c r="DN81" s="109"/>
      <c r="DO81" s="110"/>
      <c r="DP81" s="110"/>
      <c r="DQ81" s="111"/>
    </row>
    <row r="82" spans="109:121" x14ac:dyDescent="0.35">
      <c r="DE82" s="38"/>
      <c r="DG82" s="112"/>
      <c r="DH82" s="112"/>
      <c r="DI82" s="112"/>
      <c r="DJ82" s="112"/>
      <c r="DK82" s="113"/>
      <c r="DL82" s="22"/>
      <c r="DM82" s="22"/>
      <c r="DN82" s="106"/>
      <c r="DO82" s="38"/>
      <c r="DP82" s="107"/>
      <c r="DQ82" s="108"/>
    </row>
    <row r="83" spans="109:121" x14ac:dyDescent="0.35">
      <c r="DE83" s="38"/>
      <c r="DG83" s="112"/>
      <c r="DH83" s="112"/>
      <c r="DI83" s="112"/>
      <c r="DJ83" s="112"/>
      <c r="DK83" s="113"/>
      <c r="DL83" s="22"/>
      <c r="DM83" s="22"/>
      <c r="DN83" s="106"/>
      <c r="DO83" s="38"/>
      <c r="DP83" s="107"/>
      <c r="DQ83" s="108"/>
    </row>
    <row r="84" spans="109:121" x14ac:dyDescent="0.35">
      <c r="DE84" s="38"/>
      <c r="DG84" s="112"/>
      <c r="DH84" s="112"/>
      <c r="DI84" s="112"/>
      <c r="DJ84" s="112"/>
      <c r="DK84" s="113"/>
      <c r="DL84" s="22"/>
      <c r="DM84" s="22"/>
      <c r="DN84" s="106"/>
      <c r="DO84" s="38"/>
      <c r="DP84" s="107"/>
      <c r="DQ84" s="108"/>
    </row>
    <row r="85" spans="109:121" x14ac:dyDescent="0.35">
      <c r="DE85" s="38"/>
      <c r="DG85" s="112"/>
      <c r="DH85" s="112"/>
      <c r="DI85" s="112"/>
      <c r="DJ85" s="112"/>
      <c r="DK85" s="113"/>
      <c r="DL85" s="22"/>
      <c r="DM85" s="22"/>
      <c r="DN85" s="106"/>
      <c r="DO85" s="38"/>
      <c r="DP85" s="107"/>
      <c r="DQ85" s="108"/>
    </row>
    <row r="86" spans="109:121" x14ac:dyDescent="0.35">
      <c r="DE86" s="119"/>
      <c r="DG86" s="117"/>
      <c r="DH86" s="117"/>
      <c r="DI86" s="117"/>
      <c r="DJ86" s="117"/>
      <c r="DK86" s="117"/>
      <c r="DL86" s="118"/>
      <c r="DM86" s="118"/>
      <c r="DN86" s="119"/>
      <c r="DO86" s="119"/>
      <c r="DP86" s="119"/>
      <c r="DQ86" s="108"/>
    </row>
    <row r="87" spans="109:121" x14ac:dyDescent="0.35">
      <c r="DE87" s="119"/>
      <c r="DG87" s="117"/>
      <c r="DH87" s="117"/>
      <c r="DI87" s="117"/>
      <c r="DJ87" s="117"/>
      <c r="DK87" s="117"/>
      <c r="DL87" s="118"/>
      <c r="DM87" s="118"/>
      <c r="DN87" s="119"/>
      <c r="DO87" s="119"/>
      <c r="DP87" s="119"/>
      <c r="DQ87" s="108"/>
    </row>
    <row r="88" spans="109:121" x14ac:dyDescent="0.35">
      <c r="DE88" s="119"/>
      <c r="DG88" s="117"/>
      <c r="DH88" s="117"/>
      <c r="DI88" s="117"/>
      <c r="DJ88" s="117"/>
      <c r="DK88" s="117"/>
      <c r="DL88" s="118"/>
      <c r="DM88" s="118"/>
      <c r="DN88" s="119"/>
      <c r="DO88" s="119"/>
      <c r="DP88" s="119"/>
      <c r="DQ88" s="108"/>
    </row>
    <row r="89" spans="109:121" x14ac:dyDescent="0.35">
      <c r="DE89" s="119"/>
      <c r="DG89" s="117"/>
      <c r="DH89" s="117"/>
      <c r="DI89" s="117"/>
      <c r="DJ89" s="117"/>
      <c r="DK89" s="117"/>
      <c r="DL89" s="118"/>
      <c r="DM89" s="118"/>
      <c r="DN89" s="119"/>
      <c r="DO89" s="119"/>
      <c r="DP89" s="119"/>
      <c r="DQ89" s="108"/>
    </row>
    <row r="90" spans="109:121" x14ac:dyDescent="0.35">
      <c r="DE90" s="119"/>
      <c r="DG90" s="120"/>
      <c r="DH90" s="120"/>
      <c r="DI90" s="120"/>
      <c r="DJ90" s="120"/>
      <c r="DK90" s="120"/>
      <c r="DL90" s="118"/>
      <c r="DM90" s="118"/>
      <c r="DN90" s="119"/>
      <c r="DO90" s="119"/>
      <c r="DP90" s="119"/>
      <c r="DQ90" s="108"/>
    </row>
    <row r="91" spans="109:121" x14ac:dyDescent="0.35">
      <c r="DE91" s="38"/>
      <c r="DG91" s="24"/>
      <c r="DH91" s="24"/>
      <c r="DI91" s="24"/>
      <c r="DJ91" s="24"/>
      <c r="DK91" s="24"/>
      <c r="DL91" s="22"/>
      <c r="DM91" s="22"/>
      <c r="DN91" s="38"/>
      <c r="DO91" s="24"/>
      <c r="DP91" s="24"/>
      <c r="DQ91" s="25"/>
    </row>
    <row r="92" spans="109:121" x14ac:dyDescent="0.35">
      <c r="DG92" s="167"/>
      <c r="DH92" s="167"/>
      <c r="DI92" s="167"/>
      <c r="DJ92" s="167"/>
      <c r="DK92" s="168"/>
      <c r="DL92" s="168"/>
      <c r="DM92" s="121"/>
      <c r="DN92" s="169"/>
      <c r="DO92" s="169"/>
      <c r="DP92" s="169"/>
      <c r="DQ92" s="169"/>
    </row>
    <row r="93" spans="109:121" x14ac:dyDescent="0.35">
      <c r="DG93" s="170"/>
      <c r="DH93" s="167"/>
      <c r="DI93" s="171"/>
      <c r="DJ93" s="167"/>
      <c r="DK93" s="172"/>
      <c r="DL93" s="168"/>
      <c r="DM93" s="121"/>
      <c r="DN93" s="173"/>
      <c r="DO93" s="169"/>
      <c r="DP93" s="173"/>
      <c r="DQ93" s="173"/>
    </row>
    <row r="94" spans="109:121" x14ac:dyDescent="0.35">
      <c r="DE94" s="38"/>
      <c r="DG94" s="24"/>
      <c r="DH94" s="24"/>
      <c r="DI94" s="24"/>
      <c r="DJ94" s="24"/>
      <c r="DK94" s="24"/>
      <c r="DL94" s="22"/>
      <c r="DM94" s="22"/>
      <c r="DN94" s="38"/>
      <c r="DO94" s="24"/>
      <c r="DP94" s="24"/>
      <c r="DQ94" s="25"/>
    </row>
    <row r="95" spans="109:121" x14ac:dyDescent="0.35">
      <c r="DE95" s="38"/>
      <c r="DG95" s="24"/>
      <c r="DH95" s="24"/>
      <c r="DI95" s="24"/>
      <c r="DJ95" s="24"/>
      <c r="DK95" s="24"/>
      <c r="DL95" s="22"/>
      <c r="DM95" s="22"/>
      <c r="DN95" s="38"/>
      <c r="DO95" s="24"/>
      <c r="DP95" s="24"/>
      <c r="DQ95" s="25"/>
    </row>
    <row r="96" spans="109:121" x14ac:dyDescent="0.35">
      <c r="DG96" s="39"/>
      <c r="DH96" s="39"/>
      <c r="DI96" s="124"/>
      <c r="DJ96" s="121"/>
      <c r="DK96" s="121"/>
      <c r="DL96" s="123"/>
      <c r="DM96" s="123"/>
      <c r="DN96" s="122"/>
      <c r="DO96" s="122"/>
      <c r="DP96" s="122"/>
      <c r="DQ96" s="39"/>
    </row>
    <row r="97" spans="111:121" x14ac:dyDescent="0.35">
      <c r="DG97" s="22"/>
      <c r="DH97" s="22"/>
      <c r="DI97" s="125"/>
      <c r="DJ97" s="116"/>
      <c r="DK97" s="116"/>
      <c r="DL97" s="116"/>
      <c r="DM97" s="116"/>
      <c r="DN97" s="126"/>
      <c r="DO97" s="126"/>
      <c r="DP97" s="126"/>
      <c r="DQ97" s="38"/>
    </row>
  </sheetData>
  <mergeCells count="154">
    <mergeCell ref="DG92:DH92"/>
    <mergeCell ref="DI92:DJ92"/>
    <mergeCell ref="DK92:DL92"/>
    <mergeCell ref="DN92:DO92"/>
    <mergeCell ref="DP92:DQ92"/>
    <mergeCell ref="DG93:DH93"/>
    <mergeCell ref="DI93:DJ93"/>
    <mergeCell ref="DK93:DL93"/>
    <mergeCell ref="DN93:DO93"/>
    <mergeCell ref="DP93:DQ93"/>
    <mergeCell ref="A46:B47"/>
    <mergeCell ref="C46:D46"/>
    <mergeCell ref="E46:F46"/>
    <mergeCell ref="G46:H46"/>
    <mergeCell ref="J46:K46"/>
    <mergeCell ref="L46:M46"/>
    <mergeCell ref="O46:P47"/>
    <mergeCell ref="Q46:R46"/>
    <mergeCell ref="S46:T46"/>
    <mergeCell ref="A8:B8"/>
    <mergeCell ref="O8:P8"/>
    <mergeCell ref="AB8:AC8"/>
    <mergeCell ref="AP8:AQ8"/>
    <mergeCell ref="BC8:BD8"/>
    <mergeCell ref="A1:M1"/>
    <mergeCell ref="O1:AA1"/>
    <mergeCell ref="AB1:AN1"/>
    <mergeCell ref="AP1:BB1"/>
    <mergeCell ref="BC1:BO1"/>
    <mergeCell ref="U47:V47"/>
    <mergeCell ref="X47:Y47"/>
    <mergeCell ref="Z47:AA47"/>
    <mergeCell ref="AD47:AE47"/>
    <mergeCell ref="DG1:DS1"/>
    <mergeCell ref="BQ8:BR8"/>
    <mergeCell ref="CE8:CF8"/>
    <mergeCell ref="CS8:CT8"/>
    <mergeCell ref="DG8:DH8"/>
    <mergeCell ref="BQ1:CC1"/>
    <mergeCell ref="CE1:CQ1"/>
    <mergeCell ref="CS1:DE1"/>
    <mergeCell ref="AH46:AI46"/>
    <mergeCell ref="AK46:AL46"/>
    <mergeCell ref="AM46:AN46"/>
    <mergeCell ref="AP46:AQ47"/>
    <mergeCell ref="AR46:AS46"/>
    <mergeCell ref="AT46:AU46"/>
    <mergeCell ref="U46:V46"/>
    <mergeCell ref="BE47:BF47"/>
    <mergeCell ref="BG47:BH47"/>
    <mergeCell ref="BI47:BJ47"/>
    <mergeCell ref="BL47:BM47"/>
    <mergeCell ref="BN47:BO47"/>
    <mergeCell ref="X46:Y46"/>
    <mergeCell ref="Z46:AA46"/>
    <mergeCell ref="AB46:AC47"/>
    <mergeCell ref="AD46:AE46"/>
    <mergeCell ref="AF46:AG46"/>
    <mergeCell ref="BU46:BV46"/>
    <mergeCell ref="BS47:BT47"/>
    <mergeCell ref="CI47:CJ47"/>
    <mergeCell ref="C47:D47"/>
    <mergeCell ref="E47:F47"/>
    <mergeCell ref="G47:H47"/>
    <mergeCell ref="J47:K47"/>
    <mergeCell ref="L47:M47"/>
    <mergeCell ref="Q47:R47"/>
    <mergeCell ref="S47:T47"/>
    <mergeCell ref="AF47:AG47"/>
    <mergeCell ref="AH47:AI47"/>
    <mergeCell ref="BI46:BJ46"/>
    <mergeCell ref="BL46:BM46"/>
    <mergeCell ref="BN46:BO46"/>
    <mergeCell ref="AV46:AW46"/>
    <mergeCell ref="AY46:AZ46"/>
    <mergeCell ref="BA46:BB46"/>
    <mergeCell ref="BC46:BD47"/>
    <mergeCell ref="BE46:BF46"/>
    <mergeCell ref="BG46:BH46"/>
    <mergeCell ref="AV47:AW47"/>
    <mergeCell ref="AY47:AZ47"/>
    <mergeCell ref="BA47:BB47"/>
    <mergeCell ref="DP46:DQ46"/>
    <mergeCell ref="DR46:DS46"/>
    <mergeCell ref="DM47:DN47"/>
    <mergeCell ref="DP47:DQ47"/>
    <mergeCell ref="DR47:DS47"/>
    <mergeCell ref="AK47:AL47"/>
    <mergeCell ref="AM47:AN47"/>
    <mergeCell ref="AR47:AS47"/>
    <mergeCell ref="AT47:AU47"/>
    <mergeCell ref="BU47:BV47"/>
    <mergeCell ref="BW47:BX47"/>
    <mergeCell ref="BZ47:CA47"/>
    <mergeCell ref="CB47:CC47"/>
    <mergeCell ref="CG47:CH47"/>
    <mergeCell ref="CY46:CZ46"/>
    <mergeCell ref="DB46:DC46"/>
    <mergeCell ref="DD46:DE46"/>
    <mergeCell ref="DG46:DH47"/>
    <mergeCell ref="DI46:DJ46"/>
    <mergeCell ref="DK46:DL46"/>
    <mergeCell ref="CK46:CL46"/>
    <mergeCell ref="CN46:CO46"/>
    <mergeCell ref="CP46:CQ46"/>
    <mergeCell ref="CS46:CT47"/>
    <mergeCell ref="BQ50:BR50"/>
    <mergeCell ref="BY50:BY51"/>
    <mergeCell ref="CE50:CF50"/>
    <mergeCell ref="DM46:DN46"/>
    <mergeCell ref="CU46:CV46"/>
    <mergeCell ref="CW46:CX46"/>
    <mergeCell ref="CK47:CL47"/>
    <mergeCell ref="CN47:CO47"/>
    <mergeCell ref="CP47:CQ47"/>
    <mergeCell ref="CU47:CV47"/>
    <mergeCell ref="CW47:CX47"/>
    <mergeCell ref="CY47:CZ47"/>
    <mergeCell ref="DB47:DC47"/>
    <mergeCell ref="DD47:DE47"/>
    <mergeCell ref="DI47:DJ47"/>
    <mergeCell ref="DK47:DL47"/>
    <mergeCell ref="BW46:BX46"/>
    <mergeCell ref="BZ46:CA46"/>
    <mergeCell ref="CB46:CC46"/>
    <mergeCell ref="CE46:CF47"/>
    <mergeCell ref="CG46:CH46"/>
    <mergeCell ref="CI46:CJ46"/>
    <mergeCell ref="BQ46:BR47"/>
    <mergeCell ref="BS46:BT46"/>
    <mergeCell ref="DG50:DH50"/>
    <mergeCell ref="DO50:DO51"/>
    <mergeCell ref="DG51:DH51"/>
    <mergeCell ref="A51:B51"/>
    <mergeCell ref="O51:P51"/>
    <mergeCell ref="AB51:AC51"/>
    <mergeCell ref="AP51:AQ51"/>
    <mergeCell ref="BC51:BD51"/>
    <mergeCell ref="BQ51:BR51"/>
    <mergeCell ref="CE51:CF51"/>
    <mergeCell ref="CM50:CM51"/>
    <mergeCell ref="CS50:CT50"/>
    <mergeCell ref="DA50:DA51"/>
    <mergeCell ref="CS51:CT51"/>
    <mergeCell ref="AP50:AQ50"/>
    <mergeCell ref="AX50:AX51"/>
    <mergeCell ref="BC50:BD50"/>
    <mergeCell ref="BK50:BK51"/>
    <mergeCell ref="A50:B50"/>
    <mergeCell ref="I50:I51"/>
    <mergeCell ref="O50:P50"/>
    <mergeCell ref="W50:W51"/>
    <mergeCell ref="AB50:AC50"/>
    <mergeCell ref="AJ50:AJ51"/>
  </mergeCells>
  <printOptions verticalCentered="1"/>
  <pageMargins left="0.23622047244094491" right="0" top="0" bottom="0" header="0" footer="0"/>
  <pageSetup paperSize="9" scale="54" orientation="landscape" r:id="rId1"/>
  <colBreaks count="4" manualBreakCount="4">
    <brk id="27" max="62" man="1"/>
    <brk id="54" max="62" man="1"/>
    <brk id="81" max="62" man="1"/>
    <brk id="109" max="6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23A6-85E4-430F-B9A8-D4C21A4CE9CE}">
  <sheetPr>
    <tabColor theme="7" tint="0.79998168889431442"/>
  </sheetPr>
  <dimension ref="A1:DS97"/>
  <sheetViews>
    <sheetView view="pageBreakPreview" topLeftCell="CV1" zoomScale="85" zoomScaleNormal="85" zoomScaleSheetLayoutView="85" workbookViewId="0">
      <selection activeCell="M74" sqref="M74"/>
    </sheetView>
  </sheetViews>
  <sheetFormatPr defaultColWidth="8.81640625" defaultRowHeight="14.5" x14ac:dyDescent="0.35"/>
  <cols>
    <col min="1" max="2" width="5.7265625" customWidth="1"/>
    <col min="3" max="3" width="10" customWidth="1"/>
    <col min="4" max="4" width="8.81640625" customWidth="1"/>
    <col min="6" max="6" width="7.7265625" customWidth="1"/>
    <col min="7" max="7" width="9" bestFit="1" customWidth="1"/>
    <col min="8" max="8" width="8.453125" style="3" customWidth="1"/>
    <col min="9" max="9" width="7.453125" style="3" customWidth="1"/>
    <col min="10" max="10" width="8.81640625" style="2"/>
    <col min="11" max="11" width="11" customWidth="1"/>
    <col min="12" max="12" width="9" bestFit="1" customWidth="1"/>
    <col min="13" max="13" width="12.7265625" style="1" customWidth="1"/>
    <col min="14" max="14" width="7.7265625" customWidth="1"/>
    <col min="15" max="16" width="5.7265625" customWidth="1"/>
    <col min="17" max="17" width="9.453125" bestFit="1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453125" style="3" customWidth="1"/>
    <col min="24" max="24" width="8.81640625" style="2"/>
    <col min="25" max="25" width="9.26953125" customWidth="1"/>
    <col min="26" max="26" width="9" bestFit="1" customWidth="1"/>
    <col min="27" max="27" width="13.81640625" style="1" customWidth="1"/>
    <col min="28" max="29" width="5.7265625" customWidth="1"/>
    <col min="30" max="30" width="9.453125" bestFit="1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7.453125" style="3" customWidth="1"/>
    <col min="37" max="37" width="8.81640625" style="2"/>
    <col min="38" max="38" width="7" customWidth="1"/>
    <col min="39" max="39" width="9" bestFit="1" customWidth="1"/>
    <col min="40" max="40" width="13.81640625" style="1" customWidth="1"/>
    <col min="41" max="41" width="3.81640625" customWidth="1"/>
    <col min="42" max="43" width="5.7265625" customWidth="1"/>
    <col min="44" max="44" width="9" bestFit="1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453125" style="3" customWidth="1"/>
    <col min="51" max="51" width="8.81640625" style="2"/>
    <col min="52" max="52" width="7" customWidth="1"/>
    <col min="53" max="53" width="9" bestFit="1" customWidth="1"/>
    <col min="54" max="54" width="13.81640625" style="1" customWidth="1"/>
    <col min="55" max="55" width="5.54296875" customWidth="1"/>
    <col min="56" max="56" width="5.7265625" customWidth="1"/>
    <col min="57" max="57" width="9.7265625" customWidth="1"/>
    <col min="58" max="58" width="8.7265625" customWidth="1"/>
    <col min="60" max="60" width="9.81640625" customWidth="1"/>
    <col min="61" max="61" width="9" bestFit="1" customWidth="1"/>
    <col min="62" max="62" width="8.453125" style="3" customWidth="1"/>
    <col min="63" max="63" width="7.26953125" style="3" customWidth="1"/>
    <col min="64" max="64" width="8.81640625" style="2"/>
    <col min="65" max="65" width="7" customWidth="1"/>
    <col min="66" max="66" width="9" bestFit="1" customWidth="1"/>
    <col min="67" max="67" width="13.81640625" style="1" customWidth="1"/>
    <col min="68" max="68" width="7.7265625" customWidth="1"/>
    <col min="69" max="70" width="5.7265625" customWidth="1"/>
    <col min="71" max="71" width="9.54296875" customWidth="1"/>
    <col min="72" max="72" width="8.7265625" customWidth="1"/>
    <col min="74" max="74" width="7.7265625" customWidth="1"/>
    <col min="75" max="75" width="8.81640625" customWidth="1"/>
    <col min="76" max="76" width="8.453125" style="3" customWidth="1"/>
    <col min="77" max="77" width="7.26953125" style="3" customWidth="1"/>
    <col min="78" max="78" width="8.81640625" style="2"/>
    <col min="79" max="79" width="7" customWidth="1"/>
    <col min="80" max="80" width="8.81640625" customWidth="1"/>
    <col min="81" max="81" width="13.81640625" style="1" customWidth="1"/>
    <col min="82" max="83" width="5.7265625" customWidth="1"/>
    <col min="84" max="84" width="10.1796875" customWidth="1"/>
    <col min="85" max="85" width="8.7265625" customWidth="1"/>
    <col min="87" max="87" width="7.7265625" customWidth="1"/>
    <col min="88" max="88" width="9" bestFit="1" customWidth="1"/>
    <col min="89" max="89" width="8.453125" style="3" customWidth="1"/>
    <col min="90" max="90" width="7.26953125" style="3" customWidth="1"/>
    <col min="91" max="91" width="8.81640625" style="2"/>
    <col min="92" max="92" width="7" customWidth="1"/>
    <col min="93" max="93" width="9" bestFit="1" customWidth="1"/>
    <col min="94" max="94" width="13.81640625" style="1" customWidth="1"/>
    <col min="95" max="95" width="2.26953125" customWidth="1"/>
    <col min="96" max="97" width="5.7265625" customWidth="1"/>
    <col min="98" max="98" width="9.54296875" customWidth="1"/>
    <col min="99" max="99" width="8.7265625" customWidth="1"/>
    <col min="101" max="101" width="7.7265625" customWidth="1"/>
    <col min="102" max="102" width="8.81640625" customWidth="1"/>
    <col min="103" max="103" width="8.453125" style="3" customWidth="1"/>
    <col min="104" max="104" width="8" style="3" customWidth="1"/>
    <col min="105" max="105" width="8.81640625" style="2"/>
    <col min="106" max="106" width="9.7265625" customWidth="1"/>
    <col min="107" max="107" width="8.81640625" customWidth="1"/>
    <col min="108" max="108" width="13.81640625" style="1" customWidth="1"/>
    <col min="109" max="109" width="7.7265625" customWidth="1"/>
    <col min="110" max="111" width="5.7265625" customWidth="1"/>
    <col min="112" max="112" width="10.1796875" customWidth="1"/>
    <col min="113" max="113" width="8.7265625" customWidth="1"/>
    <col min="115" max="115" width="7.7265625" customWidth="1"/>
    <col min="116" max="116" width="11.1796875" customWidth="1"/>
    <col min="117" max="117" width="8.453125" style="3" customWidth="1"/>
    <col min="118" max="118" width="7.54296875" style="3" customWidth="1"/>
    <col min="119" max="119" width="8.81640625" style="2"/>
    <col min="120" max="120" width="7" customWidth="1"/>
    <col min="121" max="121" width="8.81640625" customWidth="1"/>
    <col min="122" max="122" width="13.81640625" style="1" customWidth="1"/>
    <col min="123" max="123" width="4" customWidth="1"/>
  </cols>
  <sheetData>
    <row r="1" spans="1:123" s="51" customFormat="1" ht="36" x14ac:dyDescent="0.8">
      <c r="A1" s="164" t="s">
        <v>224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81" t="str">
        <f>A1</f>
        <v>WORKER WAGES - 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$A$1</f>
        <v>WORKER WAGES - 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tr">
        <f>A1</f>
        <v>WORKER WAGES - JUNE 26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 t="str">
        <f>A1</f>
        <v>WORKER WAGES - JUNE 26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50"/>
      <c r="BQ1" s="164" t="str">
        <f>A1</f>
        <v>WORKER WAGES - 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 t="str">
        <f>A1</f>
        <v>WORKER WAGES - JUNE 26</v>
      </c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50"/>
      <c r="CR1" s="164" t="str">
        <f>A1</f>
        <v>WORKER WAGES - JUNE 26</v>
      </c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50"/>
      <c r="DF1" s="164" t="str">
        <f>A1</f>
        <v>WORKER WAGES - JUNE 26</v>
      </c>
      <c r="DG1" s="164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3" s="78" customFormat="1" ht="39.75" customHeight="1" x14ac:dyDescent="0.35">
      <c r="A2" s="78" t="s">
        <v>20</v>
      </c>
      <c r="C2" s="79" t="s">
        <v>77</v>
      </c>
      <c r="D2" s="79"/>
      <c r="E2" s="79" t="s">
        <v>78</v>
      </c>
      <c r="F2" s="79"/>
      <c r="G2" s="79"/>
      <c r="H2" s="80"/>
      <c r="I2" s="80"/>
      <c r="J2" s="80"/>
      <c r="K2" s="80"/>
      <c r="L2" s="80"/>
      <c r="M2" s="80"/>
      <c r="O2" s="78" t="s">
        <v>20</v>
      </c>
      <c r="Q2" s="79" t="s">
        <v>79</v>
      </c>
      <c r="R2" s="79"/>
      <c r="S2" s="79" t="s">
        <v>80</v>
      </c>
      <c r="T2" s="79"/>
      <c r="U2" s="79"/>
      <c r="V2" s="80"/>
      <c r="W2" s="80"/>
      <c r="X2" s="80"/>
      <c r="Y2" s="80"/>
      <c r="Z2" s="80"/>
      <c r="AA2" s="80"/>
      <c r="AB2" s="78" t="s">
        <v>20</v>
      </c>
      <c r="AD2" s="79" t="s">
        <v>141</v>
      </c>
      <c r="AE2" s="79"/>
      <c r="AF2" s="79"/>
      <c r="AG2" s="79"/>
      <c r="AH2" s="79" t="s">
        <v>142</v>
      </c>
      <c r="AI2" s="80"/>
      <c r="AJ2" s="80"/>
      <c r="AK2" s="80"/>
      <c r="AL2" s="80"/>
      <c r="AM2" s="80"/>
      <c r="AN2" s="80"/>
      <c r="AP2" s="78" t="s">
        <v>20</v>
      </c>
      <c r="AR2" s="79" t="s">
        <v>46</v>
      </c>
      <c r="AS2" s="79"/>
      <c r="AT2" s="79"/>
      <c r="AU2" s="79"/>
      <c r="AV2" s="79" t="s">
        <v>45</v>
      </c>
      <c r="AW2" s="80"/>
      <c r="AX2" s="80"/>
      <c r="AY2" s="80"/>
      <c r="AZ2" s="80"/>
      <c r="BA2" s="80"/>
      <c r="BB2" s="80"/>
      <c r="BC2" s="78" t="s">
        <v>20</v>
      </c>
      <c r="BE2" s="79" t="s">
        <v>81</v>
      </c>
      <c r="BF2" s="79"/>
      <c r="BG2" s="79"/>
      <c r="BH2" s="79"/>
      <c r="BI2" s="79" t="s">
        <v>82</v>
      </c>
      <c r="BJ2" s="80"/>
      <c r="BK2" s="80"/>
      <c r="BL2" s="79"/>
      <c r="BM2" s="79"/>
      <c r="BN2" s="79"/>
      <c r="BO2" s="79"/>
      <c r="BQ2" s="78" t="s">
        <v>20</v>
      </c>
      <c r="BS2" s="79" t="s">
        <v>83</v>
      </c>
      <c r="BT2" s="79"/>
      <c r="BU2" s="79"/>
      <c r="BV2" s="79"/>
      <c r="BW2" s="79" t="s">
        <v>84</v>
      </c>
      <c r="BX2" s="80"/>
      <c r="BY2" s="80"/>
      <c r="BZ2" s="79"/>
      <c r="CA2" s="105"/>
      <c r="CB2" s="79"/>
      <c r="CC2" s="79"/>
      <c r="CD2" s="78" t="s">
        <v>20</v>
      </c>
      <c r="CF2" s="79" t="s">
        <v>85</v>
      </c>
      <c r="CG2" s="79"/>
      <c r="CH2" s="79"/>
      <c r="CI2" s="79"/>
      <c r="CJ2" s="79" t="s">
        <v>86</v>
      </c>
      <c r="CK2" s="80"/>
      <c r="CL2" s="80"/>
      <c r="CM2" s="79"/>
      <c r="CN2" s="79"/>
      <c r="CO2" s="79"/>
      <c r="CP2" s="79"/>
      <c r="CR2" s="78" t="s">
        <v>20</v>
      </c>
      <c r="CT2" s="79" t="s">
        <v>87</v>
      </c>
      <c r="CU2" s="79"/>
      <c r="CV2" s="79"/>
      <c r="CW2" s="79"/>
      <c r="CX2" s="79" t="s">
        <v>88</v>
      </c>
      <c r="CY2" s="80"/>
      <c r="CZ2" s="80"/>
      <c r="DA2" s="79"/>
      <c r="DB2" s="79"/>
      <c r="DC2" s="79"/>
      <c r="DD2" s="79"/>
      <c r="DF2" s="78" t="s">
        <v>20</v>
      </c>
      <c r="DH2" s="79" t="s">
        <v>89</v>
      </c>
      <c r="DI2" s="79"/>
      <c r="DJ2" s="79"/>
      <c r="DK2" s="79"/>
      <c r="DL2" s="79" t="s">
        <v>90</v>
      </c>
      <c r="DM2" s="80"/>
      <c r="DN2" s="80"/>
      <c r="DO2" s="79"/>
      <c r="DP2" s="79"/>
      <c r="DQ2" s="79"/>
      <c r="DR2" s="79"/>
    </row>
    <row r="3" spans="1:123" ht="3" customHeight="1" x14ac:dyDescent="0.35"/>
    <row r="4" spans="1:123" x14ac:dyDescent="0.35">
      <c r="H4" s="6"/>
      <c r="I4" s="6"/>
      <c r="V4" s="6"/>
      <c r="W4" s="6"/>
      <c r="AI4" s="6"/>
      <c r="AJ4" s="6"/>
      <c r="AW4" s="6"/>
      <c r="AX4" s="6"/>
      <c r="BJ4" s="6"/>
      <c r="BK4" s="6"/>
      <c r="BX4" s="6"/>
      <c r="BY4" s="6"/>
      <c r="CK4" s="6"/>
      <c r="CL4" s="6"/>
      <c r="CY4" s="6"/>
      <c r="CZ4" s="6"/>
      <c r="DM4" s="6"/>
      <c r="DN4" s="6"/>
    </row>
    <row r="5" spans="1:123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0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0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24</v>
      </c>
      <c r="AE5" s="69" t="s">
        <v>22</v>
      </c>
      <c r="AF5" s="69"/>
      <c r="AG5" s="69" t="s">
        <v>23</v>
      </c>
      <c r="AH5" s="70">
        <f>SUM(AH47)</f>
        <v>0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C5" s="69" t="s">
        <v>49</v>
      </c>
      <c r="BD5" s="69"/>
      <c r="BE5" s="70">
        <f>SUM(BE47)</f>
        <v>25</v>
      </c>
      <c r="BF5" s="69" t="s">
        <v>22</v>
      </c>
      <c r="BG5" s="69"/>
      <c r="BH5" s="69" t="s">
        <v>23</v>
      </c>
      <c r="BI5" s="70">
        <f>SUM(BI47)</f>
        <v>0</v>
      </c>
      <c r="BJ5" s="71" t="s">
        <v>12</v>
      </c>
      <c r="BK5" s="71"/>
      <c r="BL5" s="72"/>
      <c r="BM5" s="69" t="s">
        <v>37</v>
      </c>
      <c r="BN5" s="70">
        <f>SUM(BL47)</f>
        <v>1</v>
      </c>
      <c r="BO5" s="73" t="s">
        <v>22</v>
      </c>
      <c r="BQ5" s="69" t="s">
        <v>49</v>
      </c>
      <c r="BR5" s="69"/>
      <c r="BS5" s="70">
        <f>SUM(BS47)</f>
        <v>24</v>
      </c>
      <c r="BT5" s="69" t="s">
        <v>22</v>
      </c>
      <c r="BU5" s="69"/>
      <c r="BV5" s="69" t="s">
        <v>23</v>
      </c>
      <c r="BW5" s="70">
        <f>SUM(BW47)</f>
        <v>0</v>
      </c>
      <c r="BX5" s="71" t="s">
        <v>12</v>
      </c>
      <c r="BY5" s="71"/>
      <c r="BZ5" s="72"/>
      <c r="CA5" s="69" t="s">
        <v>37</v>
      </c>
      <c r="CB5" s="70">
        <f>SUM(BZ47)</f>
        <v>0</v>
      </c>
      <c r="CC5" s="73" t="s">
        <v>22</v>
      </c>
      <c r="CD5" s="69" t="s">
        <v>49</v>
      </c>
      <c r="CE5" s="69"/>
      <c r="CF5" s="70">
        <f>SUM(CF47)</f>
        <v>25</v>
      </c>
      <c r="CG5" s="69" t="s">
        <v>22</v>
      </c>
      <c r="CH5" s="69"/>
      <c r="CI5" s="69" t="s">
        <v>23</v>
      </c>
      <c r="CJ5" s="70">
        <f>SUM(CJ47)</f>
        <v>0</v>
      </c>
      <c r="CK5" s="71" t="s">
        <v>12</v>
      </c>
      <c r="CL5" s="71"/>
      <c r="CM5" s="72"/>
      <c r="CN5" s="69" t="s">
        <v>37</v>
      </c>
      <c r="CO5" s="70">
        <f>SUM(CM47)</f>
        <v>1</v>
      </c>
      <c r="CP5" s="73" t="s">
        <v>22</v>
      </c>
      <c r="CR5" s="69" t="s">
        <v>49</v>
      </c>
      <c r="CS5" s="69"/>
      <c r="CT5" s="70">
        <f>SUM(CT47)</f>
        <v>24</v>
      </c>
      <c r="CU5" s="69" t="s">
        <v>22</v>
      </c>
      <c r="CV5" s="69"/>
      <c r="CW5" s="69" t="s">
        <v>23</v>
      </c>
      <c r="CX5" s="70">
        <f>SUM(CX47)</f>
        <v>7.8666666666666663</v>
      </c>
      <c r="CY5" s="71" t="s">
        <v>12</v>
      </c>
      <c r="CZ5" s="71"/>
      <c r="DA5" s="72"/>
      <c r="DB5" s="69" t="s">
        <v>37</v>
      </c>
      <c r="DC5" s="70">
        <f>SUM(DA47)</f>
        <v>1</v>
      </c>
      <c r="DD5" s="73" t="s">
        <v>22</v>
      </c>
      <c r="DF5" s="69" t="s">
        <v>49</v>
      </c>
      <c r="DG5" s="69"/>
      <c r="DH5" s="70">
        <f>SUM(DH47)</f>
        <v>25</v>
      </c>
      <c r="DI5" s="69" t="s">
        <v>22</v>
      </c>
      <c r="DJ5" s="69"/>
      <c r="DK5" s="69" t="s">
        <v>23</v>
      </c>
      <c r="DL5" s="70">
        <f>SUM(DL47)</f>
        <v>10.483333333333331</v>
      </c>
      <c r="DM5" s="71" t="s">
        <v>12</v>
      </c>
      <c r="DN5" s="71"/>
      <c r="DO5" s="72"/>
      <c r="DP5" s="69" t="s">
        <v>37</v>
      </c>
      <c r="DQ5" s="70">
        <f>SUM(DO47)</f>
        <v>1</v>
      </c>
      <c r="DR5" s="73" t="s">
        <v>22</v>
      </c>
    </row>
    <row r="6" spans="1:123" s="74" customFormat="1" ht="20.149999999999999" customHeight="1" x14ac:dyDescent="0.35">
      <c r="A6" s="69" t="s">
        <v>21</v>
      </c>
      <c r="B6" s="69"/>
      <c r="C6" s="75">
        <f>SUM(E47)</f>
        <v>85.016666666666694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4.633333333333332</v>
      </c>
      <c r="M6" s="73" t="s">
        <v>12</v>
      </c>
      <c r="O6" s="69" t="s">
        <v>21</v>
      </c>
      <c r="P6" s="69"/>
      <c r="Q6" s="75">
        <f>SUM(S47)</f>
        <v>95.416666666666657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8.7166666666666668</v>
      </c>
      <c r="AA6" s="73" t="s">
        <v>12</v>
      </c>
      <c r="AB6" s="69" t="s">
        <v>21</v>
      </c>
      <c r="AC6" s="69"/>
      <c r="AD6" s="75">
        <f>SUM(AF47)</f>
        <v>81.316666666666691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10.816666666666666</v>
      </c>
      <c r="AN6" s="73" t="s">
        <v>12</v>
      </c>
      <c r="AP6" s="69" t="s">
        <v>21</v>
      </c>
      <c r="AQ6" s="69"/>
      <c r="AR6" s="75">
        <f>SUM(AT47)</f>
        <v>90.350000000000023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8.8833333333333329</v>
      </c>
      <c r="BB6" s="73" t="s">
        <v>12</v>
      </c>
      <c r="BC6" s="69" t="s">
        <v>21</v>
      </c>
      <c r="BD6" s="69"/>
      <c r="BE6" s="75">
        <f>SUM(BG47)</f>
        <v>97.333333333333343</v>
      </c>
      <c r="BF6" s="69" t="s">
        <v>12</v>
      </c>
      <c r="BG6" s="69"/>
      <c r="BH6" s="69"/>
      <c r="BI6" s="69"/>
      <c r="BJ6" s="76"/>
      <c r="BK6" s="76"/>
      <c r="BL6" s="72"/>
      <c r="BM6" s="69" t="s">
        <v>36</v>
      </c>
      <c r="BN6" s="77">
        <f>SUM(BN47)</f>
        <v>5.5666666666666664</v>
      </c>
      <c r="BO6" s="73" t="s">
        <v>12</v>
      </c>
      <c r="BQ6" s="69" t="s">
        <v>21</v>
      </c>
      <c r="BR6" s="69"/>
      <c r="BS6" s="75">
        <f>SUM(BU47)</f>
        <v>84.250000000000014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0</v>
      </c>
      <c r="CC6" s="73" t="s">
        <v>12</v>
      </c>
      <c r="CD6" s="69" t="s">
        <v>21</v>
      </c>
      <c r="CE6" s="69"/>
      <c r="CF6" s="75">
        <f>SUM(CH47)</f>
        <v>86.966666666666669</v>
      </c>
      <c r="CG6" s="69" t="s">
        <v>12</v>
      </c>
      <c r="CH6" s="69"/>
      <c r="CI6" s="69"/>
      <c r="CJ6" s="69"/>
      <c r="CK6" s="76"/>
      <c r="CL6" s="76"/>
      <c r="CM6" s="72"/>
      <c r="CN6" s="69" t="s">
        <v>36</v>
      </c>
      <c r="CO6" s="77">
        <f>SUM(CO47)</f>
        <v>8.6666666666666643</v>
      </c>
      <c r="CP6" s="73" t="s">
        <v>12</v>
      </c>
      <c r="CR6" s="69" t="s">
        <v>21</v>
      </c>
      <c r="CS6" s="69"/>
      <c r="CT6" s="75">
        <f>SUM(CV47)</f>
        <v>83.266666666666666</v>
      </c>
      <c r="CU6" s="69" t="s">
        <v>12</v>
      </c>
      <c r="CV6" s="69"/>
      <c r="CW6" s="69"/>
      <c r="CX6" s="69"/>
      <c r="CY6" s="76"/>
      <c r="CZ6" s="76"/>
      <c r="DA6" s="72"/>
      <c r="DB6" s="69" t="s">
        <v>36</v>
      </c>
      <c r="DC6" s="77">
        <f>SUM(DC47)</f>
        <v>8.6666666666666643</v>
      </c>
      <c r="DD6" s="73" t="s">
        <v>12</v>
      </c>
      <c r="DF6" s="69" t="s">
        <v>21</v>
      </c>
      <c r="DG6" s="69"/>
      <c r="DH6" s="75">
        <f>SUM(DJ47)</f>
        <v>89.933333333333323</v>
      </c>
      <c r="DI6" s="69" t="s">
        <v>12</v>
      </c>
      <c r="DJ6" s="69"/>
      <c r="DK6" s="69"/>
      <c r="DL6" s="69"/>
      <c r="DM6" s="76"/>
      <c r="DN6" s="76"/>
      <c r="DO6" s="72"/>
      <c r="DP6" s="69" t="s">
        <v>36</v>
      </c>
      <c r="DQ6" s="77">
        <f>SUM(DQ47)</f>
        <v>10.900000000000002</v>
      </c>
      <c r="DR6" s="73" t="s">
        <v>12</v>
      </c>
    </row>
    <row r="7" spans="1:123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C7" s="21"/>
      <c r="BD7" s="21"/>
      <c r="BE7" s="21"/>
      <c r="BF7" s="21"/>
      <c r="BG7" s="21"/>
      <c r="BH7" s="39" t="s">
        <v>59</v>
      </c>
      <c r="BI7" s="21"/>
      <c r="BJ7" s="22"/>
      <c r="BK7" s="33" t="s">
        <v>35</v>
      </c>
      <c r="BL7" s="38"/>
      <c r="BM7" s="21"/>
      <c r="BN7" s="39" t="s">
        <v>60</v>
      </c>
      <c r="BO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D7" s="21"/>
      <c r="CE7" s="21"/>
      <c r="CF7" s="21"/>
      <c r="CG7" s="21"/>
      <c r="CH7" s="21"/>
      <c r="CI7" s="39" t="s">
        <v>59</v>
      </c>
      <c r="CJ7" s="21"/>
      <c r="CK7" s="22"/>
      <c r="CL7" s="33" t="s">
        <v>35</v>
      </c>
      <c r="CM7" s="38"/>
      <c r="CN7" s="21"/>
      <c r="CO7" s="39" t="s">
        <v>60</v>
      </c>
      <c r="CP7" s="38"/>
      <c r="CR7" s="21"/>
      <c r="CS7" s="21"/>
      <c r="CT7" s="21"/>
      <c r="CU7" s="21"/>
      <c r="CV7" s="21"/>
      <c r="CW7" s="39" t="s">
        <v>59</v>
      </c>
      <c r="CX7" s="21"/>
      <c r="CY7" s="22"/>
      <c r="CZ7" s="33" t="s">
        <v>35</v>
      </c>
      <c r="DA7" s="38"/>
      <c r="DB7" s="21"/>
      <c r="DC7" s="39" t="s">
        <v>60</v>
      </c>
      <c r="DD7" s="38"/>
      <c r="DF7" s="21"/>
      <c r="DG7" s="21"/>
      <c r="DH7" s="21"/>
      <c r="DI7" s="21"/>
      <c r="DJ7" s="21"/>
      <c r="DK7" s="39" t="s">
        <v>59</v>
      </c>
      <c r="DL7" s="21"/>
      <c r="DM7" s="22"/>
      <c r="DN7" s="33" t="s">
        <v>35</v>
      </c>
      <c r="DO7" s="38"/>
      <c r="DP7" s="21"/>
      <c r="DQ7" s="39" t="s">
        <v>60</v>
      </c>
      <c r="DR7" s="38"/>
    </row>
    <row r="8" spans="1:123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C8" s="165" t="s">
        <v>0</v>
      </c>
      <c r="BD8" s="166"/>
      <c r="BE8" s="42" t="s">
        <v>7</v>
      </c>
      <c r="BF8" s="42" t="s">
        <v>8</v>
      </c>
      <c r="BG8" s="42" t="s">
        <v>7</v>
      </c>
      <c r="BH8" s="42" t="s">
        <v>8</v>
      </c>
      <c r="BI8" s="83" t="s">
        <v>9</v>
      </c>
      <c r="BJ8" s="23" t="s">
        <v>10</v>
      </c>
      <c r="BK8" s="34" t="s">
        <v>34</v>
      </c>
      <c r="BL8" s="83" t="s">
        <v>11</v>
      </c>
      <c r="BM8" s="42" t="s">
        <v>13</v>
      </c>
      <c r="BN8" s="83" t="s">
        <v>14</v>
      </c>
      <c r="BO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D8" s="165" t="s">
        <v>0</v>
      </c>
      <c r="CE8" s="166"/>
      <c r="CF8" s="42" t="s">
        <v>7</v>
      </c>
      <c r="CG8" s="42" t="s">
        <v>8</v>
      </c>
      <c r="CH8" s="42" t="s">
        <v>7</v>
      </c>
      <c r="CI8" s="42" t="s">
        <v>8</v>
      </c>
      <c r="CJ8" s="83" t="s">
        <v>9</v>
      </c>
      <c r="CK8" s="23" t="s">
        <v>10</v>
      </c>
      <c r="CL8" s="34" t="s">
        <v>34</v>
      </c>
      <c r="CM8" s="83" t="s">
        <v>11</v>
      </c>
      <c r="CN8" s="42" t="s">
        <v>13</v>
      </c>
      <c r="CO8" s="83" t="s">
        <v>14</v>
      </c>
      <c r="CP8" s="42" t="s">
        <v>15</v>
      </c>
      <c r="CR8" s="165" t="s">
        <v>0</v>
      </c>
      <c r="CS8" s="166"/>
      <c r="CT8" s="42" t="s">
        <v>7</v>
      </c>
      <c r="CU8" s="42" t="s">
        <v>8</v>
      </c>
      <c r="CV8" s="42" t="s">
        <v>7</v>
      </c>
      <c r="CW8" s="42" t="s">
        <v>8</v>
      </c>
      <c r="CX8" s="83" t="s">
        <v>9</v>
      </c>
      <c r="CY8" s="23" t="s">
        <v>10</v>
      </c>
      <c r="CZ8" s="34" t="s">
        <v>34</v>
      </c>
      <c r="DA8" s="83" t="s">
        <v>11</v>
      </c>
      <c r="DB8" s="42" t="s">
        <v>13</v>
      </c>
      <c r="DC8" s="83" t="s">
        <v>14</v>
      </c>
      <c r="DD8" s="42" t="s">
        <v>15</v>
      </c>
      <c r="DF8" s="165" t="s">
        <v>0</v>
      </c>
      <c r="DG8" s="166"/>
      <c r="DH8" s="42" t="s">
        <v>7</v>
      </c>
      <c r="DI8" s="42" t="s">
        <v>8</v>
      </c>
      <c r="DJ8" s="42" t="s">
        <v>7</v>
      </c>
      <c r="DK8" s="42" t="s">
        <v>8</v>
      </c>
      <c r="DL8" s="83" t="s">
        <v>9</v>
      </c>
      <c r="DM8" s="23" t="s">
        <v>10</v>
      </c>
      <c r="DN8" s="34" t="s">
        <v>34</v>
      </c>
      <c r="DO8" s="83" t="s">
        <v>11</v>
      </c>
      <c r="DP8" s="42" t="s">
        <v>13</v>
      </c>
      <c r="DQ8" s="83" t="s">
        <v>14</v>
      </c>
      <c r="DR8" s="42" t="s">
        <v>15</v>
      </c>
    </row>
    <row r="9" spans="1:123" ht="17.149999999999999" customHeight="1" x14ac:dyDescent="0.35">
      <c r="A9" s="88" t="s">
        <v>216</v>
      </c>
      <c r="B9" s="88">
        <v>1</v>
      </c>
      <c r="C9" s="89">
        <v>7.15</v>
      </c>
      <c r="D9" s="138"/>
      <c r="E9" s="138">
        <v>0</v>
      </c>
      <c r="F9" s="89">
        <v>12.93</v>
      </c>
      <c r="G9" s="89">
        <f t="shared" ref="G9:G38" si="0">SUM(D9-C9)+(F9-E9)</f>
        <v>5.7799999999999994</v>
      </c>
      <c r="H9" s="90"/>
      <c r="I9" s="89">
        <v>1.4</v>
      </c>
      <c r="J9" s="91">
        <f t="shared" ref="J9:J38" si="1">SUM((G9-H9)-I9)</f>
        <v>4.379999999999999</v>
      </c>
      <c r="K9" s="88">
        <v>4</v>
      </c>
      <c r="L9" s="88">
        <f t="shared" ref="L9:L38" si="2">SUM(J9-K9)*100</f>
        <v>37.999999999999901</v>
      </c>
      <c r="M9" s="134"/>
      <c r="O9" s="88" t="s">
        <v>216</v>
      </c>
      <c r="P9" s="88">
        <v>1</v>
      </c>
      <c r="Q9" s="89">
        <v>7.3</v>
      </c>
      <c r="R9" s="138"/>
      <c r="S9" s="138">
        <v>0</v>
      </c>
      <c r="T9" s="89">
        <v>16.73</v>
      </c>
      <c r="U9" s="89">
        <f t="shared" ref="U9:U38" si="3">SUM(R9-Q9)+(T9-S9)</f>
        <v>9.43</v>
      </c>
      <c r="V9" s="90"/>
      <c r="W9" s="89">
        <v>1</v>
      </c>
      <c r="X9" s="91">
        <f t="shared" ref="X9:X38" si="4">SUM((U9-V9)-W9)</f>
        <v>8.43</v>
      </c>
      <c r="Y9" s="88">
        <v>8</v>
      </c>
      <c r="Z9" s="88">
        <f t="shared" ref="Z9:Z38" si="5">SUM(X9-Y9)*100</f>
        <v>42.999999999999972</v>
      </c>
      <c r="AA9" s="134"/>
      <c r="AB9" s="88" t="s">
        <v>216</v>
      </c>
      <c r="AC9" s="88">
        <v>1</v>
      </c>
      <c r="AD9" s="89">
        <v>7.15</v>
      </c>
      <c r="AE9" s="138"/>
      <c r="AF9" s="138">
        <v>0</v>
      </c>
      <c r="AG9" s="89">
        <v>16.64</v>
      </c>
      <c r="AH9" s="89">
        <f t="shared" ref="AH9:AH38" si="6">SUM(AE9-AD9)+(AG9-AF9)</f>
        <v>9.49</v>
      </c>
      <c r="AI9" s="90"/>
      <c r="AJ9" s="89">
        <v>1.4</v>
      </c>
      <c r="AK9" s="91">
        <f t="shared" ref="AK9:AK38" si="7">SUM((AH9-AI9)-AJ9)</f>
        <v>8.09</v>
      </c>
      <c r="AL9" s="88">
        <v>4</v>
      </c>
      <c r="AM9" s="88">
        <f t="shared" ref="AM9:AM38" si="8">SUM(AK9-AL9)*100</f>
        <v>409</v>
      </c>
      <c r="AN9" s="134"/>
      <c r="AP9" s="88" t="s">
        <v>216</v>
      </c>
      <c r="AQ9" s="88">
        <v>1</v>
      </c>
      <c r="AR9" s="89">
        <v>7.1</v>
      </c>
      <c r="AS9" s="138"/>
      <c r="AT9" s="138">
        <v>0</v>
      </c>
      <c r="AU9" s="89">
        <v>16.63</v>
      </c>
      <c r="AV9" s="89">
        <f t="shared" ref="AV9:AV38" si="9">SUM(AS9-AR9)+(AU9-AT9)</f>
        <v>9.5299999999999994</v>
      </c>
      <c r="AW9" s="90"/>
      <c r="AX9" s="89">
        <v>1</v>
      </c>
      <c r="AY9" s="91">
        <f t="shared" ref="AY9:AY38" si="10">SUM((AV9-AW9)-AX9)</f>
        <v>8.5299999999999994</v>
      </c>
      <c r="AZ9" s="88">
        <v>8</v>
      </c>
      <c r="BA9" s="88">
        <f t="shared" ref="BA9:BA38" si="11">SUM(AY9-AZ9)*100</f>
        <v>52.999999999999936</v>
      </c>
      <c r="BB9" s="134"/>
      <c r="BC9" s="88" t="s">
        <v>216</v>
      </c>
      <c r="BD9" s="88">
        <v>1</v>
      </c>
      <c r="BE9" s="89">
        <v>7.2</v>
      </c>
      <c r="BF9" s="138"/>
      <c r="BG9" s="138">
        <v>0</v>
      </c>
      <c r="BH9" s="89">
        <v>13.94</v>
      </c>
      <c r="BI9" s="89">
        <f t="shared" ref="BI9:BI38" si="12">SUM(BF9-BE9)+(BH9-BG9)</f>
        <v>6.7399999999999993</v>
      </c>
      <c r="BJ9" s="90"/>
      <c r="BK9" s="89">
        <v>1.4</v>
      </c>
      <c r="BL9" s="91">
        <f t="shared" ref="BL9:BL38" si="13">SUM((BI9-BJ9)-BK9)</f>
        <v>5.34</v>
      </c>
      <c r="BM9" s="88">
        <v>5</v>
      </c>
      <c r="BN9" s="88">
        <f t="shared" ref="BN9:BN38" si="14">SUM(BL9-BM9)*100</f>
        <v>33.999999999999986</v>
      </c>
      <c r="BO9" s="134"/>
      <c r="BQ9" s="88" t="s">
        <v>216</v>
      </c>
      <c r="BR9" s="88">
        <v>1</v>
      </c>
      <c r="BS9" s="89"/>
      <c r="BT9" s="138"/>
      <c r="BU9" s="138"/>
      <c r="BV9" s="89"/>
      <c r="BW9" s="89"/>
      <c r="BX9" s="90"/>
      <c r="BY9" s="89"/>
      <c r="BZ9" s="91"/>
      <c r="CA9" s="88"/>
      <c r="CB9" s="88"/>
      <c r="CC9" s="134"/>
      <c r="CD9" s="88" t="s">
        <v>216</v>
      </c>
      <c r="CE9" s="88">
        <v>1</v>
      </c>
      <c r="CF9" s="89">
        <v>7.25</v>
      </c>
      <c r="CG9" s="138"/>
      <c r="CH9" s="138">
        <v>0</v>
      </c>
      <c r="CI9" s="89">
        <v>16.649999999999999</v>
      </c>
      <c r="CJ9" s="89">
        <f t="shared" ref="CJ9:CJ38" si="15">SUM(CG9-CF9)+(CI9-CH9)</f>
        <v>9.3999999999999986</v>
      </c>
      <c r="CK9" s="90"/>
      <c r="CL9" s="89">
        <v>1</v>
      </c>
      <c r="CM9" s="91">
        <f t="shared" ref="CM9:CM38" si="16">SUM((CJ9-CK9)-CL9)</f>
        <v>8.3999999999999986</v>
      </c>
      <c r="CN9" s="88">
        <v>8</v>
      </c>
      <c r="CO9" s="88">
        <f t="shared" ref="CO9:CO38" si="17">SUM(CM9-CN9)*100</f>
        <v>39.999999999999858</v>
      </c>
      <c r="CP9" s="134"/>
      <c r="CR9" s="88" t="s">
        <v>216</v>
      </c>
      <c r="CS9" s="88">
        <v>1</v>
      </c>
      <c r="CT9" s="89">
        <v>7.25</v>
      </c>
      <c r="CU9" s="138"/>
      <c r="CV9" s="138">
        <v>0</v>
      </c>
      <c r="CW9" s="89">
        <v>16.649999999999999</v>
      </c>
      <c r="CX9" s="89">
        <f t="shared" ref="CX9:CX16" si="18">SUM(CU9-CT9)+(CW9-CV9)</f>
        <v>9.3999999999999986</v>
      </c>
      <c r="CY9" s="90"/>
      <c r="CZ9" s="89">
        <v>1</v>
      </c>
      <c r="DA9" s="91">
        <f t="shared" ref="DA9:DA16" si="19">SUM((CX9-CY9)-CZ9)</f>
        <v>8.3999999999999986</v>
      </c>
      <c r="DB9" s="88">
        <v>8</v>
      </c>
      <c r="DC9" s="88">
        <f t="shared" ref="DC9:DC16" si="20">SUM(DA9-DB9)*100</f>
        <v>39.999999999999858</v>
      </c>
      <c r="DD9" s="134"/>
      <c r="DF9" s="88" t="s">
        <v>216</v>
      </c>
      <c r="DG9" s="88">
        <v>1</v>
      </c>
      <c r="DH9" s="89">
        <v>7.1</v>
      </c>
      <c r="DI9" s="138"/>
      <c r="DJ9" s="138">
        <v>0</v>
      </c>
      <c r="DK9" s="89">
        <v>16.64</v>
      </c>
      <c r="DL9" s="89">
        <f t="shared" ref="DL9:DL38" si="21">SUM(DI9-DH9)+(DK9-DJ9)</f>
        <v>9.5400000000000009</v>
      </c>
      <c r="DM9" s="90"/>
      <c r="DN9" s="89">
        <v>1.4</v>
      </c>
      <c r="DO9" s="91">
        <f t="shared" ref="DO9:DO38" si="22">SUM((DL9-DM9)-DN9)</f>
        <v>8.14</v>
      </c>
      <c r="DP9" s="88">
        <v>4</v>
      </c>
      <c r="DQ9" s="88">
        <f t="shared" ref="DQ9:DQ38" si="23">SUM(DO9-DP9)*100</f>
        <v>414.00000000000006</v>
      </c>
      <c r="DR9" s="134"/>
    </row>
    <row r="10" spans="1:123" s="54" customFormat="1" ht="17.149999999999999" customHeight="1" x14ac:dyDescent="0.35">
      <c r="A10" s="86" t="s">
        <v>2</v>
      </c>
      <c r="B10" s="86">
        <v>2</v>
      </c>
      <c r="C10" s="58">
        <v>7.15</v>
      </c>
      <c r="D10" s="96"/>
      <c r="E10" s="96"/>
      <c r="F10" s="53">
        <v>18.63</v>
      </c>
      <c r="G10" s="58">
        <f t="shared" si="0"/>
        <v>11.479999999999999</v>
      </c>
      <c r="H10" s="97">
        <v>7.3</v>
      </c>
      <c r="I10" s="58">
        <v>1</v>
      </c>
      <c r="J10" s="59">
        <f t="shared" si="1"/>
        <v>3.1799999999999988</v>
      </c>
      <c r="K10" s="86">
        <v>3</v>
      </c>
      <c r="L10" s="86">
        <f t="shared" si="2"/>
        <v>17.999999999999883</v>
      </c>
      <c r="M10" s="98"/>
      <c r="N10"/>
      <c r="O10" s="86" t="s">
        <v>2</v>
      </c>
      <c r="P10" s="86">
        <v>2</v>
      </c>
      <c r="Q10" s="58">
        <v>7.3</v>
      </c>
      <c r="R10" s="96"/>
      <c r="S10" s="96"/>
      <c r="T10" s="53">
        <v>18.63</v>
      </c>
      <c r="U10" s="58">
        <f t="shared" si="3"/>
        <v>11.329999999999998</v>
      </c>
      <c r="V10" s="97">
        <v>7.3</v>
      </c>
      <c r="W10" s="58">
        <v>1</v>
      </c>
      <c r="X10" s="59">
        <f t="shared" si="4"/>
        <v>3.0299999999999985</v>
      </c>
      <c r="Y10" s="86">
        <v>3</v>
      </c>
      <c r="Z10" s="86">
        <f t="shared" si="5"/>
        <v>2.9999999999998472</v>
      </c>
      <c r="AA10" s="98"/>
      <c r="AB10" s="86" t="s">
        <v>2</v>
      </c>
      <c r="AC10" s="86">
        <v>2</v>
      </c>
      <c r="AD10" s="58">
        <v>7.15</v>
      </c>
      <c r="AE10" s="96"/>
      <c r="AF10" s="96"/>
      <c r="AG10" s="53">
        <v>18.63</v>
      </c>
      <c r="AH10" s="58">
        <f t="shared" si="6"/>
        <v>11.479999999999999</v>
      </c>
      <c r="AI10" s="97">
        <v>7.3</v>
      </c>
      <c r="AJ10" s="58">
        <v>1</v>
      </c>
      <c r="AK10" s="59">
        <f t="shared" si="7"/>
        <v>3.1799999999999988</v>
      </c>
      <c r="AL10" s="86">
        <v>3</v>
      </c>
      <c r="AM10" s="86">
        <f t="shared" si="8"/>
        <v>17.999999999999883</v>
      </c>
      <c r="AN10" s="98"/>
      <c r="AO10"/>
      <c r="AP10" s="86" t="s">
        <v>2</v>
      </c>
      <c r="AQ10" s="86">
        <v>2</v>
      </c>
      <c r="AR10" s="58">
        <v>7.1</v>
      </c>
      <c r="AS10" s="96"/>
      <c r="AT10" s="96"/>
      <c r="AU10" s="53">
        <v>18.62</v>
      </c>
      <c r="AV10" s="58">
        <f t="shared" si="9"/>
        <v>11.520000000000001</v>
      </c>
      <c r="AW10" s="97">
        <v>7.3</v>
      </c>
      <c r="AX10" s="58">
        <v>1</v>
      </c>
      <c r="AY10" s="59">
        <f t="shared" si="10"/>
        <v>3.2200000000000015</v>
      </c>
      <c r="AZ10" s="86">
        <v>3</v>
      </c>
      <c r="BA10" s="86">
        <f t="shared" si="11"/>
        <v>22.000000000000153</v>
      </c>
      <c r="BB10" s="98"/>
      <c r="BC10" s="86" t="s">
        <v>2</v>
      </c>
      <c r="BD10" s="86">
        <v>2</v>
      </c>
      <c r="BE10" s="58">
        <v>7.15</v>
      </c>
      <c r="BF10" s="96"/>
      <c r="BG10" s="96"/>
      <c r="BH10" s="53">
        <v>18.64</v>
      </c>
      <c r="BI10" s="58">
        <f t="shared" si="12"/>
        <v>11.49</v>
      </c>
      <c r="BJ10" s="97">
        <v>7.3</v>
      </c>
      <c r="BK10" s="58">
        <v>1</v>
      </c>
      <c r="BL10" s="59">
        <f t="shared" si="13"/>
        <v>3.1900000000000004</v>
      </c>
      <c r="BM10" s="86">
        <v>3</v>
      </c>
      <c r="BN10" s="86">
        <f t="shared" si="14"/>
        <v>19.000000000000039</v>
      </c>
      <c r="BO10" s="98"/>
      <c r="BP10"/>
      <c r="BQ10" s="86" t="s">
        <v>2</v>
      </c>
      <c r="BR10" s="86">
        <v>2</v>
      </c>
      <c r="BS10" s="58">
        <v>7.1</v>
      </c>
      <c r="BT10" s="96"/>
      <c r="BU10" s="96"/>
      <c r="BV10" s="53">
        <v>18.63</v>
      </c>
      <c r="BW10" s="58">
        <f t="shared" ref="BW10:BW38" si="24">SUM(BT10-BS10)+(BV10-BU10)</f>
        <v>11.53</v>
      </c>
      <c r="BX10" s="97">
        <v>7.3</v>
      </c>
      <c r="BY10" s="58">
        <v>1</v>
      </c>
      <c r="BZ10" s="59">
        <f t="shared" ref="BZ10:BZ38" si="25">SUM((BW10-BX10)-BY10)</f>
        <v>3.2299999999999995</v>
      </c>
      <c r="CA10" s="86">
        <v>3</v>
      </c>
      <c r="CB10" s="86">
        <f t="shared" ref="CB10:CB38" si="26">SUM(BZ10-CA10)*100</f>
        <v>22.999999999999954</v>
      </c>
      <c r="CC10" s="98"/>
      <c r="CD10" s="86" t="s">
        <v>2</v>
      </c>
      <c r="CE10" s="86">
        <v>2</v>
      </c>
      <c r="CF10" s="58">
        <v>7.15</v>
      </c>
      <c r="CG10" s="96"/>
      <c r="CH10" s="96"/>
      <c r="CI10" s="53">
        <v>18.64</v>
      </c>
      <c r="CJ10" s="58">
        <f t="shared" si="15"/>
        <v>11.49</v>
      </c>
      <c r="CK10" s="97">
        <v>7.3</v>
      </c>
      <c r="CL10" s="58">
        <v>1</v>
      </c>
      <c r="CM10" s="59">
        <f t="shared" si="16"/>
        <v>3.1900000000000004</v>
      </c>
      <c r="CN10" s="86">
        <v>3</v>
      </c>
      <c r="CO10" s="86">
        <f t="shared" si="17"/>
        <v>19.000000000000039</v>
      </c>
      <c r="CP10" s="98"/>
      <c r="CQ10"/>
      <c r="CR10" s="86" t="s">
        <v>2</v>
      </c>
      <c r="CS10" s="86">
        <v>2</v>
      </c>
      <c r="CT10" s="58">
        <v>7.15</v>
      </c>
      <c r="CU10" s="96"/>
      <c r="CV10" s="96"/>
      <c r="CW10" s="53">
        <v>18.64</v>
      </c>
      <c r="CX10" s="58">
        <f t="shared" si="18"/>
        <v>11.49</v>
      </c>
      <c r="CY10" s="97">
        <v>7.3</v>
      </c>
      <c r="CZ10" s="58">
        <v>1</v>
      </c>
      <c r="DA10" s="59">
        <f t="shared" si="19"/>
        <v>3.1900000000000004</v>
      </c>
      <c r="DB10" s="86">
        <v>3</v>
      </c>
      <c r="DC10" s="86">
        <f t="shared" si="20"/>
        <v>19.000000000000039</v>
      </c>
      <c r="DD10" s="98"/>
      <c r="DE10"/>
      <c r="DF10" s="86" t="s">
        <v>2</v>
      </c>
      <c r="DG10" s="86">
        <v>2</v>
      </c>
      <c r="DH10" s="58">
        <v>7.05</v>
      </c>
      <c r="DI10" s="96"/>
      <c r="DJ10" s="96"/>
      <c r="DK10" s="53">
        <v>18.63</v>
      </c>
      <c r="DL10" s="58">
        <f t="shared" si="21"/>
        <v>11.579999999999998</v>
      </c>
      <c r="DM10" s="97">
        <v>7.3</v>
      </c>
      <c r="DN10" s="58">
        <v>1</v>
      </c>
      <c r="DO10" s="59">
        <f t="shared" si="22"/>
        <v>3.2799999999999985</v>
      </c>
      <c r="DP10" s="86">
        <v>3</v>
      </c>
      <c r="DQ10" s="86">
        <f t="shared" si="23"/>
        <v>27.999999999999847</v>
      </c>
      <c r="DR10" s="98"/>
      <c r="DS10"/>
    </row>
    <row r="11" spans="1:123" s="54" customFormat="1" ht="17.149999999999999" customHeight="1" x14ac:dyDescent="0.35">
      <c r="A11" s="86" t="s">
        <v>3</v>
      </c>
      <c r="B11" s="86">
        <v>3</v>
      </c>
      <c r="C11" s="58">
        <v>7.15</v>
      </c>
      <c r="D11" s="96"/>
      <c r="E11" s="96"/>
      <c r="F11" s="53">
        <v>19.649999999999999</v>
      </c>
      <c r="G11" s="58">
        <f t="shared" si="0"/>
        <v>12.499999999999998</v>
      </c>
      <c r="H11" s="97">
        <v>7.3</v>
      </c>
      <c r="I11" s="58">
        <v>1</v>
      </c>
      <c r="J11" s="59">
        <f t="shared" si="1"/>
        <v>4.1999999999999984</v>
      </c>
      <c r="K11" s="86">
        <v>4</v>
      </c>
      <c r="L11" s="86">
        <f t="shared" si="2"/>
        <v>19.99999999999984</v>
      </c>
      <c r="M11" s="87"/>
      <c r="N11"/>
      <c r="O11" s="86" t="s">
        <v>3</v>
      </c>
      <c r="P11" s="86">
        <v>3</v>
      </c>
      <c r="Q11" s="58">
        <v>7.3</v>
      </c>
      <c r="R11" s="96"/>
      <c r="S11" s="96"/>
      <c r="T11" s="53">
        <v>19.649999999999999</v>
      </c>
      <c r="U11" s="58">
        <f t="shared" si="3"/>
        <v>12.349999999999998</v>
      </c>
      <c r="V11" s="97">
        <v>7.3</v>
      </c>
      <c r="W11" s="58">
        <v>1</v>
      </c>
      <c r="X11" s="59">
        <f t="shared" si="4"/>
        <v>4.049999999999998</v>
      </c>
      <c r="Y11" s="86">
        <v>4</v>
      </c>
      <c r="Z11" s="86">
        <f t="shared" si="5"/>
        <v>4.9999999999998046</v>
      </c>
      <c r="AA11" s="87"/>
      <c r="AB11" s="86" t="s">
        <v>225</v>
      </c>
      <c r="AC11" s="86">
        <v>3</v>
      </c>
      <c r="AD11" s="58">
        <v>7.15</v>
      </c>
      <c r="AE11" s="96"/>
      <c r="AF11" s="96"/>
      <c r="AG11" s="53">
        <v>19.649999999999999</v>
      </c>
      <c r="AH11" s="58">
        <f t="shared" si="6"/>
        <v>12.499999999999998</v>
      </c>
      <c r="AI11" s="97">
        <v>7.3</v>
      </c>
      <c r="AJ11" s="58">
        <v>1</v>
      </c>
      <c r="AK11" s="59">
        <f t="shared" si="7"/>
        <v>4.1999999999999984</v>
      </c>
      <c r="AL11" s="86">
        <v>4</v>
      </c>
      <c r="AM11" s="86">
        <f t="shared" si="8"/>
        <v>19.99999999999984</v>
      </c>
      <c r="AN11" s="87"/>
      <c r="AO11"/>
      <c r="AP11" s="86" t="s">
        <v>225</v>
      </c>
      <c r="AQ11" s="86">
        <v>3</v>
      </c>
      <c r="AR11" s="58">
        <v>7.1</v>
      </c>
      <c r="AS11" s="96"/>
      <c r="AT11" s="96"/>
      <c r="AU11" s="53">
        <v>19.64</v>
      </c>
      <c r="AV11" s="58">
        <f t="shared" si="9"/>
        <v>12.540000000000001</v>
      </c>
      <c r="AW11" s="97">
        <v>7.3</v>
      </c>
      <c r="AX11" s="58">
        <v>1</v>
      </c>
      <c r="AY11" s="59">
        <f t="shared" si="10"/>
        <v>4.2400000000000011</v>
      </c>
      <c r="AZ11" s="86">
        <v>4</v>
      </c>
      <c r="BA11" s="86">
        <f t="shared" si="11"/>
        <v>24.00000000000011</v>
      </c>
      <c r="BB11" s="87"/>
      <c r="BC11" s="86" t="s">
        <v>225</v>
      </c>
      <c r="BD11" s="86">
        <v>3</v>
      </c>
      <c r="BE11" s="58">
        <v>7.15</v>
      </c>
      <c r="BF11" s="96"/>
      <c r="BG11" s="96"/>
      <c r="BH11" s="53">
        <v>19.670000000000002</v>
      </c>
      <c r="BI11" s="58">
        <f t="shared" si="12"/>
        <v>12.520000000000001</v>
      </c>
      <c r="BJ11" s="97">
        <v>7.3</v>
      </c>
      <c r="BK11" s="58">
        <v>1</v>
      </c>
      <c r="BL11" s="59">
        <f t="shared" si="13"/>
        <v>4.2200000000000015</v>
      </c>
      <c r="BM11" s="86">
        <v>4</v>
      </c>
      <c r="BN11" s="86">
        <f t="shared" si="14"/>
        <v>22.000000000000153</v>
      </c>
      <c r="BO11" s="87"/>
      <c r="BP11"/>
      <c r="BQ11" s="86" t="s">
        <v>225</v>
      </c>
      <c r="BR11" s="86">
        <v>3</v>
      </c>
      <c r="BS11" s="58">
        <v>7.1</v>
      </c>
      <c r="BT11" s="96"/>
      <c r="BU11" s="96"/>
      <c r="BV11" s="53">
        <v>19.649999999999999</v>
      </c>
      <c r="BW11" s="58">
        <f t="shared" si="24"/>
        <v>12.549999999999999</v>
      </c>
      <c r="BX11" s="97">
        <v>7.3</v>
      </c>
      <c r="BY11" s="58">
        <v>1</v>
      </c>
      <c r="BZ11" s="59">
        <f t="shared" si="25"/>
        <v>4.2499999999999991</v>
      </c>
      <c r="CA11" s="86">
        <v>4</v>
      </c>
      <c r="CB11" s="86">
        <f t="shared" si="26"/>
        <v>24.999999999999911</v>
      </c>
      <c r="CC11" s="87"/>
      <c r="CD11" s="86" t="s">
        <v>225</v>
      </c>
      <c r="CE11" s="86">
        <v>3</v>
      </c>
      <c r="CF11" s="58">
        <v>7.15</v>
      </c>
      <c r="CG11" s="96"/>
      <c r="CH11" s="96"/>
      <c r="CI11" s="53">
        <v>19.649999999999999</v>
      </c>
      <c r="CJ11" s="58">
        <f t="shared" si="15"/>
        <v>12.499999999999998</v>
      </c>
      <c r="CK11" s="97">
        <v>7.3</v>
      </c>
      <c r="CL11" s="58">
        <v>1</v>
      </c>
      <c r="CM11" s="59">
        <f t="shared" si="16"/>
        <v>4.1999999999999984</v>
      </c>
      <c r="CN11" s="86">
        <v>4</v>
      </c>
      <c r="CO11" s="86">
        <f t="shared" si="17"/>
        <v>19.99999999999984</v>
      </c>
      <c r="CP11" s="87"/>
      <c r="CQ11"/>
      <c r="CR11" s="86" t="s">
        <v>225</v>
      </c>
      <c r="CS11" s="86">
        <v>3</v>
      </c>
      <c r="CT11" s="58">
        <v>7.15</v>
      </c>
      <c r="CU11" s="96"/>
      <c r="CV11" s="96"/>
      <c r="CW11" s="53">
        <v>19.649999999999999</v>
      </c>
      <c r="CX11" s="58">
        <f t="shared" si="18"/>
        <v>12.499999999999998</v>
      </c>
      <c r="CY11" s="97">
        <v>7.3</v>
      </c>
      <c r="CZ11" s="58">
        <v>1</v>
      </c>
      <c r="DA11" s="59">
        <f t="shared" si="19"/>
        <v>4.1999999999999984</v>
      </c>
      <c r="DB11" s="86">
        <v>4</v>
      </c>
      <c r="DC11" s="86">
        <f t="shared" si="20"/>
        <v>19.99999999999984</v>
      </c>
      <c r="DD11" s="87"/>
      <c r="DE11"/>
      <c r="DF11" s="86" t="s">
        <v>225</v>
      </c>
      <c r="DG11" s="86">
        <v>3</v>
      </c>
      <c r="DH11" s="58">
        <v>7.05</v>
      </c>
      <c r="DI11" s="96"/>
      <c r="DJ11" s="96"/>
      <c r="DK11" s="53">
        <v>19.649999999999999</v>
      </c>
      <c r="DL11" s="58">
        <f t="shared" si="21"/>
        <v>12.599999999999998</v>
      </c>
      <c r="DM11" s="97">
        <v>7.3</v>
      </c>
      <c r="DN11" s="58">
        <v>1</v>
      </c>
      <c r="DO11" s="59">
        <f t="shared" si="22"/>
        <v>4.299999999999998</v>
      </c>
      <c r="DP11" s="86">
        <v>4</v>
      </c>
      <c r="DQ11" s="86">
        <f t="shared" si="23"/>
        <v>29.999999999999805</v>
      </c>
      <c r="DR11" s="87"/>
      <c r="DS11"/>
    </row>
    <row r="12" spans="1:123" ht="17.149999999999999" customHeight="1" x14ac:dyDescent="0.35">
      <c r="A12" s="86" t="s">
        <v>4</v>
      </c>
      <c r="B12" s="86">
        <v>4</v>
      </c>
      <c r="C12" s="58">
        <v>7.15</v>
      </c>
      <c r="D12" s="96"/>
      <c r="E12" s="96"/>
      <c r="F12" s="53">
        <v>18.920000000000002</v>
      </c>
      <c r="G12" s="58">
        <f t="shared" si="0"/>
        <v>11.770000000000001</v>
      </c>
      <c r="H12" s="97">
        <v>7.3</v>
      </c>
      <c r="I12" s="58">
        <v>1</v>
      </c>
      <c r="J12" s="59">
        <f t="shared" si="1"/>
        <v>3.4700000000000015</v>
      </c>
      <c r="K12" s="86">
        <v>3</v>
      </c>
      <c r="L12" s="86">
        <f t="shared" si="2"/>
        <v>47.000000000000156</v>
      </c>
      <c r="M12" s="98"/>
      <c r="O12" s="86" t="s">
        <v>4</v>
      </c>
      <c r="P12" s="86">
        <v>4</v>
      </c>
      <c r="Q12" s="58">
        <v>7.3</v>
      </c>
      <c r="R12" s="96"/>
      <c r="S12" s="96"/>
      <c r="T12" s="53">
        <v>18.920000000000002</v>
      </c>
      <c r="U12" s="58">
        <f t="shared" si="3"/>
        <v>11.620000000000001</v>
      </c>
      <c r="V12" s="97">
        <v>7.3</v>
      </c>
      <c r="W12" s="58">
        <v>1</v>
      </c>
      <c r="X12" s="59">
        <f t="shared" si="4"/>
        <v>3.3200000000000012</v>
      </c>
      <c r="Y12" s="86">
        <v>3</v>
      </c>
      <c r="Z12" s="86">
        <f t="shared" si="5"/>
        <v>32.000000000000114</v>
      </c>
      <c r="AA12" s="98"/>
      <c r="AB12" s="86" t="s">
        <v>4</v>
      </c>
      <c r="AC12" s="86">
        <v>4</v>
      </c>
      <c r="AD12" s="58">
        <v>7.15</v>
      </c>
      <c r="AE12" s="96"/>
      <c r="AF12" s="96"/>
      <c r="AG12" s="53">
        <v>18.920000000000002</v>
      </c>
      <c r="AH12" s="58">
        <f t="shared" si="6"/>
        <v>11.770000000000001</v>
      </c>
      <c r="AI12" s="97">
        <v>7.3</v>
      </c>
      <c r="AJ12" s="58">
        <v>1</v>
      </c>
      <c r="AK12" s="59">
        <f t="shared" si="7"/>
        <v>3.4700000000000015</v>
      </c>
      <c r="AL12" s="86">
        <v>3</v>
      </c>
      <c r="AM12" s="86">
        <f t="shared" si="8"/>
        <v>47.000000000000156</v>
      </c>
      <c r="AN12" s="98"/>
      <c r="AP12" s="86" t="s">
        <v>4</v>
      </c>
      <c r="AQ12" s="86">
        <v>4</v>
      </c>
      <c r="AR12" s="58">
        <v>7.1</v>
      </c>
      <c r="AS12" s="96"/>
      <c r="AT12" s="96"/>
      <c r="AU12" s="53">
        <v>18.91</v>
      </c>
      <c r="AV12" s="58">
        <f t="shared" si="9"/>
        <v>11.81</v>
      </c>
      <c r="AW12" s="97">
        <v>7.3</v>
      </c>
      <c r="AX12" s="58">
        <v>1</v>
      </c>
      <c r="AY12" s="59">
        <f t="shared" si="10"/>
        <v>3.5100000000000007</v>
      </c>
      <c r="AZ12" s="86">
        <v>3</v>
      </c>
      <c r="BA12" s="86">
        <f t="shared" si="11"/>
        <v>51.000000000000071</v>
      </c>
      <c r="BB12" s="98"/>
      <c r="BC12" s="86" t="s">
        <v>4</v>
      </c>
      <c r="BD12" s="86">
        <v>4</v>
      </c>
      <c r="BE12" s="58">
        <v>7.15</v>
      </c>
      <c r="BF12" s="96"/>
      <c r="BG12" s="96"/>
      <c r="BH12" s="53">
        <v>18.940000000000001</v>
      </c>
      <c r="BI12" s="58">
        <f t="shared" si="12"/>
        <v>11.790000000000001</v>
      </c>
      <c r="BJ12" s="97">
        <v>7.3</v>
      </c>
      <c r="BK12" s="58">
        <v>1</v>
      </c>
      <c r="BL12" s="59">
        <f t="shared" si="13"/>
        <v>3.4900000000000011</v>
      </c>
      <c r="BM12" s="86">
        <v>3</v>
      </c>
      <c r="BN12" s="86">
        <f t="shared" si="14"/>
        <v>49.000000000000114</v>
      </c>
      <c r="BO12" s="98"/>
      <c r="BQ12" s="86" t="s">
        <v>4</v>
      </c>
      <c r="BR12" s="86">
        <v>4</v>
      </c>
      <c r="BS12" s="58">
        <v>7.1</v>
      </c>
      <c r="BT12" s="96"/>
      <c r="BU12" s="96"/>
      <c r="BV12" s="53">
        <v>18.920000000000002</v>
      </c>
      <c r="BW12" s="58">
        <f t="shared" si="24"/>
        <v>11.820000000000002</v>
      </c>
      <c r="BX12" s="97">
        <v>7.3</v>
      </c>
      <c r="BY12" s="58">
        <v>1</v>
      </c>
      <c r="BZ12" s="59">
        <f t="shared" si="25"/>
        <v>3.5200000000000022</v>
      </c>
      <c r="CA12" s="86">
        <v>3</v>
      </c>
      <c r="CB12" s="86">
        <f t="shared" si="26"/>
        <v>52.000000000000227</v>
      </c>
      <c r="CC12" s="98"/>
      <c r="CD12" s="86" t="s">
        <v>4</v>
      </c>
      <c r="CE12" s="86">
        <v>4</v>
      </c>
      <c r="CF12" s="58">
        <v>7.15</v>
      </c>
      <c r="CG12" s="96"/>
      <c r="CH12" s="96"/>
      <c r="CI12" s="53">
        <v>18.93</v>
      </c>
      <c r="CJ12" s="58">
        <f t="shared" si="15"/>
        <v>11.78</v>
      </c>
      <c r="CK12" s="97">
        <v>7.3</v>
      </c>
      <c r="CL12" s="58">
        <v>1</v>
      </c>
      <c r="CM12" s="59">
        <f t="shared" si="16"/>
        <v>3.4799999999999995</v>
      </c>
      <c r="CN12" s="86">
        <v>3</v>
      </c>
      <c r="CO12" s="86">
        <f t="shared" si="17"/>
        <v>47.999999999999957</v>
      </c>
      <c r="CP12" s="98"/>
      <c r="CR12" s="86" t="s">
        <v>4</v>
      </c>
      <c r="CS12" s="86">
        <v>4</v>
      </c>
      <c r="CT12" s="58">
        <v>7.15</v>
      </c>
      <c r="CU12" s="96"/>
      <c r="CV12" s="96"/>
      <c r="CW12" s="53">
        <v>18.93</v>
      </c>
      <c r="CX12" s="58">
        <f t="shared" si="18"/>
        <v>11.78</v>
      </c>
      <c r="CY12" s="97">
        <v>7.3</v>
      </c>
      <c r="CZ12" s="58">
        <v>1</v>
      </c>
      <c r="DA12" s="59">
        <f t="shared" si="19"/>
        <v>3.4799999999999995</v>
      </c>
      <c r="DB12" s="86">
        <v>3</v>
      </c>
      <c r="DC12" s="86">
        <f t="shared" si="20"/>
        <v>47.999999999999957</v>
      </c>
      <c r="DD12" s="98"/>
      <c r="DF12" s="86" t="s">
        <v>4</v>
      </c>
      <c r="DG12" s="86">
        <v>4</v>
      </c>
      <c r="DH12" s="58">
        <v>7.05</v>
      </c>
      <c r="DI12" s="96"/>
      <c r="DJ12" s="96"/>
      <c r="DK12" s="53">
        <v>18.920000000000002</v>
      </c>
      <c r="DL12" s="58">
        <f t="shared" si="21"/>
        <v>11.870000000000001</v>
      </c>
      <c r="DM12" s="97">
        <v>7.3</v>
      </c>
      <c r="DN12" s="58">
        <v>1</v>
      </c>
      <c r="DO12" s="59">
        <f t="shared" si="22"/>
        <v>3.5700000000000012</v>
      </c>
      <c r="DP12" s="86">
        <v>3</v>
      </c>
      <c r="DQ12" s="86">
        <f t="shared" si="23"/>
        <v>57.000000000000114</v>
      </c>
      <c r="DR12" s="98"/>
    </row>
    <row r="13" spans="1:123" ht="17.149999999999999" customHeight="1" x14ac:dyDescent="0.35">
      <c r="A13" s="86" t="s">
        <v>5</v>
      </c>
      <c r="B13" s="86">
        <v>5</v>
      </c>
      <c r="C13" s="58">
        <v>7.15</v>
      </c>
      <c r="D13" s="96"/>
      <c r="E13" s="96"/>
      <c r="F13" s="53">
        <v>19.690000000000001</v>
      </c>
      <c r="G13" s="58">
        <f t="shared" si="0"/>
        <v>12.540000000000001</v>
      </c>
      <c r="H13" s="97">
        <v>7.3</v>
      </c>
      <c r="I13" s="58">
        <v>1</v>
      </c>
      <c r="J13" s="59">
        <f t="shared" si="1"/>
        <v>4.2400000000000011</v>
      </c>
      <c r="K13" s="86">
        <v>4</v>
      </c>
      <c r="L13" s="86">
        <f t="shared" si="2"/>
        <v>24.00000000000011</v>
      </c>
      <c r="M13" s="98"/>
      <c r="O13" s="86" t="s">
        <v>5</v>
      </c>
      <c r="P13" s="86">
        <v>5</v>
      </c>
      <c r="Q13" s="58">
        <v>7.3</v>
      </c>
      <c r="R13" s="96"/>
      <c r="S13" s="96"/>
      <c r="T13" s="53">
        <v>20.82</v>
      </c>
      <c r="U13" s="58">
        <f t="shared" si="3"/>
        <v>13.52</v>
      </c>
      <c r="V13" s="97">
        <v>7.3</v>
      </c>
      <c r="W13" s="58">
        <v>1</v>
      </c>
      <c r="X13" s="59">
        <f t="shared" si="4"/>
        <v>5.22</v>
      </c>
      <c r="Y13" s="86">
        <v>5</v>
      </c>
      <c r="Z13" s="86">
        <f t="shared" si="5"/>
        <v>21.999999999999975</v>
      </c>
      <c r="AA13" s="98"/>
      <c r="AB13" s="86" t="s">
        <v>5</v>
      </c>
      <c r="AC13" s="86">
        <v>5</v>
      </c>
      <c r="AD13" s="58">
        <v>7.15</v>
      </c>
      <c r="AE13" s="96"/>
      <c r="AF13" s="96"/>
      <c r="AG13" s="53">
        <v>19.690000000000001</v>
      </c>
      <c r="AH13" s="58">
        <f t="shared" si="6"/>
        <v>12.540000000000001</v>
      </c>
      <c r="AI13" s="97">
        <v>7.3</v>
      </c>
      <c r="AJ13" s="58">
        <v>1</v>
      </c>
      <c r="AK13" s="59">
        <f t="shared" si="7"/>
        <v>4.2400000000000011</v>
      </c>
      <c r="AL13" s="86">
        <v>4</v>
      </c>
      <c r="AM13" s="86">
        <f t="shared" si="8"/>
        <v>24.00000000000011</v>
      </c>
      <c r="AN13" s="98"/>
      <c r="AP13" s="86" t="s">
        <v>5</v>
      </c>
      <c r="AQ13" s="86">
        <v>5</v>
      </c>
      <c r="AR13" s="58">
        <v>7.1</v>
      </c>
      <c r="AS13" s="96"/>
      <c r="AT13" s="96"/>
      <c r="AU13" s="53">
        <v>20.81</v>
      </c>
      <c r="AV13" s="58">
        <f t="shared" si="9"/>
        <v>13.709999999999999</v>
      </c>
      <c r="AW13" s="97">
        <v>7.3</v>
      </c>
      <c r="AX13" s="58">
        <v>1</v>
      </c>
      <c r="AY13" s="59">
        <f t="shared" si="10"/>
        <v>5.4099999999999993</v>
      </c>
      <c r="AZ13" s="86">
        <v>5</v>
      </c>
      <c r="BA13" s="86">
        <f t="shared" si="11"/>
        <v>40.999999999999929</v>
      </c>
      <c r="BB13" s="98"/>
      <c r="BC13" s="86" t="s">
        <v>5</v>
      </c>
      <c r="BD13" s="86">
        <v>5</v>
      </c>
      <c r="BE13" s="58">
        <v>7.15</v>
      </c>
      <c r="BF13" s="96"/>
      <c r="BG13" s="96"/>
      <c r="BH13" s="53">
        <v>20.82</v>
      </c>
      <c r="BI13" s="58">
        <f t="shared" si="12"/>
        <v>13.67</v>
      </c>
      <c r="BJ13" s="97">
        <v>7.3</v>
      </c>
      <c r="BK13" s="58">
        <v>1</v>
      </c>
      <c r="BL13" s="59">
        <f t="shared" si="13"/>
        <v>5.37</v>
      </c>
      <c r="BM13" s="86">
        <v>5</v>
      </c>
      <c r="BN13" s="86">
        <f t="shared" si="14"/>
        <v>37.000000000000014</v>
      </c>
      <c r="BO13" s="98"/>
      <c r="BQ13" s="86" t="s">
        <v>5</v>
      </c>
      <c r="BR13" s="86">
        <v>5</v>
      </c>
      <c r="BS13" s="58">
        <v>7.2</v>
      </c>
      <c r="BT13" s="96"/>
      <c r="BU13" s="96"/>
      <c r="BV13" s="53">
        <v>20.82</v>
      </c>
      <c r="BW13" s="58">
        <f t="shared" si="24"/>
        <v>13.620000000000001</v>
      </c>
      <c r="BX13" s="97">
        <v>7.3</v>
      </c>
      <c r="BY13" s="58">
        <v>1</v>
      </c>
      <c r="BZ13" s="59">
        <f t="shared" si="25"/>
        <v>5.3200000000000012</v>
      </c>
      <c r="CA13" s="86">
        <v>5</v>
      </c>
      <c r="CB13" s="86">
        <f t="shared" si="26"/>
        <v>32.000000000000114</v>
      </c>
      <c r="CC13" s="98"/>
      <c r="CD13" s="86" t="s">
        <v>5</v>
      </c>
      <c r="CE13" s="86">
        <v>5</v>
      </c>
      <c r="CF13" s="58">
        <v>7.15</v>
      </c>
      <c r="CG13" s="96"/>
      <c r="CH13" s="96"/>
      <c r="CI13" s="53">
        <v>19.72</v>
      </c>
      <c r="CJ13" s="58">
        <f t="shared" si="15"/>
        <v>12.569999999999999</v>
      </c>
      <c r="CK13" s="97">
        <v>7.3</v>
      </c>
      <c r="CL13" s="58">
        <v>1</v>
      </c>
      <c r="CM13" s="59">
        <f t="shared" si="16"/>
        <v>4.2699999999999987</v>
      </c>
      <c r="CN13" s="86">
        <v>4</v>
      </c>
      <c r="CO13" s="86">
        <f t="shared" si="17"/>
        <v>26.999999999999869</v>
      </c>
      <c r="CP13" s="98"/>
      <c r="CR13" s="86" t="s">
        <v>5</v>
      </c>
      <c r="CS13" s="86">
        <v>5</v>
      </c>
      <c r="CT13" s="58">
        <v>7.15</v>
      </c>
      <c r="CU13" s="96"/>
      <c r="CV13" s="96"/>
      <c r="CW13" s="53">
        <v>19.72</v>
      </c>
      <c r="CX13" s="58">
        <f t="shared" si="18"/>
        <v>12.569999999999999</v>
      </c>
      <c r="CY13" s="97">
        <v>7.3</v>
      </c>
      <c r="CZ13" s="58">
        <v>1</v>
      </c>
      <c r="DA13" s="59">
        <f t="shared" si="19"/>
        <v>4.2699999999999987</v>
      </c>
      <c r="DB13" s="86">
        <v>4</v>
      </c>
      <c r="DC13" s="86">
        <f t="shared" si="20"/>
        <v>26.999999999999869</v>
      </c>
      <c r="DD13" s="98"/>
      <c r="DF13" s="86" t="s">
        <v>5</v>
      </c>
      <c r="DG13" s="86">
        <v>5</v>
      </c>
      <c r="DH13" s="58">
        <v>7.05</v>
      </c>
      <c r="DI13" s="96"/>
      <c r="DJ13" s="96"/>
      <c r="DK13" s="53">
        <v>19.690000000000001</v>
      </c>
      <c r="DL13" s="58">
        <f t="shared" si="21"/>
        <v>12.64</v>
      </c>
      <c r="DM13" s="97">
        <v>7.3</v>
      </c>
      <c r="DN13" s="58">
        <v>1</v>
      </c>
      <c r="DO13" s="59">
        <f t="shared" si="22"/>
        <v>4.3400000000000007</v>
      </c>
      <c r="DP13" s="86">
        <v>4</v>
      </c>
      <c r="DQ13" s="86">
        <f t="shared" si="23"/>
        <v>34.000000000000071</v>
      </c>
      <c r="DR13" s="98"/>
    </row>
    <row r="14" spans="1:123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0"/>
        <v>0</v>
      </c>
      <c r="H14" s="56"/>
      <c r="I14" s="52"/>
      <c r="J14" s="57">
        <f t="shared" si="1"/>
        <v>0</v>
      </c>
      <c r="K14" s="55">
        <v>0</v>
      </c>
      <c r="L14" s="55">
        <f t="shared" si="2"/>
        <v>0</v>
      </c>
      <c r="M14" s="95"/>
      <c r="O14" s="55" t="s">
        <v>6</v>
      </c>
      <c r="P14" s="55">
        <v>6</v>
      </c>
      <c r="Q14" s="52"/>
      <c r="R14" s="52"/>
      <c r="S14" s="52"/>
      <c r="T14" s="52"/>
      <c r="U14" s="52">
        <f t="shared" si="3"/>
        <v>0</v>
      </c>
      <c r="V14" s="56"/>
      <c r="W14" s="52"/>
      <c r="X14" s="57">
        <f t="shared" si="4"/>
        <v>0</v>
      </c>
      <c r="Y14" s="55"/>
      <c r="Z14" s="55">
        <f t="shared" si="5"/>
        <v>0</v>
      </c>
      <c r="AA14" s="95"/>
      <c r="AB14" s="55" t="s">
        <v>6</v>
      </c>
      <c r="AC14" s="55">
        <v>6</v>
      </c>
      <c r="AD14" s="52"/>
      <c r="AE14" s="52"/>
      <c r="AF14" s="52"/>
      <c r="AG14" s="52"/>
      <c r="AH14" s="52">
        <f t="shared" si="6"/>
        <v>0</v>
      </c>
      <c r="AI14" s="56"/>
      <c r="AJ14" s="52"/>
      <c r="AK14" s="57">
        <f t="shared" si="7"/>
        <v>0</v>
      </c>
      <c r="AL14" s="55">
        <v>0</v>
      </c>
      <c r="AM14" s="55">
        <f t="shared" si="8"/>
        <v>0</v>
      </c>
      <c r="AN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/>
      <c r="BA14" s="55">
        <f t="shared" si="11"/>
        <v>0</v>
      </c>
      <c r="BB14" s="95"/>
      <c r="BC14" s="55" t="s">
        <v>6</v>
      </c>
      <c r="BD14" s="55">
        <v>6</v>
      </c>
      <c r="BE14" s="52"/>
      <c r="BF14" s="52"/>
      <c r="BG14" s="52"/>
      <c r="BH14" s="52"/>
      <c r="BI14" s="52">
        <f t="shared" si="12"/>
        <v>0</v>
      </c>
      <c r="BJ14" s="56"/>
      <c r="BK14" s="52"/>
      <c r="BL14" s="57">
        <f t="shared" si="13"/>
        <v>0</v>
      </c>
      <c r="BM14" s="55">
        <v>0</v>
      </c>
      <c r="BN14" s="55">
        <f t="shared" si="14"/>
        <v>0</v>
      </c>
      <c r="BO14" s="95"/>
      <c r="BQ14" s="55" t="s">
        <v>6</v>
      </c>
      <c r="BR14" s="55">
        <v>6</v>
      </c>
      <c r="BS14" s="52"/>
      <c r="BT14" s="52"/>
      <c r="BU14" s="52"/>
      <c r="BV14" s="52"/>
      <c r="BW14" s="52">
        <f t="shared" si="24"/>
        <v>0</v>
      </c>
      <c r="BX14" s="56"/>
      <c r="BY14" s="52"/>
      <c r="BZ14" s="57">
        <f t="shared" si="25"/>
        <v>0</v>
      </c>
      <c r="CA14" s="55"/>
      <c r="CB14" s="55">
        <f t="shared" si="26"/>
        <v>0</v>
      </c>
      <c r="CC14" s="95"/>
      <c r="CD14" s="55" t="s">
        <v>6</v>
      </c>
      <c r="CE14" s="55">
        <v>6</v>
      </c>
      <c r="CF14" s="52"/>
      <c r="CG14" s="52"/>
      <c r="CH14" s="52"/>
      <c r="CI14" s="52"/>
      <c r="CJ14" s="52">
        <f t="shared" si="15"/>
        <v>0</v>
      </c>
      <c r="CK14" s="56"/>
      <c r="CL14" s="52"/>
      <c r="CM14" s="57">
        <f t="shared" si="16"/>
        <v>0</v>
      </c>
      <c r="CN14" s="55"/>
      <c r="CO14" s="55">
        <f t="shared" si="17"/>
        <v>0</v>
      </c>
      <c r="CP14" s="95"/>
      <c r="CR14" s="55" t="s">
        <v>6</v>
      </c>
      <c r="CS14" s="55">
        <v>6</v>
      </c>
      <c r="CT14" s="52"/>
      <c r="CU14" s="52"/>
      <c r="CV14" s="52">
        <v>9.09</v>
      </c>
      <c r="CW14" s="52">
        <v>12.09</v>
      </c>
      <c r="CX14" s="52">
        <f t="shared" si="18"/>
        <v>3</v>
      </c>
      <c r="CY14" s="56"/>
      <c r="CZ14" s="52"/>
      <c r="DA14" s="57">
        <f t="shared" si="19"/>
        <v>3</v>
      </c>
      <c r="DB14" s="55">
        <v>3</v>
      </c>
      <c r="DC14" s="55">
        <f t="shared" si="20"/>
        <v>0</v>
      </c>
      <c r="DD14" s="95"/>
      <c r="DF14" s="55" t="s">
        <v>6</v>
      </c>
      <c r="DG14" s="55">
        <v>6</v>
      </c>
      <c r="DH14" s="52"/>
      <c r="DI14" s="52"/>
      <c r="DJ14" s="52">
        <v>9.0500000000000007</v>
      </c>
      <c r="DK14" s="52">
        <v>12.1</v>
      </c>
      <c r="DL14" s="52">
        <f t="shared" si="21"/>
        <v>3.0499999999999989</v>
      </c>
      <c r="DM14" s="56"/>
      <c r="DN14" s="52"/>
      <c r="DO14" s="57">
        <f t="shared" si="22"/>
        <v>3.0499999999999989</v>
      </c>
      <c r="DP14" s="55">
        <v>3</v>
      </c>
      <c r="DQ14" s="55">
        <f t="shared" si="23"/>
        <v>4.9999999999998934</v>
      </c>
      <c r="DR14" s="95"/>
    </row>
    <row r="15" spans="1:123" ht="17.149999999999999" customHeight="1" x14ac:dyDescent="0.35">
      <c r="A15" s="86" t="s">
        <v>1</v>
      </c>
      <c r="B15" s="94">
        <v>7</v>
      </c>
      <c r="C15" s="58">
        <v>7.15</v>
      </c>
      <c r="D15" s="96"/>
      <c r="E15" s="96"/>
      <c r="F15" s="53">
        <v>19.600000000000001</v>
      </c>
      <c r="G15" s="58">
        <f t="shared" si="0"/>
        <v>12.450000000000001</v>
      </c>
      <c r="H15" s="97">
        <v>7.3</v>
      </c>
      <c r="I15" s="58">
        <v>1</v>
      </c>
      <c r="J15" s="59">
        <f t="shared" si="1"/>
        <v>4.1500000000000012</v>
      </c>
      <c r="K15" s="86">
        <v>4</v>
      </c>
      <c r="L15" s="86">
        <f t="shared" si="2"/>
        <v>15.000000000000124</v>
      </c>
      <c r="M15" s="98"/>
      <c r="O15" s="86" t="s">
        <v>1</v>
      </c>
      <c r="P15" s="94">
        <v>7</v>
      </c>
      <c r="Q15" s="58">
        <v>7.3</v>
      </c>
      <c r="R15" s="96"/>
      <c r="S15" s="96"/>
      <c r="T15" s="53">
        <v>19.600000000000001</v>
      </c>
      <c r="U15" s="58">
        <f t="shared" si="3"/>
        <v>12.3</v>
      </c>
      <c r="V15" s="97">
        <v>7.3</v>
      </c>
      <c r="W15" s="58">
        <v>1.4</v>
      </c>
      <c r="X15" s="59">
        <f t="shared" si="4"/>
        <v>3.600000000000001</v>
      </c>
      <c r="Y15" s="86">
        <v>3</v>
      </c>
      <c r="Z15" s="86">
        <f t="shared" si="5"/>
        <v>60.000000000000099</v>
      </c>
      <c r="AA15" s="98"/>
      <c r="AB15" s="86" t="s">
        <v>1</v>
      </c>
      <c r="AC15" s="94">
        <v>7</v>
      </c>
      <c r="AD15" s="58">
        <v>7.15</v>
      </c>
      <c r="AE15" s="96"/>
      <c r="AF15" s="96"/>
      <c r="AG15" s="53">
        <v>19.600000000000001</v>
      </c>
      <c r="AH15" s="58">
        <f t="shared" si="6"/>
        <v>12.450000000000001</v>
      </c>
      <c r="AI15" s="97">
        <v>7.3</v>
      </c>
      <c r="AJ15" s="58">
        <v>1</v>
      </c>
      <c r="AK15" s="59">
        <f t="shared" si="7"/>
        <v>4.1500000000000012</v>
      </c>
      <c r="AL15" s="86">
        <v>4</v>
      </c>
      <c r="AM15" s="86">
        <f t="shared" si="8"/>
        <v>15.000000000000124</v>
      </c>
      <c r="AN15" s="98"/>
      <c r="AP15" s="86" t="s">
        <v>1</v>
      </c>
      <c r="AQ15" s="94">
        <v>7</v>
      </c>
      <c r="AR15" s="58">
        <v>7.1</v>
      </c>
      <c r="AS15" s="96"/>
      <c r="AT15" s="96"/>
      <c r="AU15" s="53">
        <v>19.739999999999998</v>
      </c>
      <c r="AV15" s="58">
        <f t="shared" si="9"/>
        <v>12.639999999999999</v>
      </c>
      <c r="AW15" s="97">
        <v>7.3</v>
      </c>
      <c r="AX15" s="58">
        <v>1</v>
      </c>
      <c r="AY15" s="59">
        <f t="shared" si="10"/>
        <v>4.339999999999999</v>
      </c>
      <c r="AZ15" s="86">
        <v>4</v>
      </c>
      <c r="BA15" s="86">
        <f t="shared" si="11"/>
        <v>33.999999999999901</v>
      </c>
      <c r="BB15" s="98"/>
      <c r="BC15" s="86" t="s">
        <v>1</v>
      </c>
      <c r="BD15" s="94">
        <v>7</v>
      </c>
      <c r="BE15" s="58">
        <v>7.15</v>
      </c>
      <c r="BF15" s="96"/>
      <c r="BG15" s="96"/>
      <c r="BH15" s="53">
        <v>19.73</v>
      </c>
      <c r="BI15" s="58">
        <f t="shared" si="12"/>
        <v>12.58</v>
      </c>
      <c r="BJ15" s="97">
        <v>7.3</v>
      </c>
      <c r="BK15" s="58">
        <v>1</v>
      </c>
      <c r="BL15" s="59">
        <f t="shared" si="13"/>
        <v>4.28</v>
      </c>
      <c r="BM15" s="86">
        <v>4</v>
      </c>
      <c r="BN15" s="86">
        <f t="shared" si="14"/>
        <v>28.000000000000025</v>
      </c>
      <c r="BO15" s="98"/>
      <c r="BQ15" s="86" t="s">
        <v>1</v>
      </c>
      <c r="BR15" s="94">
        <v>7</v>
      </c>
      <c r="BS15" s="58">
        <v>7.1</v>
      </c>
      <c r="BT15" s="96"/>
      <c r="BU15" s="96"/>
      <c r="BV15" s="53">
        <v>19.62</v>
      </c>
      <c r="BW15" s="58">
        <f t="shared" si="24"/>
        <v>12.520000000000001</v>
      </c>
      <c r="BX15" s="97">
        <v>7.3</v>
      </c>
      <c r="BY15" s="58">
        <v>1</v>
      </c>
      <c r="BZ15" s="59">
        <f t="shared" si="25"/>
        <v>4.2200000000000015</v>
      </c>
      <c r="CA15" s="86">
        <v>4</v>
      </c>
      <c r="CB15" s="86">
        <f t="shared" si="26"/>
        <v>22.000000000000153</v>
      </c>
      <c r="CC15" s="98"/>
      <c r="CD15" s="86" t="s">
        <v>1</v>
      </c>
      <c r="CE15" s="94">
        <v>7</v>
      </c>
      <c r="CF15" s="58">
        <v>7.15</v>
      </c>
      <c r="CG15" s="96"/>
      <c r="CH15" s="96"/>
      <c r="CI15" s="53">
        <v>19.600000000000001</v>
      </c>
      <c r="CJ15" s="58">
        <f t="shared" si="15"/>
        <v>12.450000000000001</v>
      </c>
      <c r="CK15" s="97">
        <v>7.3</v>
      </c>
      <c r="CL15" s="58">
        <v>1</v>
      </c>
      <c r="CM15" s="59">
        <f t="shared" si="16"/>
        <v>4.1500000000000012</v>
      </c>
      <c r="CN15" s="86">
        <v>4</v>
      </c>
      <c r="CO15" s="86">
        <f t="shared" si="17"/>
        <v>15.000000000000124</v>
      </c>
      <c r="CP15" s="98"/>
      <c r="CR15" s="86" t="s">
        <v>1</v>
      </c>
      <c r="CS15" s="94">
        <v>7</v>
      </c>
      <c r="CT15" s="58">
        <v>7.15</v>
      </c>
      <c r="CU15" s="96"/>
      <c r="CV15" s="96"/>
      <c r="CW15" s="53">
        <v>19.600000000000001</v>
      </c>
      <c r="CX15" s="58">
        <f t="shared" si="18"/>
        <v>12.450000000000001</v>
      </c>
      <c r="CY15" s="97">
        <v>7.3</v>
      </c>
      <c r="CZ15" s="58">
        <v>1</v>
      </c>
      <c r="DA15" s="59">
        <f t="shared" si="19"/>
        <v>4.1500000000000012</v>
      </c>
      <c r="DB15" s="86">
        <v>4</v>
      </c>
      <c r="DC15" s="86">
        <f t="shared" si="20"/>
        <v>15.000000000000124</v>
      </c>
      <c r="DD15" s="98"/>
      <c r="DF15" s="86" t="s">
        <v>1</v>
      </c>
      <c r="DG15" s="94">
        <v>7</v>
      </c>
      <c r="DH15" s="58">
        <v>7.05</v>
      </c>
      <c r="DI15" s="96"/>
      <c r="DJ15" s="96"/>
      <c r="DK15" s="53">
        <v>19.600000000000001</v>
      </c>
      <c r="DL15" s="58">
        <f t="shared" si="21"/>
        <v>12.55</v>
      </c>
      <c r="DM15" s="97">
        <v>7.3</v>
      </c>
      <c r="DN15" s="58">
        <v>1</v>
      </c>
      <c r="DO15" s="59">
        <f t="shared" si="22"/>
        <v>4.2500000000000009</v>
      </c>
      <c r="DP15" s="86">
        <v>4</v>
      </c>
      <c r="DQ15" s="86">
        <f t="shared" si="23"/>
        <v>25.000000000000089</v>
      </c>
      <c r="DR15" s="98"/>
    </row>
    <row r="16" spans="1:123" ht="17.149999999999999" customHeight="1" x14ac:dyDescent="0.35">
      <c r="A16" s="86" t="s">
        <v>216</v>
      </c>
      <c r="B16" s="86">
        <v>8</v>
      </c>
      <c r="C16" s="58">
        <v>7.15</v>
      </c>
      <c r="D16" s="96"/>
      <c r="E16" s="96"/>
      <c r="F16" s="53">
        <v>18.96</v>
      </c>
      <c r="G16" s="58">
        <f t="shared" si="0"/>
        <v>11.81</v>
      </c>
      <c r="H16" s="97">
        <v>7.3</v>
      </c>
      <c r="I16" s="58">
        <v>1</v>
      </c>
      <c r="J16" s="59">
        <f t="shared" si="1"/>
        <v>3.5100000000000007</v>
      </c>
      <c r="K16" s="86">
        <v>3</v>
      </c>
      <c r="L16" s="86">
        <f t="shared" si="2"/>
        <v>51.000000000000071</v>
      </c>
      <c r="M16" s="87"/>
      <c r="O16" s="86" t="s">
        <v>216</v>
      </c>
      <c r="P16" s="86">
        <v>8</v>
      </c>
      <c r="Q16" s="58">
        <v>7.3</v>
      </c>
      <c r="R16" s="96"/>
      <c r="S16" s="96"/>
      <c r="T16" s="53">
        <v>19.93</v>
      </c>
      <c r="U16" s="58">
        <f t="shared" si="3"/>
        <v>12.629999999999999</v>
      </c>
      <c r="V16" s="97">
        <v>7.3</v>
      </c>
      <c r="W16" s="58">
        <v>1</v>
      </c>
      <c r="X16" s="59">
        <f t="shared" si="4"/>
        <v>4.3299999999999992</v>
      </c>
      <c r="Y16" s="86">
        <v>4</v>
      </c>
      <c r="Z16" s="86">
        <f t="shared" si="5"/>
        <v>32.999999999999915</v>
      </c>
      <c r="AA16" s="87"/>
      <c r="AB16" s="86" t="s">
        <v>216</v>
      </c>
      <c r="AC16" s="86">
        <v>8</v>
      </c>
      <c r="AD16" s="58"/>
      <c r="AE16" s="96"/>
      <c r="AF16" s="96"/>
      <c r="AG16" s="53"/>
      <c r="AH16" s="58"/>
      <c r="AI16" s="97"/>
      <c r="AJ16" s="58"/>
      <c r="AK16" s="59"/>
      <c r="AL16" s="86"/>
      <c r="AM16" s="86"/>
      <c r="AN16" s="98" t="s">
        <v>227</v>
      </c>
      <c r="AP16" s="86" t="s">
        <v>216</v>
      </c>
      <c r="AQ16" s="86">
        <v>8</v>
      </c>
      <c r="AR16" s="58">
        <v>7.1</v>
      </c>
      <c r="AS16" s="96"/>
      <c r="AT16" s="96"/>
      <c r="AU16" s="53">
        <v>19.940000000000001</v>
      </c>
      <c r="AV16" s="58">
        <f t="shared" si="9"/>
        <v>12.840000000000002</v>
      </c>
      <c r="AW16" s="97">
        <v>7.3</v>
      </c>
      <c r="AX16" s="58">
        <v>1.4</v>
      </c>
      <c r="AY16" s="59">
        <f t="shared" si="10"/>
        <v>4.1400000000000023</v>
      </c>
      <c r="AZ16" s="86">
        <v>4</v>
      </c>
      <c r="BA16" s="86">
        <f t="shared" si="11"/>
        <v>14.000000000000234</v>
      </c>
      <c r="BB16" s="87"/>
      <c r="BC16" s="86" t="s">
        <v>216</v>
      </c>
      <c r="BD16" s="86">
        <v>8</v>
      </c>
      <c r="BE16" s="58">
        <v>7.15</v>
      </c>
      <c r="BF16" s="96"/>
      <c r="BG16" s="96"/>
      <c r="BH16" s="53">
        <v>19.95</v>
      </c>
      <c r="BI16" s="58">
        <f t="shared" si="12"/>
        <v>12.799999999999999</v>
      </c>
      <c r="BJ16" s="97">
        <v>7.3</v>
      </c>
      <c r="BK16" s="58">
        <v>1</v>
      </c>
      <c r="BL16" s="59">
        <f t="shared" si="13"/>
        <v>4.4999999999999991</v>
      </c>
      <c r="BM16" s="86">
        <v>4</v>
      </c>
      <c r="BN16" s="86">
        <f t="shared" si="14"/>
        <v>49.999999999999915</v>
      </c>
      <c r="BO16" s="87"/>
      <c r="BQ16" s="86" t="s">
        <v>216</v>
      </c>
      <c r="BR16" s="86">
        <v>8</v>
      </c>
      <c r="BS16" s="58">
        <v>7.1</v>
      </c>
      <c r="BT16" s="96"/>
      <c r="BU16" s="96"/>
      <c r="BV16" s="53">
        <v>18.989999999999998</v>
      </c>
      <c r="BW16" s="58">
        <f t="shared" si="24"/>
        <v>11.889999999999999</v>
      </c>
      <c r="BX16" s="97">
        <v>7.3</v>
      </c>
      <c r="BY16" s="58">
        <v>1.4</v>
      </c>
      <c r="BZ16" s="59">
        <f t="shared" si="25"/>
        <v>3.1899999999999991</v>
      </c>
      <c r="CA16" s="86">
        <v>3</v>
      </c>
      <c r="CB16" s="86">
        <f t="shared" si="26"/>
        <v>18.999999999999908</v>
      </c>
      <c r="CC16" s="87"/>
      <c r="CD16" s="86" t="s">
        <v>216</v>
      </c>
      <c r="CE16" s="86">
        <v>8</v>
      </c>
      <c r="CF16" s="58">
        <v>7.15</v>
      </c>
      <c r="CG16" s="96"/>
      <c r="CH16" s="96"/>
      <c r="CI16" s="53">
        <v>18.96</v>
      </c>
      <c r="CJ16" s="58">
        <f t="shared" si="15"/>
        <v>11.81</v>
      </c>
      <c r="CK16" s="97">
        <v>7.3</v>
      </c>
      <c r="CL16" s="58">
        <v>1</v>
      </c>
      <c r="CM16" s="59">
        <f t="shared" si="16"/>
        <v>3.5100000000000007</v>
      </c>
      <c r="CN16" s="86">
        <v>3</v>
      </c>
      <c r="CO16" s="86">
        <f t="shared" si="17"/>
        <v>51.000000000000071</v>
      </c>
      <c r="CP16" s="87"/>
      <c r="CR16" s="86" t="s">
        <v>216</v>
      </c>
      <c r="CS16" s="86">
        <v>8</v>
      </c>
      <c r="CT16" s="58">
        <v>7.15</v>
      </c>
      <c r="CU16" s="96"/>
      <c r="CV16" s="96"/>
      <c r="CW16" s="53">
        <v>18.96</v>
      </c>
      <c r="CX16" s="58">
        <f t="shared" si="18"/>
        <v>11.81</v>
      </c>
      <c r="CY16" s="97">
        <v>7.3</v>
      </c>
      <c r="CZ16" s="58">
        <v>1</v>
      </c>
      <c r="DA16" s="59">
        <f t="shared" si="19"/>
        <v>3.5100000000000007</v>
      </c>
      <c r="DB16" s="86">
        <v>3</v>
      </c>
      <c r="DC16" s="86">
        <f t="shared" si="20"/>
        <v>51.000000000000071</v>
      </c>
      <c r="DD16" s="87"/>
      <c r="DF16" s="86" t="s">
        <v>216</v>
      </c>
      <c r="DG16" s="86">
        <v>8</v>
      </c>
      <c r="DH16" s="58">
        <v>7.05</v>
      </c>
      <c r="DI16" s="96"/>
      <c r="DJ16" s="96"/>
      <c r="DK16" s="53">
        <v>18.96</v>
      </c>
      <c r="DL16" s="58">
        <f t="shared" si="21"/>
        <v>11.91</v>
      </c>
      <c r="DM16" s="97">
        <v>7.3</v>
      </c>
      <c r="DN16" s="58">
        <v>1</v>
      </c>
      <c r="DO16" s="59">
        <f t="shared" si="22"/>
        <v>3.6100000000000003</v>
      </c>
      <c r="DP16" s="86">
        <v>3</v>
      </c>
      <c r="DQ16" s="86">
        <f t="shared" si="23"/>
        <v>61.000000000000028</v>
      </c>
      <c r="DR16" s="87"/>
    </row>
    <row r="17" spans="1:123" ht="17.149999999999999" customHeight="1" x14ac:dyDescent="0.35">
      <c r="A17" s="86" t="s">
        <v>2</v>
      </c>
      <c r="B17" s="86">
        <v>9</v>
      </c>
      <c r="C17" s="58">
        <v>7.15</v>
      </c>
      <c r="D17" s="96"/>
      <c r="E17" s="96"/>
      <c r="F17" s="53">
        <v>18.62</v>
      </c>
      <c r="G17" s="58">
        <f t="shared" si="0"/>
        <v>11.47</v>
      </c>
      <c r="H17" s="97">
        <v>7.3</v>
      </c>
      <c r="I17" s="58">
        <v>1</v>
      </c>
      <c r="J17" s="59">
        <f t="shared" si="1"/>
        <v>3.1700000000000008</v>
      </c>
      <c r="K17" s="86">
        <v>3</v>
      </c>
      <c r="L17" s="86">
        <f t="shared" si="2"/>
        <v>17.000000000000082</v>
      </c>
      <c r="M17" s="98"/>
      <c r="O17" s="86" t="s">
        <v>2</v>
      </c>
      <c r="P17" s="86">
        <v>9</v>
      </c>
      <c r="Q17" s="58">
        <v>7.3</v>
      </c>
      <c r="R17" s="96"/>
      <c r="S17" s="96"/>
      <c r="T17" s="53">
        <v>18.940000000000001</v>
      </c>
      <c r="U17" s="58">
        <f t="shared" si="3"/>
        <v>11.64</v>
      </c>
      <c r="V17" s="97">
        <v>7.3</v>
      </c>
      <c r="W17" s="58">
        <v>1</v>
      </c>
      <c r="X17" s="59">
        <f t="shared" si="4"/>
        <v>3.3400000000000007</v>
      </c>
      <c r="Y17" s="86">
        <v>3</v>
      </c>
      <c r="Z17" s="86">
        <f t="shared" si="5"/>
        <v>34.000000000000071</v>
      </c>
      <c r="AA17" s="98"/>
      <c r="AB17" s="86" t="s">
        <v>2</v>
      </c>
      <c r="AC17" s="86">
        <v>9</v>
      </c>
      <c r="AD17" s="58">
        <v>7.15</v>
      </c>
      <c r="AE17" s="96"/>
      <c r="AF17" s="96"/>
      <c r="AG17" s="53">
        <v>18.62</v>
      </c>
      <c r="AH17" s="58">
        <f t="shared" si="6"/>
        <v>11.47</v>
      </c>
      <c r="AI17" s="97">
        <v>7.3</v>
      </c>
      <c r="AJ17" s="58">
        <v>1</v>
      </c>
      <c r="AK17" s="59">
        <f t="shared" si="7"/>
        <v>3.1700000000000008</v>
      </c>
      <c r="AL17" s="86">
        <v>3</v>
      </c>
      <c r="AM17" s="86">
        <f t="shared" si="8"/>
        <v>17.000000000000082</v>
      </c>
      <c r="AN17" s="98"/>
      <c r="AP17" s="86" t="s">
        <v>2</v>
      </c>
      <c r="AQ17" s="86">
        <v>9</v>
      </c>
      <c r="AR17" s="58">
        <v>7.1</v>
      </c>
      <c r="AS17" s="96"/>
      <c r="AT17" s="96"/>
      <c r="AU17" s="53">
        <v>18.95</v>
      </c>
      <c r="AV17" s="58">
        <f t="shared" si="9"/>
        <v>11.85</v>
      </c>
      <c r="AW17" s="97">
        <v>7.3</v>
      </c>
      <c r="AX17" s="58">
        <v>1</v>
      </c>
      <c r="AY17" s="59">
        <f t="shared" si="10"/>
        <v>3.55</v>
      </c>
      <c r="AZ17" s="86">
        <v>3</v>
      </c>
      <c r="BA17" s="86">
        <f t="shared" si="11"/>
        <v>54.999999999999986</v>
      </c>
      <c r="BB17" s="98"/>
      <c r="BC17" s="86" t="s">
        <v>2</v>
      </c>
      <c r="BD17" s="86">
        <v>9</v>
      </c>
      <c r="BE17" s="58">
        <v>7.15</v>
      </c>
      <c r="BF17" s="96"/>
      <c r="BG17" s="96"/>
      <c r="BH17" s="53">
        <v>18.97</v>
      </c>
      <c r="BI17" s="58">
        <f t="shared" si="12"/>
        <v>11.819999999999999</v>
      </c>
      <c r="BJ17" s="97">
        <v>7.3</v>
      </c>
      <c r="BK17" s="58">
        <v>1</v>
      </c>
      <c r="BL17" s="59">
        <f t="shared" si="13"/>
        <v>3.5199999999999987</v>
      </c>
      <c r="BM17" s="86">
        <v>3</v>
      </c>
      <c r="BN17" s="86">
        <f t="shared" si="14"/>
        <v>51.999999999999872</v>
      </c>
      <c r="BO17" s="98"/>
      <c r="BQ17" s="86" t="s">
        <v>2</v>
      </c>
      <c r="BR17" s="86">
        <v>9</v>
      </c>
      <c r="BS17" s="58">
        <v>7.1</v>
      </c>
      <c r="BT17" s="96"/>
      <c r="BU17" s="96"/>
      <c r="BV17" s="53">
        <v>18.940000000000001</v>
      </c>
      <c r="BW17" s="58">
        <f t="shared" si="24"/>
        <v>11.840000000000002</v>
      </c>
      <c r="BX17" s="97">
        <v>7.3</v>
      </c>
      <c r="BY17" s="58">
        <v>1</v>
      </c>
      <c r="BZ17" s="59">
        <f t="shared" si="25"/>
        <v>3.5400000000000018</v>
      </c>
      <c r="CA17" s="86">
        <v>3</v>
      </c>
      <c r="CB17" s="86">
        <f t="shared" si="26"/>
        <v>54.000000000000185</v>
      </c>
      <c r="CC17" s="98"/>
      <c r="CD17" s="86" t="s">
        <v>2</v>
      </c>
      <c r="CE17" s="86">
        <v>9</v>
      </c>
      <c r="CF17" s="58">
        <v>7.15</v>
      </c>
      <c r="CG17" s="96"/>
      <c r="CH17" s="96"/>
      <c r="CI17" s="53">
        <v>18.96</v>
      </c>
      <c r="CJ17" s="58">
        <f t="shared" ref="CJ17" si="27">SUM(CG17-CF17)+(CI17-CH17)</f>
        <v>11.81</v>
      </c>
      <c r="CK17" s="97">
        <v>7.3</v>
      </c>
      <c r="CL17" s="58">
        <v>1</v>
      </c>
      <c r="CM17" s="59">
        <f t="shared" ref="CM17" si="28">SUM((CJ17-CK17)-CL17)</f>
        <v>3.5100000000000007</v>
      </c>
      <c r="CN17" s="86">
        <v>3</v>
      </c>
      <c r="CO17" s="86">
        <f t="shared" ref="CO17" si="29">SUM(CM17-CN17)*100</f>
        <v>51.000000000000071</v>
      </c>
      <c r="CP17" s="87"/>
      <c r="CR17" s="86" t="s">
        <v>2</v>
      </c>
      <c r="CS17" s="86">
        <v>9</v>
      </c>
      <c r="CT17" s="58"/>
      <c r="CU17" s="96"/>
      <c r="CV17" s="96"/>
      <c r="CW17" s="53"/>
      <c r="CX17" s="58"/>
      <c r="CY17" s="97"/>
      <c r="CZ17" s="58"/>
      <c r="DA17" s="59"/>
      <c r="DB17" s="86"/>
      <c r="DC17" s="86"/>
      <c r="DD17" s="98" t="s">
        <v>227</v>
      </c>
      <c r="DF17" s="86" t="s">
        <v>2</v>
      </c>
      <c r="DG17" s="86">
        <v>9</v>
      </c>
      <c r="DH17" s="58">
        <v>7.05</v>
      </c>
      <c r="DI17" s="96"/>
      <c r="DJ17" s="96"/>
      <c r="DK17" s="53">
        <v>18.62</v>
      </c>
      <c r="DL17" s="58">
        <f t="shared" si="21"/>
        <v>11.57</v>
      </c>
      <c r="DM17" s="97">
        <v>7.3</v>
      </c>
      <c r="DN17" s="58">
        <v>1</v>
      </c>
      <c r="DO17" s="59">
        <f t="shared" si="22"/>
        <v>3.2700000000000005</v>
      </c>
      <c r="DP17" s="86">
        <v>3</v>
      </c>
      <c r="DQ17" s="86">
        <f t="shared" si="23"/>
        <v>27.000000000000046</v>
      </c>
      <c r="DR17" s="98"/>
    </row>
    <row r="18" spans="1:123" s="54" customFormat="1" ht="17.149999999999999" customHeight="1" x14ac:dyDescent="0.35">
      <c r="A18" s="86" t="s">
        <v>225</v>
      </c>
      <c r="B18" s="86">
        <v>10</v>
      </c>
      <c r="C18" s="58">
        <v>7.15</v>
      </c>
      <c r="D18" s="96"/>
      <c r="E18" s="96"/>
      <c r="F18" s="53">
        <v>18.600000000000001</v>
      </c>
      <c r="G18" s="58">
        <f t="shared" si="0"/>
        <v>11.450000000000001</v>
      </c>
      <c r="H18" s="97">
        <v>7.3</v>
      </c>
      <c r="I18" s="58">
        <v>1</v>
      </c>
      <c r="J18" s="59">
        <f t="shared" si="1"/>
        <v>3.1500000000000012</v>
      </c>
      <c r="K18" s="86">
        <v>3</v>
      </c>
      <c r="L18" s="86">
        <f t="shared" si="2"/>
        <v>15.000000000000124</v>
      </c>
      <c r="M18" s="98"/>
      <c r="N18"/>
      <c r="O18" s="86" t="s">
        <v>225</v>
      </c>
      <c r="P18" s="86">
        <v>10</v>
      </c>
      <c r="Q18" s="58">
        <v>7.3</v>
      </c>
      <c r="R18" s="96"/>
      <c r="S18" s="96"/>
      <c r="T18" s="53">
        <v>19.760000000000002</v>
      </c>
      <c r="U18" s="58">
        <f t="shared" si="3"/>
        <v>12.46</v>
      </c>
      <c r="V18" s="97">
        <v>7.3</v>
      </c>
      <c r="W18" s="58">
        <v>1</v>
      </c>
      <c r="X18" s="59">
        <f t="shared" si="4"/>
        <v>4.160000000000001</v>
      </c>
      <c r="Y18" s="86">
        <v>4</v>
      </c>
      <c r="Z18" s="86">
        <f t="shared" si="5"/>
        <v>16.000000000000103</v>
      </c>
      <c r="AA18" s="98"/>
      <c r="AB18" s="86" t="s">
        <v>225</v>
      </c>
      <c r="AC18" s="86">
        <v>10</v>
      </c>
      <c r="AD18" s="58">
        <v>7.15</v>
      </c>
      <c r="AE18" s="96"/>
      <c r="AF18" s="96"/>
      <c r="AG18" s="53">
        <v>18.600000000000001</v>
      </c>
      <c r="AH18" s="58">
        <f t="shared" si="6"/>
        <v>11.450000000000001</v>
      </c>
      <c r="AI18" s="97">
        <v>7.3</v>
      </c>
      <c r="AJ18" s="58">
        <v>1</v>
      </c>
      <c r="AK18" s="59">
        <f t="shared" si="7"/>
        <v>3.1500000000000012</v>
      </c>
      <c r="AL18" s="86">
        <v>3</v>
      </c>
      <c r="AM18" s="86">
        <f t="shared" si="8"/>
        <v>15.000000000000124</v>
      </c>
      <c r="AN18" s="98"/>
      <c r="AO18"/>
      <c r="AP18" s="86" t="s">
        <v>225</v>
      </c>
      <c r="AQ18" s="86">
        <v>10</v>
      </c>
      <c r="AR18" s="58">
        <v>7.1</v>
      </c>
      <c r="AS18" s="96"/>
      <c r="AT18" s="96"/>
      <c r="AU18" s="53">
        <v>19.77</v>
      </c>
      <c r="AV18" s="58">
        <f t="shared" si="9"/>
        <v>12.67</v>
      </c>
      <c r="AW18" s="97">
        <v>7.3</v>
      </c>
      <c r="AX18" s="58">
        <v>1</v>
      </c>
      <c r="AY18" s="59">
        <f t="shared" si="10"/>
        <v>4.37</v>
      </c>
      <c r="AZ18" s="86">
        <v>4</v>
      </c>
      <c r="BA18" s="86">
        <f t="shared" si="11"/>
        <v>37.000000000000014</v>
      </c>
      <c r="BB18" s="98"/>
      <c r="BC18" s="86" t="s">
        <v>225</v>
      </c>
      <c r="BD18" s="86">
        <v>10</v>
      </c>
      <c r="BE18" s="58">
        <v>7.15</v>
      </c>
      <c r="BF18" s="96"/>
      <c r="BG18" s="96"/>
      <c r="BH18" s="53">
        <v>19.77</v>
      </c>
      <c r="BI18" s="58">
        <f t="shared" si="12"/>
        <v>12.62</v>
      </c>
      <c r="BJ18" s="97">
        <v>7.3</v>
      </c>
      <c r="BK18" s="58">
        <v>1</v>
      </c>
      <c r="BL18" s="59">
        <f t="shared" si="13"/>
        <v>4.3199999999999994</v>
      </c>
      <c r="BM18" s="86">
        <v>4</v>
      </c>
      <c r="BN18" s="86">
        <f t="shared" si="14"/>
        <v>31.99999999999994</v>
      </c>
      <c r="BO18" s="98"/>
      <c r="BP18"/>
      <c r="BQ18" s="86" t="s">
        <v>225</v>
      </c>
      <c r="BR18" s="86">
        <v>10</v>
      </c>
      <c r="BS18" s="58">
        <v>7.1</v>
      </c>
      <c r="BT18" s="96"/>
      <c r="BU18" s="96"/>
      <c r="BV18" s="53">
        <v>18.64</v>
      </c>
      <c r="BW18" s="58">
        <f t="shared" si="24"/>
        <v>11.540000000000001</v>
      </c>
      <c r="BX18" s="97">
        <v>7.3</v>
      </c>
      <c r="BY18" s="58">
        <v>1</v>
      </c>
      <c r="BZ18" s="59">
        <f t="shared" si="25"/>
        <v>3.2400000000000011</v>
      </c>
      <c r="CA18" s="86">
        <v>3</v>
      </c>
      <c r="CB18" s="86">
        <f t="shared" si="26"/>
        <v>24.00000000000011</v>
      </c>
      <c r="CC18" s="98"/>
      <c r="CD18" s="86" t="s">
        <v>225</v>
      </c>
      <c r="CE18" s="86">
        <v>10</v>
      </c>
      <c r="CF18" s="58">
        <v>7.15</v>
      </c>
      <c r="CG18" s="96"/>
      <c r="CH18" s="96"/>
      <c r="CI18" s="53">
        <v>18.62</v>
      </c>
      <c r="CJ18" s="58">
        <f t="shared" si="15"/>
        <v>11.47</v>
      </c>
      <c r="CK18" s="97">
        <v>7.3</v>
      </c>
      <c r="CL18" s="58">
        <v>1</v>
      </c>
      <c r="CM18" s="59">
        <f t="shared" si="16"/>
        <v>3.1700000000000008</v>
      </c>
      <c r="CN18" s="86">
        <v>3</v>
      </c>
      <c r="CO18" s="86">
        <f t="shared" si="17"/>
        <v>17.000000000000082</v>
      </c>
      <c r="CP18" s="98"/>
      <c r="CQ18"/>
      <c r="CR18" s="86" t="s">
        <v>225</v>
      </c>
      <c r="CS18" s="86">
        <v>10</v>
      </c>
      <c r="CT18" s="58">
        <v>7.15</v>
      </c>
      <c r="CU18" s="96"/>
      <c r="CV18" s="96"/>
      <c r="CW18" s="53">
        <v>18.62</v>
      </c>
      <c r="CX18" s="58">
        <f t="shared" ref="CX18:CX38" si="30">SUM(CU18-CT18)+(CW18-CV18)</f>
        <v>11.47</v>
      </c>
      <c r="CY18" s="97">
        <v>7.3</v>
      </c>
      <c r="CZ18" s="58">
        <v>1</v>
      </c>
      <c r="DA18" s="59">
        <f t="shared" ref="DA18:DA38" si="31">SUM((CX18-CY18)-CZ18)</f>
        <v>3.1700000000000008</v>
      </c>
      <c r="DB18" s="86">
        <v>3</v>
      </c>
      <c r="DC18" s="86">
        <f t="shared" ref="DC18:DC38" si="32">SUM(DA18-DB18)*100</f>
        <v>17.000000000000082</v>
      </c>
      <c r="DD18" s="98"/>
      <c r="DE18"/>
      <c r="DF18" s="86" t="s">
        <v>225</v>
      </c>
      <c r="DG18" s="86">
        <v>10</v>
      </c>
      <c r="DH18" s="58">
        <v>7.05</v>
      </c>
      <c r="DI18" s="96"/>
      <c r="DJ18" s="96"/>
      <c r="DK18" s="53">
        <v>18.600000000000001</v>
      </c>
      <c r="DL18" s="58">
        <f t="shared" si="21"/>
        <v>11.55</v>
      </c>
      <c r="DM18" s="97">
        <v>7.3</v>
      </c>
      <c r="DN18" s="58">
        <v>1</v>
      </c>
      <c r="DO18" s="59">
        <f t="shared" si="22"/>
        <v>3.2500000000000009</v>
      </c>
      <c r="DP18" s="86">
        <v>3</v>
      </c>
      <c r="DQ18" s="86">
        <f t="shared" si="23"/>
        <v>25.000000000000089</v>
      </c>
      <c r="DR18" s="98"/>
      <c r="DS18"/>
    </row>
    <row r="19" spans="1:123" ht="17.149999999999999" customHeight="1" x14ac:dyDescent="0.35">
      <c r="A19" s="86" t="s">
        <v>4</v>
      </c>
      <c r="B19" s="86">
        <v>11</v>
      </c>
      <c r="C19" s="58">
        <v>7.15</v>
      </c>
      <c r="D19" s="96"/>
      <c r="E19" s="96"/>
      <c r="F19" s="53">
        <v>18.899999999999999</v>
      </c>
      <c r="G19" s="58">
        <f t="shared" si="0"/>
        <v>11.749999999999998</v>
      </c>
      <c r="H19" s="97">
        <v>7.3</v>
      </c>
      <c r="I19" s="58">
        <v>1</v>
      </c>
      <c r="J19" s="59">
        <f t="shared" si="1"/>
        <v>3.4499999999999984</v>
      </c>
      <c r="K19" s="86">
        <v>3</v>
      </c>
      <c r="L19" s="86">
        <f t="shared" si="2"/>
        <v>44.999999999999844</v>
      </c>
      <c r="M19" s="98"/>
      <c r="O19" s="86" t="s">
        <v>4</v>
      </c>
      <c r="P19" s="86">
        <v>11</v>
      </c>
      <c r="Q19" s="58">
        <v>7.3</v>
      </c>
      <c r="R19" s="96"/>
      <c r="S19" s="96"/>
      <c r="T19" s="53">
        <v>19.899999999999999</v>
      </c>
      <c r="U19" s="58">
        <f t="shared" si="3"/>
        <v>12.599999999999998</v>
      </c>
      <c r="V19" s="97">
        <v>7.3</v>
      </c>
      <c r="W19" s="58">
        <v>1</v>
      </c>
      <c r="X19" s="59">
        <f t="shared" si="4"/>
        <v>4.299999999999998</v>
      </c>
      <c r="Y19" s="86">
        <v>4</v>
      </c>
      <c r="Z19" s="86">
        <f t="shared" si="5"/>
        <v>29.999999999999805</v>
      </c>
      <c r="AA19" s="98"/>
      <c r="AB19" s="86" t="s">
        <v>4</v>
      </c>
      <c r="AC19" s="86">
        <v>11</v>
      </c>
      <c r="AD19" s="58">
        <v>7.15</v>
      </c>
      <c r="AE19" s="96"/>
      <c r="AF19" s="96"/>
      <c r="AG19" s="53">
        <v>18.899999999999999</v>
      </c>
      <c r="AH19" s="58">
        <f t="shared" si="6"/>
        <v>11.749999999999998</v>
      </c>
      <c r="AI19" s="97">
        <v>7.3</v>
      </c>
      <c r="AJ19" s="58">
        <v>1</v>
      </c>
      <c r="AK19" s="59">
        <f t="shared" si="7"/>
        <v>3.4499999999999984</v>
      </c>
      <c r="AL19" s="86">
        <v>3</v>
      </c>
      <c r="AM19" s="86">
        <f t="shared" si="8"/>
        <v>44.999999999999844</v>
      </c>
      <c r="AN19" s="98"/>
      <c r="AP19" s="86" t="s">
        <v>4</v>
      </c>
      <c r="AQ19" s="86">
        <v>11</v>
      </c>
      <c r="AR19" s="58">
        <v>7.1</v>
      </c>
      <c r="AS19" s="96"/>
      <c r="AT19" s="96"/>
      <c r="AU19" s="53">
        <v>19.899999999999999</v>
      </c>
      <c r="AV19" s="58">
        <f t="shared" si="9"/>
        <v>12.799999999999999</v>
      </c>
      <c r="AW19" s="97">
        <v>7.3</v>
      </c>
      <c r="AX19" s="58">
        <v>1.4</v>
      </c>
      <c r="AY19" s="59">
        <f t="shared" si="10"/>
        <v>4.0999999999999996</v>
      </c>
      <c r="AZ19" s="86">
        <v>4</v>
      </c>
      <c r="BA19" s="86">
        <f t="shared" si="11"/>
        <v>9.9999999999999645</v>
      </c>
      <c r="BB19" s="98"/>
      <c r="BC19" s="86" t="s">
        <v>4</v>
      </c>
      <c r="BD19" s="86">
        <v>11</v>
      </c>
      <c r="BE19" s="58">
        <v>7.15</v>
      </c>
      <c r="BF19" s="96"/>
      <c r="BG19" s="96"/>
      <c r="BH19" s="53">
        <v>19.899999999999999</v>
      </c>
      <c r="BI19" s="58">
        <f t="shared" si="12"/>
        <v>12.749999999999998</v>
      </c>
      <c r="BJ19" s="97">
        <v>7.3</v>
      </c>
      <c r="BK19" s="58">
        <v>1</v>
      </c>
      <c r="BL19" s="59">
        <f t="shared" si="13"/>
        <v>4.4499999999999984</v>
      </c>
      <c r="BM19" s="86">
        <v>4</v>
      </c>
      <c r="BN19" s="86">
        <f t="shared" si="14"/>
        <v>44.999999999999844</v>
      </c>
      <c r="BO19" s="98"/>
      <c r="BQ19" s="86" t="s">
        <v>4</v>
      </c>
      <c r="BR19" s="86">
        <v>11</v>
      </c>
      <c r="BS19" s="58">
        <v>7.1</v>
      </c>
      <c r="BT19" s="96"/>
      <c r="BU19" s="96"/>
      <c r="BV19" s="53">
        <v>18.899999999999999</v>
      </c>
      <c r="BW19" s="58">
        <f t="shared" si="24"/>
        <v>11.799999999999999</v>
      </c>
      <c r="BX19" s="97">
        <v>7.3</v>
      </c>
      <c r="BY19" s="58">
        <v>1.4</v>
      </c>
      <c r="BZ19" s="59">
        <f t="shared" si="25"/>
        <v>3.0999999999999992</v>
      </c>
      <c r="CA19" s="86">
        <v>3</v>
      </c>
      <c r="CB19" s="86">
        <f t="shared" si="26"/>
        <v>9.9999999999999201</v>
      </c>
      <c r="CC19" s="98"/>
      <c r="CD19" s="86" t="s">
        <v>4</v>
      </c>
      <c r="CE19" s="86">
        <v>11</v>
      </c>
      <c r="CF19" s="58">
        <v>7.15</v>
      </c>
      <c r="CG19" s="96"/>
      <c r="CH19" s="96"/>
      <c r="CI19" s="53">
        <v>18.899999999999999</v>
      </c>
      <c r="CJ19" s="58">
        <f t="shared" si="15"/>
        <v>11.749999999999998</v>
      </c>
      <c r="CK19" s="97">
        <v>7.3</v>
      </c>
      <c r="CL19" s="58">
        <v>1</v>
      </c>
      <c r="CM19" s="59">
        <f t="shared" si="16"/>
        <v>3.4499999999999984</v>
      </c>
      <c r="CN19" s="86">
        <v>3</v>
      </c>
      <c r="CO19" s="86">
        <f t="shared" si="17"/>
        <v>44.999999999999844</v>
      </c>
      <c r="CP19" s="98"/>
      <c r="CR19" s="86" t="s">
        <v>4</v>
      </c>
      <c r="CS19" s="86">
        <v>11</v>
      </c>
      <c r="CT19" s="58">
        <v>7.15</v>
      </c>
      <c r="CU19" s="96"/>
      <c r="CV19" s="96"/>
      <c r="CW19" s="53">
        <v>18.899999999999999</v>
      </c>
      <c r="CX19" s="58">
        <f t="shared" si="30"/>
        <v>11.749999999999998</v>
      </c>
      <c r="CY19" s="97">
        <v>7.3</v>
      </c>
      <c r="CZ19" s="58">
        <v>1</v>
      </c>
      <c r="DA19" s="59">
        <f t="shared" si="31"/>
        <v>3.4499999999999984</v>
      </c>
      <c r="DB19" s="86">
        <v>3</v>
      </c>
      <c r="DC19" s="86">
        <f t="shared" si="32"/>
        <v>44.999999999999844</v>
      </c>
      <c r="DD19" s="98"/>
      <c r="DF19" s="86" t="s">
        <v>4</v>
      </c>
      <c r="DG19" s="86">
        <v>11</v>
      </c>
      <c r="DH19" s="58">
        <v>7.05</v>
      </c>
      <c r="DI19" s="96"/>
      <c r="DJ19" s="96"/>
      <c r="DK19" s="53">
        <v>18.899999999999999</v>
      </c>
      <c r="DL19" s="58">
        <f t="shared" si="21"/>
        <v>11.849999999999998</v>
      </c>
      <c r="DM19" s="97">
        <v>7.3</v>
      </c>
      <c r="DN19" s="58">
        <v>1</v>
      </c>
      <c r="DO19" s="59">
        <f t="shared" si="22"/>
        <v>3.549999999999998</v>
      </c>
      <c r="DP19" s="86">
        <v>3</v>
      </c>
      <c r="DQ19" s="86">
        <f t="shared" si="23"/>
        <v>54.999999999999801</v>
      </c>
      <c r="DR19" s="98"/>
    </row>
    <row r="20" spans="1:123" ht="17.149999999999999" customHeight="1" x14ac:dyDescent="0.35">
      <c r="A20" s="86" t="s">
        <v>5</v>
      </c>
      <c r="B20" s="86">
        <v>12</v>
      </c>
      <c r="C20" s="58">
        <v>7.15</v>
      </c>
      <c r="D20" s="96"/>
      <c r="E20" s="96"/>
      <c r="F20" s="53">
        <v>19.670000000000002</v>
      </c>
      <c r="G20" s="58">
        <f t="shared" si="0"/>
        <v>12.520000000000001</v>
      </c>
      <c r="H20" s="97">
        <v>7.3</v>
      </c>
      <c r="I20" s="58">
        <v>1</v>
      </c>
      <c r="J20" s="59">
        <f t="shared" si="1"/>
        <v>4.2200000000000015</v>
      </c>
      <c r="K20" s="86">
        <v>4</v>
      </c>
      <c r="L20" s="86">
        <f t="shared" si="2"/>
        <v>22.000000000000153</v>
      </c>
      <c r="M20" s="98"/>
      <c r="O20" s="86" t="s">
        <v>5</v>
      </c>
      <c r="P20" s="86">
        <v>12</v>
      </c>
      <c r="Q20" s="58">
        <v>7.3</v>
      </c>
      <c r="R20" s="96"/>
      <c r="S20" s="96"/>
      <c r="T20" s="53">
        <v>19.850000000000001</v>
      </c>
      <c r="U20" s="58">
        <f t="shared" si="3"/>
        <v>12.55</v>
      </c>
      <c r="V20" s="97">
        <v>7.3</v>
      </c>
      <c r="W20" s="58">
        <v>1</v>
      </c>
      <c r="X20" s="59">
        <f t="shared" si="4"/>
        <v>4.2500000000000009</v>
      </c>
      <c r="Y20" s="86">
        <v>4</v>
      </c>
      <c r="Z20" s="86">
        <f t="shared" si="5"/>
        <v>25.000000000000089</v>
      </c>
      <c r="AA20" s="98"/>
      <c r="AB20" s="86" t="s">
        <v>5</v>
      </c>
      <c r="AC20" s="86">
        <v>12</v>
      </c>
      <c r="AD20" s="58">
        <v>7.15</v>
      </c>
      <c r="AE20" s="96"/>
      <c r="AF20" s="96"/>
      <c r="AG20" s="53">
        <v>19.670000000000002</v>
      </c>
      <c r="AH20" s="58">
        <f t="shared" si="6"/>
        <v>12.520000000000001</v>
      </c>
      <c r="AI20" s="97">
        <v>7.3</v>
      </c>
      <c r="AJ20" s="58">
        <v>1</v>
      </c>
      <c r="AK20" s="59">
        <f t="shared" si="7"/>
        <v>4.2200000000000015</v>
      </c>
      <c r="AL20" s="86">
        <v>4</v>
      </c>
      <c r="AM20" s="86">
        <f t="shared" si="8"/>
        <v>22.000000000000153</v>
      </c>
      <c r="AN20" s="98"/>
      <c r="AP20" s="86" t="s">
        <v>5</v>
      </c>
      <c r="AQ20" s="86">
        <v>12</v>
      </c>
      <c r="AR20" s="58">
        <v>7.1</v>
      </c>
      <c r="AS20" s="96"/>
      <c r="AT20" s="96"/>
      <c r="AU20" s="53">
        <v>19.850000000000001</v>
      </c>
      <c r="AV20" s="58">
        <f t="shared" si="9"/>
        <v>12.750000000000002</v>
      </c>
      <c r="AW20" s="97">
        <v>7.3</v>
      </c>
      <c r="AX20" s="58">
        <v>1</v>
      </c>
      <c r="AY20" s="59">
        <f t="shared" si="10"/>
        <v>4.450000000000002</v>
      </c>
      <c r="AZ20" s="86">
        <v>4</v>
      </c>
      <c r="BA20" s="86">
        <f t="shared" si="11"/>
        <v>45.000000000000199</v>
      </c>
      <c r="BB20" s="98"/>
      <c r="BC20" s="86" t="s">
        <v>5</v>
      </c>
      <c r="BD20" s="86">
        <v>12</v>
      </c>
      <c r="BE20" s="58">
        <v>7.15</v>
      </c>
      <c r="BF20" s="96"/>
      <c r="BG20" s="96"/>
      <c r="BH20" s="53">
        <v>19.86</v>
      </c>
      <c r="BI20" s="58">
        <f t="shared" si="12"/>
        <v>12.709999999999999</v>
      </c>
      <c r="BJ20" s="97">
        <v>7.3</v>
      </c>
      <c r="BK20" s="58">
        <v>1</v>
      </c>
      <c r="BL20" s="59">
        <f t="shared" si="13"/>
        <v>4.4099999999999993</v>
      </c>
      <c r="BM20" s="86">
        <v>4</v>
      </c>
      <c r="BN20" s="86">
        <f t="shared" si="14"/>
        <v>40.999999999999929</v>
      </c>
      <c r="BO20" s="98"/>
      <c r="BQ20" s="86" t="s">
        <v>5</v>
      </c>
      <c r="BR20" s="86">
        <v>12</v>
      </c>
      <c r="BS20" s="58">
        <v>7.1</v>
      </c>
      <c r="BT20" s="96"/>
      <c r="BU20" s="96"/>
      <c r="BV20" s="53">
        <v>19.7</v>
      </c>
      <c r="BW20" s="58">
        <f t="shared" si="24"/>
        <v>12.6</v>
      </c>
      <c r="BX20" s="97">
        <v>7.3</v>
      </c>
      <c r="BY20" s="58">
        <v>1</v>
      </c>
      <c r="BZ20" s="59">
        <f t="shared" si="25"/>
        <v>4.3</v>
      </c>
      <c r="CA20" s="86">
        <v>4</v>
      </c>
      <c r="CB20" s="86">
        <f t="shared" si="26"/>
        <v>29.999999999999982</v>
      </c>
      <c r="CC20" s="98"/>
      <c r="CD20" s="86" t="s">
        <v>5</v>
      </c>
      <c r="CE20" s="86">
        <v>12</v>
      </c>
      <c r="CF20" s="58">
        <v>7.15</v>
      </c>
      <c r="CG20" s="96"/>
      <c r="CH20" s="96"/>
      <c r="CI20" s="53">
        <v>19.670000000000002</v>
      </c>
      <c r="CJ20" s="58">
        <f t="shared" si="15"/>
        <v>12.520000000000001</v>
      </c>
      <c r="CK20" s="97">
        <v>7.3</v>
      </c>
      <c r="CL20" s="58">
        <v>1</v>
      </c>
      <c r="CM20" s="59">
        <f t="shared" si="16"/>
        <v>4.2200000000000015</v>
      </c>
      <c r="CN20" s="86">
        <v>4</v>
      </c>
      <c r="CO20" s="86">
        <f t="shared" si="17"/>
        <v>22.000000000000153</v>
      </c>
      <c r="CP20" s="98"/>
      <c r="CR20" s="86" t="s">
        <v>5</v>
      </c>
      <c r="CS20" s="86">
        <v>12</v>
      </c>
      <c r="CT20" s="58">
        <v>7.15</v>
      </c>
      <c r="CU20" s="96"/>
      <c r="CV20" s="96"/>
      <c r="CW20" s="53">
        <v>19.670000000000002</v>
      </c>
      <c r="CX20" s="58">
        <f t="shared" si="30"/>
        <v>12.520000000000001</v>
      </c>
      <c r="CY20" s="97">
        <v>7.3</v>
      </c>
      <c r="CZ20" s="58">
        <v>1</v>
      </c>
      <c r="DA20" s="59">
        <f t="shared" si="31"/>
        <v>4.2200000000000015</v>
      </c>
      <c r="DB20" s="86">
        <v>4</v>
      </c>
      <c r="DC20" s="86">
        <f t="shared" si="32"/>
        <v>22.000000000000153</v>
      </c>
      <c r="DD20" s="98"/>
      <c r="DF20" s="86" t="s">
        <v>5</v>
      </c>
      <c r="DG20" s="86">
        <v>12</v>
      </c>
      <c r="DH20" s="58">
        <v>7.05</v>
      </c>
      <c r="DI20" s="96"/>
      <c r="DJ20" s="96"/>
      <c r="DK20" s="53">
        <v>19.670000000000002</v>
      </c>
      <c r="DL20" s="58">
        <f t="shared" si="21"/>
        <v>12.620000000000001</v>
      </c>
      <c r="DM20" s="97">
        <v>7.3</v>
      </c>
      <c r="DN20" s="58">
        <v>1</v>
      </c>
      <c r="DO20" s="59">
        <f t="shared" si="22"/>
        <v>4.3200000000000012</v>
      </c>
      <c r="DP20" s="86">
        <v>4</v>
      </c>
      <c r="DQ20" s="86">
        <f t="shared" si="23"/>
        <v>32.000000000000114</v>
      </c>
      <c r="DR20" s="98"/>
    </row>
    <row r="21" spans="1:123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0"/>
        <v>0</v>
      </c>
      <c r="H21" s="56"/>
      <c r="I21" s="52"/>
      <c r="J21" s="57">
        <f t="shared" si="1"/>
        <v>0</v>
      </c>
      <c r="K21" s="55">
        <v>0</v>
      </c>
      <c r="L21" s="55">
        <f t="shared" si="2"/>
        <v>0</v>
      </c>
      <c r="M21" s="137"/>
      <c r="O21" s="55" t="s">
        <v>6</v>
      </c>
      <c r="P21" s="55">
        <v>13</v>
      </c>
      <c r="Q21" s="136"/>
      <c r="R21" s="52"/>
      <c r="S21" s="52"/>
      <c r="T21" s="52"/>
      <c r="U21" s="52">
        <f t="shared" si="3"/>
        <v>0</v>
      </c>
      <c r="V21" s="56"/>
      <c r="W21" s="52"/>
      <c r="X21" s="57">
        <f t="shared" si="4"/>
        <v>0</v>
      </c>
      <c r="Y21" s="55"/>
      <c r="Z21" s="55">
        <f t="shared" si="5"/>
        <v>0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>
        <f t="shared" si="6"/>
        <v>0</v>
      </c>
      <c r="AI21" s="56"/>
      <c r="AJ21" s="52"/>
      <c r="AK21" s="57">
        <f t="shared" si="7"/>
        <v>0</v>
      </c>
      <c r="AL21" s="55">
        <v>0</v>
      </c>
      <c r="AM21" s="55">
        <f t="shared" si="8"/>
        <v>0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9"/>
        <v>0</v>
      </c>
      <c r="AW21" s="56"/>
      <c r="AX21" s="52"/>
      <c r="AY21" s="57">
        <f t="shared" si="10"/>
        <v>0</v>
      </c>
      <c r="AZ21" s="55"/>
      <c r="BA21" s="55">
        <f t="shared" si="11"/>
        <v>0</v>
      </c>
      <c r="BB21" s="137"/>
      <c r="BC21" s="55" t="s">
        <v>6</v>
      </c>
      <c r="BD21" s="55">
        <v>13</v>
      </c>
      <c r="BE21" s="136"/>
      <c r="BF21" s="52"/>
      <c r="BG21" s="52"/>
      <c r="BH21" s="52"/>
      <c r="BI21" s="52">
        <f t="shared" si="12"/>
        <v>0</v>
      </c>
      <c r="BJ21" s="56"/>
      <c r="BK21" s="52"/>
      <c r="BL21" s="57">
        <f t="shared" si="13"/>
        <v>0</v>
      </c>
      <c r="BM21" s="55">
        <v>0</v>
      </c>
      <c r="BN21" s="55">
        <f t="shared" si="14"/>
        <v>0</v>
      </c>
      <c r="BO21" s="137"/>
      <c r="BQ21" s="55" t="s">
        <v>6</v>
      </c>
      <c r="BR21" s="55">
        <v>13</v>
      </c>
      <c r="BS21" s="136"/>
      <c r="BT21" s="52"/>
      <c r="BU21" s="52"/>
      <c r="BV21" s="52"/>
      <c r="BW21" s="52">
        <f t="shared" si="24"/>
        <v>0</v>
      </c>
      <c r="BX21" s="56"/>
      <c r="BY21" s="52"/>
      <c r="BZ21" s="57">
        <f t="shared" si="25"/>
        <v>0</v>
      </c>
      <c r="CA21" s="55"/>
      <c r="CB21" s="55">
        <f t="shared" si="26"/>
        <v>0</v>
      </c>
      <c r="CC21" s="137"/>
      <c r="CD21" s="55" t="s">
        <v>6</v>
      </c>
      <c r="CE21" s="55">
        <v>13</v>
      </c>
      <c r="CF21" s="136"/>
      <c r="CG21" s="52"/>
      <c r="CH21" s="52"/>
      <c r="CI21" s="52"/>
      <c r="CJ21" s="52">
        <f t="shared" si="15"/>
        <v>0</v>
      </c>
      <c r="CK21" s="56"/>
      <c r="CL21" s="52"/>
      <c r="CM21" s="57">
        <f t="shared" si="16"/>
        <v>0</v>
      </c>
      <c r="CN21" s="55"/>
      <c r="CO21" s="55">
        <f t="shared" si="17"/>
        <v>0</v>
      </c>
      <c r="CP21" s="137"/>
      <c r="CR21" s="55" t="s">
        <v>6</v>
      </c>
      <c r="CS21" s="55">
        <v>13</v>
      </c>
      <c r="CT21" s="136"/>
      <c r="CU21" s="52"/>
      <c r="CV21" s="52">
        <v>9.0500000000000007</v>
      </c>
      <c r="CW21" s="52">
        <v>11.31</v>
      </c>
      <c r="CX21" s="52">
        <f t="shared" si="30"/>
        <v>2.2599999999999998</v>
      </c>
      <c r="CY21" s="56"/>
      <c r="CZ21" s="52"/>
      <c r="DA21" s="57">
        <f t="shared" si="31"/>
        <v>2.2599999999999998</v>
      </c>
      <c r="DB21" s="55">
        <v>2</v>
      </c>
      <c r="DC21" s="55">
        <f t="shared" si="32"/>
        <v>25.999999999999979</v>
      </c>
      <c r="DD21" s="137"/>
      <c r="DF21" s="55" t="s">
        <v>6</v>
      </c>
      <c r="DG21" s="55">
        <v>13</v>
      </c>
      <c r="DH21" s="136"/>
      <c r="DI21" s="52"/>
      <c r="DJ21" s="52">
        <v>9.0500000000000007</v>
      </c>
      <c r="DK21" s="52">
        <v>11.3</v>
      </c>
      <c r="DL21" s="52">
        <f t="shared" si="21"/>
        <v>2.25</v>
      </c>
      <c r="DM21" s="56"/>
      <c r="DN21" s="52"/>
      <c r="DO21" s="57">
        <f t="shared" si="22"/>
        <v>2.25</v>
      </c>
      <c r="DP21" s="55">
        <v>2</v>
      </c>
      <c r="DQ21" s="55">
        <f t="shared" si="23"/>
        <v>25</v>
      </c>
      <c r="DR21" s="137"/>
    </row>
    <row r="22" spans="1:123" ht="17.149999999999999" customHeight="1" x14ac:dyDescent="0.35">
      <c r="A22" s="86" t="s">
        <v>1</v>
      </c>
      <c r="B22" s="94">
        <v>14</v>
      </c>
      <c r="C22" s="58">
        <v>7.15</v>
      </c>
      <c r="D22" s="96"/>
      <c r="E22" s="96"/>
      <c r="F22" s="53">
        <v>18.63</v>
      </c>
      <c r="G22" s="58">
        <f t="shared" si="0"/>
        <v>11.479999999999999</v>
      </c>
      <c r="H22" s="97">
        <v>7.3</v>
      </c>
      <c r="I22" s="58">
        <v>1</v>
      </c>
      <c r="J22" s="59">
        <f t="shared" si="1"/>
        <v>3.1799999999999988</v>
      </c>
      <c r="K22" s="86">
        <v>3</v>
      </c>
      <c r="L22" s="86">
        <f t="shared" si="2"/>
        <v>17.999999999999883</v>
      </c>
      <c r="M22" s="98"/>
      <c r="O22" s="86" t="s">
        <v>1</v>
      </c>
      <c r="P22" s="94">
        <v>14</v>
      </c>
      <c r="Q22" s="58">
        <v>7.3</v>
      </c>
      <c r="R22" s="96"/>
      <c r="S22" s="96"/>
      <c r="T22" s="53">
        <v>19.91</v>
      </c>
      <c r="U22" s="58">
        <f t="shared" si="3"/>
        <v>12.61</v>
      </c>
      <c r="V22" s="97">
        <v>7.3</v>
      </c>
      <c r="W22" s="58">
        <v>1</v>
      </c>
      <c r="X22" s="59">
        <f t="shared" si="4"/>
        <v>4.3099999999999996</v>
      </c>
      <c r="Y22" s="86">
        <v>4</v>
      </c>
      <c r="Z22" s="86">
        <f t="shared" si="5"/>
        <v>30.999999999999961</v>
      </c>
      <c r="AA22" s="98"/>
      <c r="AB22" s="86" t="s">
        <v>1</v>
      </c>
      <c r="AC22" s="94">
        <v>14</v>
      </c>
      <c r="AD22" s="58">
        <v>7.15</v>
      </c>
      <c r="AE22" s="96"/>
      <c r="AF22" s="96"/>
      <c r="AG22" s="53">
        <v>18.63</v>
      </c>
      <c r="AH22" s="58">
        <f t="shared" si="6"/>
        <v>11.479999999999999</v>
      </c>
      <c r="AI22" s="97">
        <v>7.3</v>
      </c>
      <c r="AJ22" s="58">
        <v>1</v>
      </c>
      <c r="AK22" s="59">
        <f t="shared" si="7"/>
        <v>3.1799999999999988</v>
      </c>
      <c r="AL22" s="86">
        <v>3</v>
      </c>
      <c r="AM22" s="86">
        <f t="shared" si="8"/>
        <v>17.999999999999883</v>
      </c>
      <c r="AN22" s="98"/>
      <c r="AP22" s="86" t="s">
        <v>1</v>
      </c>
      <c r="AQ22" s="94">
        <v>14</v>
      </c>
      <c r="AR22" s="58">
        <v>7.1</v>
      </c>
      <c r="AS22" s="96"/>
      <c r="AT22" s="96"/>
      <c r="AU22" s="53">
        <v>19.91</v>
      </c>
      <c r="AV22" s="58">
        <f t="shared" si="9"/>
        <v>12.81</v>
      </c>
      <c r="AW22" s="97">
        <v>7.3</v>
      </c>
      <c r="AX22" s="58">
        <v>1.4</v>
      </c>
      <c r="AY22" s="59">
        <f t="shared" si="10"/>
        <v>4.1100000000000012</v>
      </c>
      <c r="AZ22" s="86">
        <v>4</v>
      </c>
      <c r="BA22" s="86">
        <f t="shared" si="11"/>
        <v>11.000000000000121</v>
      </c>
      <c r="BB22" s="98"/>
      <c r="BC22" s="86" t="s">
        <v>1</v>
      </c>
      <c r="BD22" s="94">
        <v>14</v>
      </c>
      <c r="BE22" s="58">
        <v>7.15</v>
      </c>
      <c r="BF22" s="96"/>
      <c r="BG22" s="96"/>
      <c r="BH22" s="53">
        <v>18.63</v>
      </c>
      <c r="BI22" s="58">
        <f t="shared" si="12"/>
        <v>11.479999999999999</v>
      </c>
      <c r="BJ22" s="97">
        <v>7.3</v>
      </c>
      <c r="BK22" s="58">
        <v>1</v>
      </c>
      <c r="BL22" s="59">
        <f t="shared" si="13"/>
        <v>3.1799999999999988</v>
      </c>
      <c r="BM22" s="86">
        <v>3</v>
      </c>
      <c r="BN22" s="86">
        <f t="shared" si="14"/>
        <v>17.999999999999883</v>
      </c>
      <c r="BO22" s="98"/>
      <c r="BQ22" s="86" t="s">
        <v>1</v>
      </c>
      <c r="BR22" s="94">
        <v>14</v>
      </c>
      <c r="BS22" s="58"/>
      <c r="BT22" s="96"/>
      <c r="BU22" s="96"/>
      <c r="BV22" s="53"/>
      <c r="BW22" s="58"/>
      <c r="BX22" s="97"/>
      <c r="BY22" s="58"/>
      <c r="BZ22" s="59"/>
      <c r="CA22" s="86"/>
      <c r="CB22" s="86"/>
      <c r="CC22" s="98" t="s">
        <v>227</v>
      </c>
      <c r="CD22" s="86" t="s">
        <v>1</v>
      </c>
      <c r="CE22" s="94">
        <v>14</v>
      </c>
      <c r="CF22" s="58">
        <v>7.15</v>
      </c>
      <c r="CG22" s="96"/>
      <c r="CH22" s="96"/>
      <c r="CI22" s="53">
        <v>18.63</v>
      </c>
      <c r="CJ22" s="58">
        <f t="shared" si="15"/>
        <v>11.479999999999999</v>
      </c>
      <c r="CK22" s="97">
        <v>7.3</v>
      </c>
      <c r="CL22" s="58">
        <v>1</v>
      </c>
      <c r="CM22" s="59">
        <f t="shared" si="16"/>
        <v>3.1799999999999988</v>
      </c>
      <c r="CN22" s="86">
        <v>3</v>
      </c>
      <c r="CO22" s="86">
        <f t="shared" si="17"/>
        <v>17.999999999999883</v>
      </c>
      <c r="CP22" s="98"/>
      <c r="CR22" s="86" t="s">
        <v>1</v>
      </c>
      <c r="CS22" s="94">
        <v>14</v>
      </c>
      <c r="CT22" s="58">
        <v>7.15</v>
      </c>
      <c r="CU22" s="96"/>
      <c r="CV22" s="96"/>
      <c r="CW22" s="53">
        <v>18.63</v>
      </c>
      <c r="CX22" s="58">
        <f t="shared" si="30"/>
        <v>11.479999999999999</v>
      </c>
      <c r="CY22" s="97">
        <v>7.3</v>
      </c>
      <c r="CZ22" s="58">
        <v>1</v>
      </c>
      <c r="DA22" s="59">
        <f t="shared" si="31"/>
        <v>3.1799999999999988</v>
      </c>
      <c r="DB22" s="86">
        <v>3</v>
      </c>
      <c r="DC22" s="86">
        <f t="shared" si="32"/>
        <v>17.999999999999883</v>
      </c>
      <c r="DD22" s="98"/>
      <c r="DF22" s="86" t="s">
        <v>1</v>
      </c>
      <c r="DG22" s="94">
        <v>14</v>
      </c>
      <c r="DH22" s="58">
        <v>7.05</v>
      </c>
      <c r="DI22" s="96"/>
      <c r="DJ22" s="96"/>
      <c r="DK22" s="53">
        <v>18.63</v>
      </c>
      <c r="DL22" s="58">
        <f t="shared" si="21"/>
        <v>11.579999999999998</v>
      </c>
      <c r="DM22" s="97">
        <v>7.3</v>
      </c>
      <c r="DN22" s="58">
        <v>1</v>
      </c>
      <c r="DO22" s="59">
        <f t="shared" si="22"/>
        <v>3.2799999999999985</v>
      </c>
      <c r="DP22" s="86">
        <v>3</v>
      </c>
      <c r="DQ22" s="86">
        <f t="shared" si="23"/>
        <v>27.999999999999847</v>
      </c>
      <c r="DR22" s="98"/>
    </row>
    <row r="23" spans="1:123" ht="17.149999999999999" customHeight="1" x14ac:dyDescent="0.35">
      <c r="A23" s="86" t="s">
        <v>216</v>
      </c>
      <c r="B23" s="94">
        <v>15</v>
      </c>
      <c r="C23" s="58">
        <v>7.15</v>
      </c>
      <c r="D23" s="96"/>
      <c r="E23" s="96"/>
      <c r="F23" s="53">
        <v>17.940000000000001</v>
      </c>
      <c r="G23" s="58">
        <f t="shared" si="0"/>
        <v>10.790000000000001</v>
      </c>
      <c r="H23" s="97">
        <v>7.3</v>
      </c>
      <c r="I23" s="58">
        <v>1</v>
      </c>
      <c r="J23" s="59">
        <f t="shared" si="1"/>
        <v>2.4900000000000011</v>
      </c>
      <c r="K23" s="86">
        <v>2</v>
      </c>
      <c r="L23" s="86">
        <f t="shared" si="2"/>
        <v>49.000000000000114</v>
      </c>
      <c r="M23" s="103"/>
      <c r="O23" s="86" t="s">
        <v>216</v>
      </c>
      <c r="P23" s="94">
        <v>15</v>
      </c>
      <c r="Q23" s="58">
        <v>7.3</v>
      </c>
      <c r="R23" s="96"/>
      <c r="S23" s="96"/>
      <c r="T23" s="53">
        <v>17.93</v>
      </c>
      <c r="U23" s="58">
        <f t="shared" si="3"/>
        <v>10.629999999999999</v>
      </c>
      <c r="V23" s="97">
        <v>7.3</v>
      </c>
      <c r="W23" s="58">
        <v>1</v>
      </c>
      <c r="X23" s="59">
        <f t="shared" si="4"/>
        <v>2.3299999999999992</v>
      </c>
      <c r="Y23" s="86">
        <v>2</v>
      </c>
      <c r="Z23" s="86">
        <f t="shared" si="5"/>
        <v>32.999999999999915</v>
      </c>
      <c r="AA23" s="103"/>
      <c r="AB23" s="86" t="s">
        <v>216</v>
      </c>
      <c r="AC23" s="94">
        <v>15</v>
      </c>
      <c r="AD23" s="58">
        <v>7.15</v>
      </c>
      <c r="AE23" s="96"/>
      <c r="AF23" s="96"/>
      <c r="AG23" s="53">
        <v>17.940000000000001</v>
      </c>
      <c r="AH23" s="58">
        <f t="shared" si="6"/>
        <v>10.790000000000001</v>
      </c>
      <c r="AI23" s="97">
        <v>7.3</v>
      </c>
      <c r="AJ23" s="58">
        <v>1</v>
      </c>
      <c r="AK23" s="59">
        <f t="shared" si="7"/>
        <v>2.4900000000000011</v>
      </c>
      <c r="AL23" s="86">
        <v>2</v>
      </c>
      <c r="AM23" s="86">
        <f t="shared" si="8"/>
        <v>49.000000000000114</v>
      </c>
      <c r="AN23" s="103"/>
      <c r="AP23" s="86" t="s">
        <v>216</v>
      </c>
      <c r="AQ23" s="94">
        <v>15</v>
      </c>
      <c r="AR23" s="58">
        <v>7.1</v>
      </c>
      <c r="AS23" s="96"/>
      <c r="AT23" s="96"/>
      <c r="AU23" s="53">
        <v>17.940000000000001</v>
      </c>
      <c r="AV23" s="58">
        <f t="shared" si="9"/>
        <v>10.840000000000002</v>
      </c>
      <c r="AW23" s="97">
        <v>7.3</v>
      </c>
      <c r="AX23" s="58">
        <v>1.4</v>
      </c>
      <c r="AY23" s="59">
        <f t="shared" si="10"/>
        <v>2.1400000000000019</v>
      </c>
      <c r="AZ23" s="86">
        <v>2</v>
      </c>
      <c r="BA23" s="86">
        <f t="shared" si="11"/>
        <v>14.00000000000019</v>
      </c>
      <c r="BB23" s="103"/>
      <c r="BC23" s="86" t="s">
        <v>216</v>
      </c>
      <c r="BD23" s="94">
        <v>15</v>
      </c>
      <c r="BE23" s="58">
        <v>7.15</v>
      </c>
      <c r="BF23" s="96"/>
      <c r="BG23" s="96"/>
      <c r="BH23" s="53">
        <v>17.95</v>
      </c>
      <c r="BI23" s="58">
        <f t="shared" si="12"/>
        <v>10.799999999999999</v>
      </c>
      <c r="BJ23" s="97">
        <v>7.3</v>
      </c>
      <c r="BK23" s="58">
        <v>1</v>
      </c>
      <c r="BL23" s="59">
        <f t="shared" si="13"/>
        <v>2.4999999999999991</v>
      </c>
      <c r="BM23" s="86">
        <v>2</v>
      </c>
      <c r="BN23" s="86">
        <f t="shared" si="14"/>
        <v>49.999999999999915</v>
      </c>
      <c r="BO23" s="103"/>
      <c r="BQ23" s="86" t="s">
        <v>216</v>
      </c>
      <c r="BR23" s="94">
        <v>15</v>
      </c>
      <c r="BS23" s="58">
        <v>7.1</v>
      </c>
      <c r="BT23" s="96"/>
      <c r="BU23" s="96"/>
      <c r="BV23" s="53">
        <v>17.940000000000001</v>
      </c>
      <c r="BW23" s="58">
        <f t="shared" si="24"/>
        <v>10.840000000000002</v>
      </c>
      <c r="BX23" s="97">
        <v>7.3</v>
      </c>
      <c r="BY23" s="58">
        <v>1.4</v>
      </c>
      <c r="BZ23" s="59">
        <f t="shared" si="25"/>
        <v>2.1400000000000019</v>
      </c>
      <c r="CA23" s="86">
        <v>2</v>
      </c>
      <c r="CB23" s="86">
        <f t="shared" si="26"/>
        <v>14.00000000000019</v>
      </c>
      <c r="CC23" s="103"/>
      <c r="CD23" s="86" t="s">
        <v>216</v>
      </c>
      <c r="CE23" s="94">
        <v>15</v>
      </c>
      <c r="CF23" s="58">
        <v>7.15</v>
      </c>
      <c r="CG23" s="96"/>
      <c r="CH23" s="96"/>
      <c r="CI23" s="53">
        <v>17.95</v>
      </c>
      <c r="CJ23" s="58">
        <f t="shared" si="15"/>
        <v>10.799999999999999</v>
      </c>
      <c r="CK23" s="97">
        <v>7.3</v>
      </c>
      <c r="CL23" s="58">
        <v>1</v>
      </c>
      <c r="CM23" s="59">
        <f t="shared" si="16"/>
        <v>2.4999999999999991</v>
      </c>
      <c r="CN23" s="86">
        <v>2</v>
      </c>
      <c r="CO23" s="86">
        <f t="shared" si="17"/>
        <v>49.999999999999915</v>
      </c>
      <c r="CP23" s="103"/>
      <c r="CR23" s="86" t="s">
        <v>216</v>
      </c>
      <c r="CS23" s="94">
        <v>15</v>
      </c>
      <c r="CT23" s="58">
        <v>7.15</v>
      </c>
      <c r="CU23" s="96"/>
      <c r="CV23" s="96"/>
      <c r="CW23" s="53">
        <v>17.95</v>
      </c>
      <c r="CX23" s="58">
        <f t="shared" si="30"/>
        <v>10.799999999999999</v>
      </c>
      <c r="CY23" s="97">
        <v>7.3</v>
      </c>
      <c r="CZ23" s="58">
        <v>1</v>
      </c>
      <c r="DA23" s="59">
        <f t="shared" si="31"/>
        <v>2.4999999999999991</v>
      </c>
      <c r="DB23" s="86">
        <v>2</v>
      </c>
      <c r="DC23" s="86">
        <f t="shared" si="32"/>
        <v>49.999999999999915</v>
      </c>
      <c r="DD23" s="103"/>
      <c r="DF23" s="86" t="s">
        <v>216</v>
      </c>
      <c r="DG23" s="94">
        <v>15</v>
      </c>
      <c r="DH23" s="58">
        <v>7.05</v>
      </c>
      <c r="DI23" s="96"/>
      <c r="DJ23" s="96"/>
      <c r="DK23" s="53">
        <v>17.940000000000001</v>
      </c>
      <c r="DL23" s="58">
        <f t="shared" si="21"/>
        <v>10.89</v>
      </c>
      <c r="DM23" s="97">
        <v>7.3</v>
      </c>
      <c r="DN23" s="58">
        <v>1</v>
      </c>
      <c r="DO23" s="59">
        <f t="shared" si="22"/>
        <v>2.5900000000000007</v>
      </c>
      <c r="DP23" s="86">
        <v>2</v>
      </c>
      <c r="DQ23" s="86">
        <f t="shared" si="23"/>
        <v>59.000000000000071</v>
      </c>
      <c r="DR23" s="103"/>
    </row>
    <row r="24" spans="1:123" ht="17.149999999999999" customHeight="1" x14ac:dyDescent="0.35">
      <c r="A24" s="86" t="s">
        <v>2</v>
      </c>
      <c r="B24" s="94">
        <v>16</v>
      </c>
      <c r="C24" s="58">
        <v>7.15</v>
      </c>
      <c r="D24" s="96"/>
      <c r="E24" s="96"/>
      <c r="F24" s="53">
        <v>17.97</v>
      </c>
      <c r="G24" s="58">
        <f t="shared" si="0"/>
        <v>10.819999999999999</v>
      </c>
      <c r="H24" s="97">
        <v>7.3</v>
      </c>
      <c r="I24" s="58">
        <v>1</v>
      </c>
      <c r="J24" s="59">
        <f t="shared" si="1"/>
        <v>2.5199999999999987</v>
      </c>
      <c r="K24" s="86">
        <v>2</v>
      </c>
      <c r="L24" s="86">
        <f t="shared" si="2"/>
        <v>51.999999999999872</v>
      </c>
      <c r="M24" s="98"/>
      <c r="O24" s="86" t="s">
        <v>2</v>
      </c>
      <c r="P24" s="94">
        <v>16</v>
      </c>
      <c r="Q24" s="58">
        <v>7.3</v>
      </c>
      <c r="R24" s="96"/>
      <c r="S24" s="96"/>
      <c r="T24" s="53">
        <v>18.46</v>
      </c>
      <c r="U24" s="58">
        <f t="shared" si="3"/>
        <v>11.16</v>
      </c>
      <c r="V24" s="97">
        <v>7.3</v>
      </c>
      <c r="W24" s="58">
        <v>1.4</v>
      </c>
      <c r="X24" s="59">
        <f t="shared" si="4"/>
        <v>2.4600000000000004</v>
      </c>
      <c r="Y24" s="86">
        <v>2</v>
      </c>
      <c r="Z24" s="86">
        <f t="shared" si="5"/>
        <v>46.000000000000043</v>
      </c>
      <c r="AA24" s="98"/>
      <c r="AB24" s="86" t="s">
        <v>2</v>
      </c>
      <c r="AC24" s="94">
        <v>16</v>
      </c>
      <c r="AD24" s="58">
        <v>7.15</v>
      </c>
      <c r="AE24" s="96"/>
      <c r="AF24" s="96"/>
      <c r="AG24" s="53">
        <v>17.97</v>
      </c>
      <c r="AH24" s="58">
        <f t="shared" si="6"/>
        <v>10.819999999999999</v>
      </c>
      <c r="AI24" s="97">
        <v>7.3</v>
      </c>
      <c r="AJ24" s="58">
        <v>1</v>
      </c>
      <c r="AK24" s="59">
        <f t="shared" si="7"/>
        <v>2.5199999999999987</v>
      </c>
      <c r="AL24" s="86">
        <v>2</v>
      </c>
      <c r="AM24" s="86">
        <f t="shared" si="8"/>
        <v>51.999999999999872</v>
      </c>
      <c r="AN24" s="98"/>
      <c r="AP24" s="86" t="s">
        <v>2</v>
      </c>
      <c r="AQ24" s="94">
        <v>16</v>
      </c>
      <c r="AR24" s="58">
        <v>7.1</v>
      </c>
      <c r="AS24" s="96"/>
      <c r="AT24" s="96"/>
      <c r="AU24" s="53">
        <v>18.46</v>
      </c>
      <c r="AV24" s="58">
        <f t="shared" si="9"/>
        <v>11.360000000000001</v>
      </c>
      <c r="AW24" s="97">
        <v>7.3</v>
      </c>
      <c r="AX24" s="58">
        <v>1</v>
      </c>
      <c r="AY24" s="59">
        <f t="shared" si="10"/>
        <v>3.0600000000000014</v>
      </c>
      <c r="AZ24" s="86">
        <v>3</v>
      </c>
      <c r="BA24" s="86">
        <f t="shared" si="11"/>
        <v>6.0000000000001386</v>
      </c>
      <c r="BB24" s="98"/>
      <c r="BC24" s="86" t="s">
        <v>2</v>
      </c>
      <c r="BD24" s="94">
        <v>16</v>
      </c>
      <c r="BE24" s="58">
        <v>7.15</v>
      </c>
      <c r="BF24" s="96"/>
      <c r="BG24" s="96"/>
      <c r="BH24" s="53">
        <v>18.48</v>
      </c>
      <c r="BI24" s="58">
        <f t="shared" si="12"/>
        <v>11.33</v>
      </c>
      <c r="BJ24" s="97">
        <v>7.3</v>
      </c>
      <c r="BK24" s="58">
        <v>1</v>
      </c>
      <c r="BL24" s="59">
        <f t="shared" si="13"/>
        <v>3.0300000000000002</v>
      </c>
      <c r="BM24" s="86">
        <v>3</v>
      </c>
      <c r="BN24" s="86">
        <f t="shared" si="14"/>
        <v>3.0000000000000249</v>
      </c>
      <c r="BO24" s="98"/>
      <c r="BQ24" s="86" t="s">
        <v>2</v>
      </c>
      <c r="BR24" s="94">
        <v>16</v>
      </c>
      <c r="BS24" s="58">
        <v>7.1</v>
      </c>
      <c r="BT24" s="96"/>
      <c r="BU24" s="96"/>
      <c r="BV24" s="53">
        <v>18.399999999999999</v>
      </c>
      <c r="BW24" s="58">
        <f t="shared" si="24"/>
        <v>11.299999999999999</v>
      </c>
      <c r="BX24" s="97">
        <v>7.3</v>
      </c>
      <c r="BY24" s="58">
        <v>1.4</v>
      </c>
      <c r="BZ24" s="59">
        <f t="shared" si="25"/>
        <v>2.5999999999999992</v>
      </c>
      <c r="CA24" s="86">
        <v>2</v>
      </c>
      <c r="CB24" s="86">
        <f t="shared" si="26"/>
        <v>59.999999999999922</v>
      </c>
      <c r="CC24" s="98"/>
      <c r="CD24" s="86" t="s">
        <v>2</v>
      </c>
      <c r="CE24" s="94">
        <v>16</v>
      </c>
      <c r="CF24" s="58">
        <v>7.15</v>
      </c>
      <c r="CG24" s="96"/>
      <c r="CH24" s="96"/>
      <c r="CI24" s="53">
        <v>18.41</v>
      </c>
      <c r="CJ24" s="58">
        <f t="shared" si="15"/>
        <v>11.26</v>
      </c>
      <c r="CK24" s="97">
        <v>7.3</v>
      </c>
      <c r="CL24" s="58">
        <v>1.41</v>
      </c>
      <c r="CM24" s="59">
        <f t="shared" si="16"/>
        <v>2.5499999999999998</v>
      </c>
      <c r="CN24" s="86">
        <v>2</v>
      </c>
      <c r="CO24" s="86">
        <f t="shared" si="17"/>
        <v>54.999999999999986</v>
      </c>
      <c r="CP24" s="98"/>
      <c r="CR24" s="86" t="s">
        <v>2</v>
      </c>
      <c r="CS24" s="94">
        <v>16</v>
      </c>
      <c r="CT24" s="58">
        <v>7.15</v>
      </c>
      <c r="CU24" s="96"/>
      <c r="CV24" s="96"/>
      <c r="CW24" s="53">
        <v>18.41</v>
      </c>
      <c r="CX24" s="58">
        <f t="shared" si="30"/>
        <v>11.26</v>
      </c>
      <c r="CY24" s="97">
        <v>7.3</v>
      </c>
      <c r="CZ24" s="58">
        <v>1.41</v>
      </c>
      <c r="DA24" s="59">
        <f t="shared" si="31"/>
        <v>2.5499999999999998</v>
      </c>
      <c r="DB24" s="86">
        <v>2</v>
      </c>
      <c r="DC24" s="86">
        <f t="shared" si="32"/>
        <v>54.999999999999986</v>
      </c>
      <c r="DD24" s="98"/>
      <c r="DF24" s="86" t="s">
        <v>2</v>
      </c>
      <c r="DG24" s="94">
        <v>16</v>
      </c>
      <c r="DH24" s="58">
        <v>7.05</v>
      </c>
      <c r="DI24" s="96"/>
      <c r="DJ24" s="96"/>
      <c r="DK24" s="53">
        <v>17.97</v>
      </c>
      <c r="DL24" s="58">
        <f t="shared" si="21"/>
        <v>10.919999999999998</v>
      </c>
      <c r="DM24" s="97">
        <v>7.3</v>
      </c>
      <c r="DN24" s="58">
        <v>1</v>
      </c>
      <c r="DO24" s="59">
        <f t="shared" si="22"/>
        <v>2.6199999999999983</v>
      </c>
      <c r="DP24" s="86">
        <v>2</v>
      </c>
      <c r="DQ24" s="86">
        <f t="shared" si="23"/>
        <v>61.999999999999829</v>
      </c>
      <c r="DR24" s="98"/>
    </row>
    <row r="25" spans="1:123" s="54" customFormat="1" ht="17.149999999999999" customHeight="1" x14ac:dyDescent="0.35">
      <c r="A25" s="86" t="s">
        <v>225</v>
      </c>
      <c r="B25" s="94">
        <v>17</v>
      </c>
      <c r="C25" s="58">
        <v>7.15</v>
      </c>
      <c r="D25" s="96"/>
      <c r="E25" s="96"/>
      <c r="F25" s="53">
        <v>18.600000000000001</v>
      </c>
      <c r="G25" s="58">
        <f t="shared" si="0"/>
        <v>11.450000000000001</v>
      </c>
      <c r="H25" s="97">
        <v>7.3</v>
      </c>
      <c r="I25" s="58">
        <v>1</v>
      </c>
      <c r="J25" s="59">
        <f t="shared" si="1"/>
        <v>3.1500000000000012</v>
      </c>
      <c r="K25" s="86">
        <v>3</v>
      </c>
      <c r="L25" s="86">
        <f t="shared" si="2"/>
        <v>15.000000000000124</v>
      </c>
      <c r="M25" s="86"/>
      <c r="N25"/>
      <c r="O25" s="86" t="s">
        <v>225</v>
      </c>
      <c r="P25" s="94">
        <v>17</v>
      </c>
      <c r="Q25" s="58">
        <v>7.3</v>
      </c>
      <c r="R25" s="96"/>
      <c r="S25" s="96"/>
      <c r="T25" s="53">
        <v>18.600000000000001</v>
      </c>
      <c r="U25" s="58">
        <f t="shared" si="3"/>
        <v>11.3</v>
      </c>
      <c r="V25" s="97">
        <v>7.3</v>
      </c>
      <c r="W25" s="58">
        <v>1.4</v>
      </c>
      <c r="X25" s="59">
        <f t="shared" si="4"/>
        <v>2.600000000000001</v>
      </c>
      <c r="Y25" s="86">
        <v>2</v>
      </c>
      <c r="Z25" s="86">
        <f t="shared" si="5"/>
        <v>60.000000000000099</v>
      </c>
      <c r="AA25" s="86"/>
      <c r="AB25" s="86" t="s">
        <v>225</v>
      </c>
      <c r="AC25" s="94">
        <v>17</v>
      </c>
      <c r="AD25" s="58">
        <v>7.15</v>
      </c>
      <c r="AE25" s="96"/>
      <c r="AF25" s="96"/>
      <c r="AG25" s="53">
        <v>18.600000000000001</v>
      </c>
      <c r="AH25" s="58">
        <f t="shared" si="6"/>
        <v>11.450000000000001</v>
      </c>
      <c r="AI25" s="97">
        <v>7.3</v>
      </c>
      <c r="AJ25" s="58">
        <v>1</v>
      </c>
      <c r="AK25" s="59">
        <f t="shared" si="7"/>
        <v>3.1500000000000012</v>
      </c>
      <c r="AL25" s="86">
        <v>3</v>
      </c>
      <c r="AM25" s="86">
        <f t="shared" si="8"/>
        <v>15.000000000000124</v>
      </c>
      <c r="AN25" s="86"/>
      <c r="AO25"/>
      <c r="AP25" s="86" t="s">
        <v>225</v>
      </c>
      <c r="AQ25" s="94">
        <v>17</v>
      </c>
      <c r="AR25" s="58">
        <v>7.1</v>
      </c>
      <c r="AS25" s="96"/>
      <c r="AT25" s="96"/>
      <c r="AU25" s="53">
        <v>18.61</v>
      </c>
      <c r="AV25" s="58">
        <f t="shared" si="9"/>
        <v>11.51</v>
      </c>
      <c r="AW25" s="97">
        <v>7.3</v>
      </c>
      <c r="AX25" s="58">
        <v>1</v>
      </c>
      <c r="AY25" s="59">
        <f t="shared" si="10"/>
        <v>3.21</v>
      </c>
      <c r="AZ25" s="86">
        <v>3</v>
      </c>
      <c r="BA25" s="86">
        <f t="shared" si="11"/>
        <v>20.999999999999996</v>
      </c>
      <c r="BB25" s="86"/>
      <c r="BC25" s="86" t="s">
        <v>225</v>
      </c>
      <c r="BD25" s="94">
        <v>17</v>
      </c>
      <c r="BE25" s="58">
        <v>7.15</v>
      </c>
      <c r="BF25" s="96"/>
      <c r="BG25" s="96"/>
      <c r="BH25" s="53">
        <v>18.61</v>
      </c>
      <c r="BI25" s="58">
        <f t="shared" si="12"/>
        <v>11.459999999999999</v>
      </c>
      <c r="BJ25" s="97">
        <v>7.3</v>
      </c>
      <c r="BK25" s="58">
        <v>1</v>
      </c>
      <c r="BL25" s="59">
        <f t="shared" si="13"/>
        <v>3.1599999999999993</v>
      </c>
      <c r="BM25" s="86">
        <v>3</v>
      </c>
      <c r="BN25" s="86">
        <f t="shared" si="14"/>
        <v>15.999999999999925</v>
      </c>
      <c r="BO25" s="86"/>
      <c r="BP25"/>
      <c r="BQ25" s="86" t="s">
        <v>225</v>
      </c>
      <c r="BR25" s="94">
        <v>17</v>
      </c>
      <c r="BS25" s="58">
        <v>7.1</v>
      </c>
      <c r="BT25" s="96"/>
      <c r="BU25" s="96"/>
      <c r="BV25" s="53">
        <v>18.600000000000001</v>
      </c>
      <c r="BW25" s="58">
        <f t="shared" si="24"/>
        <v>11.500000000000002</v>
      </c>
      <c r="BX25" s="97">
        <v>7.3</v>
      </c>
      <c r="BY25" s="58">
        <v>1</v>
      </c>
      <c r="BZ25" s="59">
        <f t="shared" si="25"/>
        <v>3.200000000000002</v>
      </c>
      <c r="CA25" s="86">
        <v>3</v>
      </c>
      <c r="CB25" s="86">
        <f t="shared" si="26"/>
        <v>20.000000000000195</v>
      </c>
      <c r="CC25" s="86"/>
      <c r="CD25" s="86" t="s">
        <v>225</v>
      </c>
      <c r="CE25" s="94">
        <v>17</v>
      </c>
      <c r="CF25" s="58">
        <v>7.15</v>
      </c>
      <c r="CG25" s="96"/>
      <c r="CH25" s="96"/>
      <c r="CI25" s="53">
        <v>18.600000000000001</v>
      </c>
      <c r="CJ25" s="58">
        <f t="shared" si="15"/>
        <v>11.450000000000001</v>
      </c>
      <c r="CK25" s="97">
        <v>7.3</v>
      </c>
      <c r="CL25" s="58">
        <v>1</v>
      </c>
      <c r="CM25" s="59">
        <f t="shared" si="16"/>
        <v>3.1500000000000012</v>
      </c>
      <c r="CN25" s="86">
        <v>3</v>
      </c>
      <c r="CO25" s="86">
        <f t="shared" si="17"/>
        <v>15.000000000000124</v>
      </c>
      <c r="CP25" s="86"/>
      <c r="CQ25"/>
      <c r="CR25" s="86" t="s">
        <v>225</v>
      </c>
      <c r="CS25" s="94">
        <v>17</v>
      </c>
      <c r="CT25" s="58">
        <v>7.15</v>
      </c>
      <c r="CU25" s="96"/>
      <c r="CV25" s="96"/>
      <c r="CW25" s="53">
        <v>18.600000000000001</v>
      </c>
      <c r="CX25" s="58">
        <f t="shared" si="30"/>
        <v>11.450000000000001</v>
      </c>
      <c r="CY25" s="97">
        <v>7.3</v>
      </c>
      <c r="CZ25" s="58">
        <v>1</v>
      </c>
      <c r="DA25" s="59">
        <f t="shared" si="31"/>
        <v>3.1500000000000012</v>
      </c>
      <c r="DB25" s="86">
        <v>3</v>
      </c>
      <c r="DC25" s="86">
        <f t="shared" si="32"/>
        <v>15.000000000000124</v>
      </c>
      <c r="DD25" s="86"/>
      <c r="DE25"/>
      <c r="DF25" s="86" t="s">
        <v>225</v>
      </c>
      <c r="DG25" s="94">
        <v>17</v>
      </c>
      <c r="DH25" s="58">
        <v>7.05</v>
      </c>
      <c r="DI25" s="96"/>
      <c r="DJ25" s="96"/>
      <c r="DK25" s="53">
        <v>18.600000000000001</v>
      </c>
      <c r="DL25" s="58">
        <f t="shared" si="21"/>
        <v>11.55</v>
      </c>
      <c r="DM25" s="97">
        <v>7.3</v>
      </c>
      <c r="DN25" s="58">
        <v>1</v>
      </c>
      <c r="DO25" s="59">
        <f t="shared" si="22"/>
        <v>3.2500000000000009</v>
      </c>
      <c r="DP25" s="86">
        <v>3</v>
      </c>
      <c r="DQ25" s="86">
        <f t="shared" si="23"/>
        <v>25.000000000000089</v>
      </c>
      <c r="DR25" s="86"/>
      <c r="DS25"/>
    </row>
    <row r="26" spans="1:123" ht="17.149999999999999" customHeight="1" x14ac:dyDescent="0.35">
      <c r="A26" s="86" t="s">
        <v>4</v>
      </c>
      <c r="B26" s="94">
        <v>18</v>
      </c>
      <c r="C26" s="58">
        <v>7.15</v>
      </c>
      <c r="D26" s="96"/>
      <c r="E26" s="96"/>
      <c r="F26" s="53">
        <v>18.62</v>
      </c>
      <c r="G26" s="58">
        <f t="shared" si="0"/>
        <v>11.47</v>
      </c>
      <c r="H26" s="97">
        <v>7.3</v>
      </c>
      <c r="I26" s="58">
        <v>1</v>
      </c>
      <c r="J26" s="59">
        <f t="shared" si="1"/>
        <v>3.1700000000000008</v>
      </c>
      <c r="K26" s="86">
        <v>3</v>
      </c>
      <c r="L26" s="86">
        <f t="shared" si="2"/>
        <v>17.000000000000082</v>
      </c>
      <c r="M26" s="98"/>
      <c r="O26" s="86" t="s">
        <v>4</v>
      </c>
      <c r="P26" s="94">
        <v>18</v>
      </c>
      <c r="Q26" s="58">
        <v>7.3</v>
      </c>
      <c r="R26" s="96"/>
      <c r="S26" s="96"/>
      <c r="T26" s="53">
        <v>19.760000000000002</v>
      </c>
      <c r="U26" s="58">
        <f t="shared" si="3"/>
        <v>12.46</v>
      </c>
      <c r="V26" s="97">
        <v>7.3</v>
      </c>
      <c r="W26" s="58">
        <v>1</v>
      </c>
      <c r="X26" s="59">
        <f t="shared" si="4"/>
        <v>4.160000000000001</v>
      </c>
      <c r="Y26" s="86">
        <v>4</v>
      </c>
      <c r="Z26" s="86">
        <f t="shared" si="5"/>
        <v>16.000000000000103</v>
      </c>
      <c r="AA26" s="98"/>
      <c r="AB26" s="86" t="s">
        <v>4</v>
      </c>
      <c r="AC26" s="94">
        <v>18</v>
      </c>
      <c r="AD26" s="58">
        <v>7.15</v>
      </c>
      <c r="AE26" s="96"/>
      <c r="AF26" s="96"/>
      <c r="AG26" s="53">
        <v>18.62</v>
      </c>
      <c r="AH26" s="58">
        <f t="shared" si="6"/>
        <v>11.47</v>
      </c>
      <c r="AI26" s="97">
        <v>7.3</v>
      </c>
      <c r="AJ26" s="58">
        <v>1</v>
      </c>
      <c r="AK26" s="59">
        <f t="shared" si="7"/>
        <v>3.1700000000000008</v>
      </c>
      <c r="AL26" s="86">
        <v>3</v>
      </c>
      <c r="AM26" s="86">
        <f t="shared" si="8"/>
        <v>17.000000000000082</v>
      </c>
      <c r="AN26" s="98"/>
      <c r="AP26" s="86" t="s">
        <v>4</v>
      </c>
      <c r="AQ26" s="94">
        <v>18</v>
      </c>
      <c r="AR26" s="58">
        <v>7.1</v>
      </c>
      <c r="AS26" s="96"/>
      <c r="AT26" s="96"/>
      <c r="AU26" s="53">
        <v>19.760000000000002</v>
      </c>
      <c r="AV26" s="58">
        <f t="shared" si="9"/>
        <v>12.660000000000002</v>
      </c>
      <c r="AW26" s="97">
        <v>7.3</v>
      </c>
      <c r="AX26" s="58">
        <v>1</v>
      </c>
      <c r="AY26" s="59">
        <f t="shared" si="10"/>
        <v>4.3600000000000021</v>
      </c>
      <c r="AZ26" s="86">
        <v>4</v>
      </c>
      <c r="BA26" s="86">
        <f t="shared" si="11"/>
        <v>36.000000000000213</v>
      </c>
      <c r="BB26" s="98"/>
      <c r="BC26" s="86" t="s">
        <v>4</v>
      </c>
      <c r="BD26" s="94">
        <v>18</v>
      </c>
      <c r="BE26" s="58">
        <v>7.15</v>
      </c>
      <c r="BF26" s="96"/>
      <c r="BG26" s="96"/>
      <c r="BH26" s="53">
        <v>19.760000000000002</v>
      </c>
      <c r="BI26" s="58">
        <f t="shared" si="12"/>
        <v>12.610000000000001</v>
      </c>
      <c r="BJ26" s="97">
        <v>7.3</v>
      </c>
      <c r="BK26" s="58">
        <v>1</v>
      </c>
      <c r="BL26" s="59">
        <f t="shared" si="13"/>
        <v>4.3100000000000014</v>
      </c>
      <c r="BM26" s="86">
        <v>4</v>
      </c>
      <c r="BN26" s="86">
        <f t="shared" si="14"/>
        <v>31.000000000000139</v>
      </c>
      <c r="BO26" s="98"/>
      <c r="BQ26" s="86" t="s">
        <v>4</v>
      </c>
      <c r="BR26" s="94">
        <v>18</v>
      </c>
      <c r="BS26" s="58">
        <v>7.1</v>
      </c>
      <c r="BT26" s="96"/>
      <c r="BU26" s="96"/>
      <c r="BV26" s="53">
        <v>18.649999999999999</v>
      </c>
      <c r="BW26" s="58">
        <f t="shared" si="24"/>
        <v>11.549999999999999</v>
      </c>
      <c r="BX26" s="97">
        <v>7.3</v>
      </c>
      <c r="BY26" s="58">
        <v>1</v>
      </c>
      <c r="BZ26" s="59">
        <f t="shared" si="25"/>
        <v>3.2499999999999991</v>
      </c>
      <c r="CA26" s="86">
        <v>3</v>
      </c>
      <c r="CB26" s="86">
        <f t="shared" si="26"/>
        <v>24.999999999999911</v>
      </c>
      <c r="CC26" s="98"/>
      <c r="CD26" s="86" t="s">
        <v>4</v>
      </c>
      <c r="CE26" s="94">
        <v>18</v>
      </c>
      <c r="CF26" s="58">
        <v>7.15</v>
      </c>
      <c r="CG26" s="96"/>
      <c r="CH26" s="96"/>
      <c r="CI26" s="53">
        <v>18.66</v>
      </c>
      <c r="CJ26" s="58">
        <f t="shared" si="15"/>
        <v>11.51</v>
      </c>
      <c r="CK26" s="97">
        <v>7.3</v>
      </c>
      <c r="CL26" s="58">
        <v>1</v>
      </c>
      <c r="CM26" s="59">
        <f t="shared" si="16"/>
        <v>3.21</v>
      </c>
      <c r="CN26" s="86">
        <v>3</v>
      </c>
      <c r="CO26" s="86">
        <f t="shared" si="17"/>
        <v>20.999999999999996</v>
      </c>
      <c r="CP26" s="98"/>
      <c r="CR26" s="86" t="s">
        <v>4</v>
      </c>
      <c r="CS26" s="94">
        <v>18</v>
      </c>
      <c r="CT26" s="58">
        <v>7.15</v>
      </c>
      <c r="CU26" s="96"/>
      <c r="CV26" s="96"/>
      <c r="CW26" s="53">
        <v>18.66</v>
      </c>
      <c r="CX26" s="58">
        <f t="shared" si="30"/>
        <v>11.51</v>
      </c>
      <c r="CY26" s="97">
        <v>7.3</v>
      </c>
      <c r="CZ26" s="58">
        <v>1</v>
      </c>
      <c r="DA26" s="59">
        <f t="shared" si="31"/>
        <v>3.21</v>
      </c>
      <c r="DB26" s="86">
        <v>3</v>
      </c>
      <c r="DC26" s="86">
        <f t="shared" si="32"/>
        <v>20.999999999999996</v>
      </c>
      <c r="DD26" s="98"/>
      <c r="DF26" s="86" t="s">
        <v>4</v>
      </c>
      <c r="DG26" s="94">
        <v>18</v>
      </c>
      <c r="DH26" s="58">
        <v>7.05</v>
      </c>
      <c r="DI26" s="96"/>
      <c r="DJ26" s="96"/>
      <c r="DK26" s="53">
        <v>18.62</v>
      </c>
      <c r="DL26" s="58">
        <f t="shared" si="21"/>
        <v>11.57</v>
      </c>
      <c r="DM26" s="97">
        <v>7.3</v>
      </c>
      <c r="DN26" s="58">
        <v>1</v>
      </c>
      <c r="DO26" s="59">
        <f t="shared" si="22"/>
        <v>3.2700000000000005</v>
      </c>
      <c r="DP26" s="86">
        <v>3</v>
      </c>
      <c r="DQ26" s="86">
        <f t="shared" si="23"/>
        <v>27.000000000000046</v>
      </c>
      <c r="DR26" s="98"/>
    </row>
    <row r="27" spans="1:123" ht="17.149999999999999" customHeight="1" x14ac:dyDescent="0.35">
      <c r="A27" s="86" t="s">
        <v>5</v>
      </c>
      <c r="B27" s="86">
        <v>19</v>
      </c>
      <c r="C27" s="58">
        <v>7.15</v>
      </c>
      <c r="D27" s="96"/>
      <c r="E27" s="96"/>
      <c r="F27" s="53">
        <v>18.62</v>
      </c>
      <c r="G27" s="58">
        <f t="shared" si="0"/>
        <v>11.47</v>
      </c>
      <c r="H27" s="97">
        <v>7.3</v>
      </c>
      <c r="I27" s="58">
        <v>1</v>
      </c>
      <c r="J27" s="59">
        <f t="shared" si="1"/>
        <v>3.1700000000000008</v>
      </c>
      <c r="K27" s="86">
        <v>3</v>
      </c>
      <c r="L27" s="86">
        <f t="shared" si="2"/>
        <v>17.000000000000082</v>
      </c>
      <c r="M27" s="98"/>
      <c r="O27" s="86" t="s">
        <v>5</v>
      </c>
      <c r="P27" s="86">
        <v>19</v>
      </c>
      <c r="Q27" s="58">
        <v>7.3</v>
      </c>
      <c r="R27" s="96"/>
      <c r="S27" s="96"/>
      <c r="T27" s="53">
        <v>19.79</v>
      </c>
      <c r="U27" s="58">
        <f t="shared" si="3"/>
        <v>12.489999999999998</v>
      </c>
      <c r="V27" s="97">
        <v>7.3</v>
      </c>
      <c r="W27" s="58">
        <v>1</v>
      </c>
      <c r="X27" s="59">
        <f t="shared" si="4"/>
        <v>4.1899999999999986</v>
      </c>
      <c r="Y27" s="86">
        <v>4</v>
      </c>
      <c r="Z27" s="86">
        <f t="shared" si="5"/>
        <v>18.999999999999861</v>
      </c>
      <c r="AA27" s="98"/>
      <c r="AB27" s="86" t="s">
        <v>5</v>
      </c>
      <c r="AC27" s="86">
        <v>19</v>
      </c>
      <c r="AD27" s="58">
        <v>7.15</v>
      </c>
      <c r="AE27" s="96"/>
      <c r="AF27" s="96"/>
      <c r="AG27" s="53">
        <v>18.62</v>
      </c>
      <c r="AH27" s="58">
        <f t="shared" si="6"/>
        <v>11.47</v>
      </c>
      <c r="AI27" s="97">
        <v>7.3</v>
      </c>
      <c r="AJ27" s="58">
        <v>1</v>
      </c>
      <c r="AK27" s="59">
        <f t="shared" si="7"/>
        <v>3.1700000000000008</v>
      </c>
      <c r="AL27" s="86">
        <v>3</v>
      </c>
      <c r="AM27" s="86">
        <f t="shared" si="8"/>
        <v>17.000000000000082</v>
      </c>
      <c r="AN27" s="98"/>
      <c r="AP27" s="86" t="s">
        <v>5</v>
      </c>
      <c r="AQ27" s="86">
        <v>19</v>
      </c>
      <c r="AR27" s="58">
        <v>7.1</v>
      </c>
      <c r="AS27" s="96"/>
      <c r="AT27" s="96"/>
      <c r="AU27" s="53">
        <v>19.79</v>
      </c>
      <c r="AV27" s="58">
        <f t="shared" si="9"/>
        <v>12.69</v>
      </c>
      <c r="AW27" s="97">
        <v>7.3</v>
      </c>
      <c r="AX27" s="58">
        <v>1</v>
      </c>
      <c r="AY27" s="59">
        <f t="shared" si="10"/>
        <v>4.3899999999999997</v>
      </c>
      <c r="AZ27" s="86">
        <v>4</v>
      </c>
      <c r="BA27" s="86">
        <f t="shared" si="11"/>
        <v>38.999999999999972</v>
      </c>
      <c r="BB27" s="98"/>
      <c r="BC27" s="86" t="s">
        <v>5</v>
      </c>
      <c r="BD27" s="86">
        <v>19</v>
      </c>
      <c r="BE27" s="58">
        <v>7.15</v>
      </c>
      <c r="BF27" s="96"/>
      <c r="BG27" s="96"/>
      <c r="BH27" s="53">
        <v>19.78</v>
      </c>
      <c r="BI27" s="58">
        <f t="shared" si="12"/>
        <v>12.63</v>
      </c>
      <c r="BJ27" s="97">
        <v>7.3</v>
      </c>
      <c r="BK27" s="58">
        <v>1</v>
      </c>
      <c r="BL27" s="59">
        <f t="shared" si="13"/>
        <v>4.330000000000001</v>
      </c>
      <c r="BM27" s="86">
        <v>4</v>
      </c>
      <c r="BN27" s="86">
        <f t="shared" si="14"/>
        <v>33.000000000000099</v>
      </c>
      <c r="BO27" s="98"/>
      <c r="BQ27" s="86" t="s">
        <v>5</v>
      </c>
      <c r="BR27" s="86">
        <v>19</v>
      </c>
      <c r="BS27" s="58">
        <v>7.1</v>
      </c>
      <c r="BT27" s="96"/>
      <c r="BU27" s="96"/>
      <c r="BV27" s="53">
        <v>18.690000000000001</v>
      </c>
      <c r="BW27" s="58">
        <f t="shared" si="24"/>
        <v>11.590000000000002</v>
      </c>
      <c r="BX27" s="97">
        <v>7.3</v>
      </c>
      <c r="BY27" s="58">
        <v>1</v>
      </c>
      <c r="BZ27" s="59">
        <f t="shared" si="25"/>
        <v>3.2900000000000018</v>
      </c>
      <c r="CA27" s="86">
        <v>3</v>
      </c>
      <c r="CB27" s="86">
        <f t="shared" si="26"/>
        <v>29.000000000000181</v>
      </c>
      <c r="CC27" s="98"/>
      <c r="CD27" s="86" t="s">
        <v>5</v>
      </c>
      <c r="CE27" s="86">
        <v>19</v>
      </c>
      <c r="CF27" s="58">
        <v>7.15</v>
      </c>
      <c r="CG27" s="96"/>
      <c r="CH27" s="96"/>
      <c r="CI27" s="53">
        <v>18.670000000000002</v>
      </c>
      <c r="CJ27" s="58">
        <f t="shared" si="15"/>
        <v>11.520000000000001</v>
      </c>
      <c r="CK27" s="97">
        <v>7.3</v>
      </c>
      <c r="CL27" s="58">
        <v>1</v>
      </c>
      <c r="CM27" s="59">
        <f t="shared" si="16"/>
        <v>3.2200000000000015</v>
      </c>
      <c r="CN27" s="86">
        <v>3</v>
      </c>
      <c r="CO27" s="86">
        <f t="shared" si="17"/>
        <v>22.000000000000153</v>
      </c>
      <c r="CP27" s="98"/>
      <c r="CR27" s="86" t="s">
        <v>5</v>
      </c>
      <c r="CS27" s="86">
        <v>19</v>
      </c>
      <c r="CT27" s="58">
        <v>7.15</v>
      </c>
      <c r="CU27" s="96"/>
      <c r="CV27" s="96"/>
      <c r="CW27" s="53">
        <v>18.670000000000002</v>
      </c>
      <c r="CX27" s="58">
        <f t="shared" si="30"/>
        <v>11.520000000000001</v>
      </c>
      <c r="CY27" s="97">
        <v>7.3</v>
      </c>
      <c r="CZ27" s="58">
        <v>1</v>
      </c>
      <c r="DA27" s="59">
        <f t="shared" si="31"/>
        <v>3.2200000000000015</v>
      </c>
      <c r="DB27" s="86">
        <v>3</v>
      </c>
      <c r="DC27" s="86">
        <f t="shared" si="32"/>
        <v>22.000000000000153</v>
      </c>
      <c r="DD27" s="98"/>
      <c r="DF27" s="86" t="s">
        <v>5</v>
      </c>
      <c r="DG27" s="86">
        <v>19</v>
      </c>
      <c r="DH27" s="58">
        <v>7.05</v>
      </c>
      <c r="DI27" s="96"/>
      <c r="DJ27" s="96"/>
      <c r="DK27" s="53">
        <v>18.62</v>
      </c>
      <c r="DL27" s="58">
        <f t="shared" si="21"/>
        <v>11.57</v>
      </c>
      <c r="DM27" s="97">
        <v>7.3</v>
      </c>
      <c r="DN27" s="58">
        <v>1</v>
      </c>
      <c r="DO27" s="59">
        <f t="shared" si="22"/>
        <v>3.2700000000000005</v>
      </c>
      <c r="DP27" s="86">
        <v>3</v>
      </c>
      <c r="DQ27" s="86">
        <f t="shared" si="23"/>
        <v>27.000000000000046</v>
      </c>
      <c r="DR27" s="98"/>
    </row>
    <row r="28" spans="1:123" ht="17.149999999999999" customHeight="1" x14ac:dyDescent="0.35">
      <c r="A28" s="55" t="s">
        <v>6</v>
      </c>
      <c r="B28" s="55">
        <v>20</v>
      </c>
      <c r="C28" s="52"/>
      <c r="D28" s="52"/>
      <c r="E28" s="52"/>
      <c r="F28" s="52"/>
      <c r="G28" s="52">
        <f t="shared" si="0"/>
        <v>0</v>
      </c>
      <c r="H28" s="56"/>
      <c r="I28" s="52"/>
      <c r="J28" s="57">
        <f t="shared" si="1"/>
        <v>0</v>
      </c>
      <c r="K28" s="55">
        <v>0</v>
      </c>
      <c r="L28" s="55">
        <f t="shared" si="2"/>
        <v>0</v>
      </c>
      <c r="M28" s="95"/>
      <c r="O28" s="55" t="s">
        <v>6</v>
      </c>
      <c r="P28" s="55">
        <v>20</v>
      </c>
      <c r="Q28" s="52"/>
      <c r="R28" s="52"/>
      <c r="S28" s="52"/>
      <c r="T28" s="52"/>
      <c r="U28" s="52">
        <f t="shared" si="3"/>
        <v>0</v>
      </c>
      <c r="V28" s="56"/>
      <c r="W28" s="52"/>
      <c r="X28" s="57">
        <f t="shared" si="4"/>
        <v>0</v>
      </c>
      <c r="Y28" s="55"/>
      <c r="Z28" s="55">
        <f t="shared" si="5"/>
        <v>0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>
        <v>0</v>
      </c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9"/>
        <v>0</v>
      </c>
      <c r="AW28" s="56"/>
      <c r="AX28" s="52"/>
      <c r="AY28" s="57">
        <f t="shared" si="10"/>
        <v>0</v>
      </c>
      <c r="AZ28" s="55"/>
      <c r="BA28" s="55">
        <f t="shared" si="11"/>
        <v>0</v>
      </c>
      <c r="BB28" s="95"/>
      <c r="BC28" s="55" t="s">
        <v>6</v>
      </c>
      <c r="BD28" s="55">
        <v>20</v>
      </c>
      <c r="BE28" s="52"/>
      <c r="BF28" s="52"/>
      <c r="BG28" s="52"/>
      <c r="BH28" s="52"/>
      <c r="BI28" s="52">
        <f t="shared" si="12"/>
        <v>0</v>
      </c>
      <c r="BJ28" s="56"/>
      <c r="BK28" s="52"/>
      <c r="BL28" s="57">
        <f t="shared" si="13"/>
        <v>0</v>
      </c>
      <c r="BM28" s="55">
        <v>0</v>
      </c>
      <c r="BN28" s="55">
        <f t="shared" si="14"/>
        <v>0</v>
      </c>
      <c r="BO28" s="95"/>
      <c r="BQ28" s="55" t="s">
        <v>6</v>
      </c>
      <c r="BR28" s="55">
        <v>20</v>
      </c>
      <c r="BS28" s="52"/>
      <c r="BT28" s="52"/>
      <c r="BU28" s="52"/>
      <c r="BV28" s="52"/>
      <c r="BW28" s="52">
        <f t="shared" si="24"/>
        <v>0</v>
      </c>
      <c r="BX28" s="56"/>
      <c r="BY28" s="52"/>
      <c r="BZ28" s="57">
        <f t="shared" si="25"/>
        <v>0</v>
      </c>
      <c r="CA28" s="55"/>
      <c r="CB28" s="55">
        <f t="shared" si="26"/>
        <v>0</v>
      </c>
      <c r="CC28" s="95"/>
      <c r="CD28" s="55" t="s">
        <v>6</v>
      </c>
      <c r="CE28" s="55">
        <v>20</v>
      </c>
      <c r="CF28" s="52"/>
      <c r="CG28" s="52"/>
      <c r="CH28" s="52"/>
      <c r="CI28" s="52"/>
      <c r="CJ28" s="52">
        <f t="shared" si="15"/>
        <v>0</v>
      </c>
      <c r="CK28" s="56"/>
      <c r="CL28" s="52"/>
      <c r="CM28" s="57">
        <f t="shared" si="16"/>
        <v>0</v>
      </c>
      <c r="CN28" s="55">
        <v>0</v>
      </c>
      <c r="CO28" s="55">
        <f t="shared" si="17"/>
        <v>0</v>
      </c>
      <c r="CP28" s="95"/>
      <c r="CR28" s="55" t="s">
        <v>6</v>
      </c>
      <c r="CS28" s="55">
        <v>20</v>
      </c>
      <c r="CT28" s="52"/>
      <c r="CU28" s="52"/>
      <c r="CV28" s="52"/>
      <c r="CW28" s="52"/>
      <c r="CX28" s="52">
        <f t="shared" si="30"/>
        <v>0</v>
      </c>
      <c r="CY28" s="56"/>
      <c r="CZ28" s="52"/>
      <c r="DA28" s="57">
        <f t="shared" si="31"/>
        <v>0</v>
      </c>
      <c r="DB28" s="55">
        <v>0</v>
      </c>
      <c r="DC28" s="55">
        <f t="shared" si="32"/>
        <v>0</v>
      </c>
      <c r="DD28" s="95"/>
      <c r="DF28" s="55" t="s">
        <v>6</v>
      </c>
      <c r="DG28" s="55">
        <v>20</v>
      </c>
      <c r="DH28" s="52"/>
      <c r="DI28" s="52"/>
      <c r="DJ28" s="52">
        <v>9.0500000000000007</v>
      </c>
      <c r="DK28" s="52">
        <v>11.44</v>
      </c>
      <c r="DL28" s="52">
        <f t="shared" si="21"/>
        <v>2.3899999999999988</v>
      </c>
      <c r="DM28" s="56"/>
      <c r="DN28" s="52"/>
      <c r="DO28" s="57">
        <f t="shared" si="22"/>
        <v>2.3899999999999988</v>
      </c>
      <c r="DP28" s="55">
        <v>2</v>
      </c>
      <c r="DQ28" s="55">
        <f t="shared" si="23"/>
        <v>38.999999999999879</v>
      </c>
      <c r="DR28" s="95"/>
    </row>
    <row r="29" spans="1:123" ht="17.149999999999999" customHeight="1" x14ac:dyDescent="0.35">
      <c r="A29" s="86" t="s">
        <v>1</v>
      </c>
      <c r="B29" s="86">
        <v>21</v>
      </c>
      <c r="C29" s="58">
        <v>7.2</v>
      </c>
      <c r="D29" s="96"/>
      <c r="E29" s="96"/>
      <c r="F29" s="53">
        <v>19.66</v>
      </c>
      <c r="G29" s="58">
        <f t="shared" si="0"/>
        <v>12.46</v>
      </c>
      <c r="H29" s="97">
        <v>7.3</v>
      </c>
      <c r="I29" s="58">
        <v>1</v>
      </c>
      <c r="J29" s="59">
        <f t="shared" si="1"/>
        <v>4.160000000000001</v>
      </c>
      <c r="K29" s="86">
        <v>4</v>
      </c>
      <c r="L29" s="86">
        <f t="shared" si="2"/>
        <v>16.000000000000103</v>
      </c>
      <c r="M29" s="98"/>
      <c r="O29" s="86" t="s">
        <v>1</v>
      </c>
      <c r="P29" s="86">
        <v>21</v>
      </c>
      <c r="Q29" s="58">
        <v>7.3</v>
      </c>
      <c r="R29" s="96"/>
      <c r="S29" s="96"/>
      <c r="T29" s="53">
        <v>19.66</v>
      </c>
      <c r="U29" s="58">
        <f t="shared" si="3"/>
        <v>12.36</v>
      </c>
      <c r="V29" s="97">
        <v>7.3</v>
      </c>
      <c r="W29" s="58">
        <v>1</v>
      </c>
      <c r="X29" s="59">
        <f t="shared" si="4"/>
        <v>4.0599999999999996</v>
      </c>
      <c r="Y29" s="86">
        <v>4</v>
      </c>
      <c r="Z29" s="86">
        <f t="shared" si="5"/>
        <v>5.9999999999999609</v>
      </c>
      <c r="AA29" s="98"/>
      <c r="AB29" s="86" t="s">
        <v>1</v>
      </c>
      <c r="AC29" s="86">
        <v>21</v>
      </c>
      <c r="AD29" s="58">
        <v>7.2</v>
      </c>
      <c r="AE29" s="96"/>
      <c r="AF29" s="96"/>
      <c r="AG29" s="53">
        <v>19.66</v>
      </c>
      <c r="AH29" s="58">
        <f t="shared" si="6"/>
        <v>12.46</v>
      </c>
      <c r="AI29" s="97">
        <v>7.3</v>
      </c>
      <c r="AJ29" s="58">
        <v>1</v>
      </c>
      <c r="AK29" s="59">
        <f t="shared" si="7"/>
        <v>4.160000000000001</v>
      </c>
      <c r="AL29" s="86">
        <v>4</v>
      </c>
      <c r="AM29" s="86">
        <f t="shared" si="8"/>
        <v>16.000000000000103</v>
      </c>
      <c r="AN29" s="98"/>
      <c r="AP29" s="86" t="s">
        <v>1</v>
      </c>
      <c r="AQ29" s="86">
        <v>21</v>
      </c>
      <c r="AR29" s="58">
        <v>7.15</v>
      </c>
      <c r="AS29" s="96"/>
      <c r="AT29" s="96"/>
      <c r="AU29" s="53">
        <v>19.66</v>
      </c>
      <c r="AV29" s="58">
        <f t="shared" si="9"/>
        <v>12.51</v>
      </c>
      <c r="AW29" s="97">
        <v>7.3</v>
      </c>
      <c r="AX29" s="58">
        <v>1</v>
      </c>
      <c r="AY29" s="59">
        <f t="shared" si="10"/>
        <v>4.21</v>
      </c>
      <c r="AZ29" s="86">
        <v>4</v>
      </c>
      <c r="BA29" s="86">
        <f t="shared" si="11"/>
        <v>20.999999999999996</v>
      </c>
      <c r="BB29" s="98"/>
      <c r="BC29" s="86" t="s">
        <v>1</v>
      </c>
      <c r="BD29" s="86">
        <v>21</v>
      </c>
      <c r="BE29" s="58">
        <v>7.15</v>
      </c>
      <c r="BF29" s="96"/>
      <c r="BG29" s="96"/>
      <c r="BH29" s="53">
        <v>19.690000000000001</v>
      </c>
      <c r="BI29" s="58">
        <f t="shared" si="12"/>
        <v>12.540000000000001</v>
      </c>
      <c r="BJ29" s="97">
        <v>7.3</v>
      </c>
      <c r="BK29" s="58">
        <v>1</v>
      </c>
      <c r="BL29" s="59">
        <f t="shared" si="13"/>
        <v>4.2400000000000011</v>
      </c>
      <c r="BM29" s="86">
        <v>4</v>
      </c>
      <c r="BN29" s="86">
        <f t="shared" si="14"/>
        <v>24.00000000000011</v>
      </c>
      <c r="BO29" s="98"/>
      <c r="BQ29" s="86" t="s">
        <v>1</v>
      </c>
      <c r="BR29" s="86">
        <v>21</v>
      </c>
      <c r="BS29" s="58">
        <v>7.15</v>
      </c>
      <c r="BT29" s="96"/>
      <c r="BU29" s="96"/>
      <c r="BV29" s="53">
        <v>19.690000000000001</v>
      </c>
      <c r="BW29" s="58">
        <f t="shared" si="24"/>
        <v>12.540000000000001</v>
      </c>
      <c r="BX29" s="97">
        <v>7.3</v>
      </c>
      <c r="BY29" s="58">
        <v>1</v>
      </c>
      <c r="BZ29" s="59">
        <f t="shared" si="25"/>
        <v>4.2400000000000011</v>
      </c>
      <c r="CA29" s="86">
        <v>4</v>
      </c>
      <c r="CB29" s="86">
        <f t="shared" si="26"/>
        <v>24.00000000000011</v>
      </c>
      <c r="CC29" s="98"/>
      <c r="CD29" s="86" t="s">
        <v>1</v>
      </c>
      <c r="CE29" s="86">
        <v>21</v>
      </c>
      <c r="CF29" s="58">
        <v>7.15</v>
      </c>
      <c r="CG29" s="96"/>
      <c r="CH29" s="96"/>
      <c r="CI29" s="53">
        <v>19.670000000000002</v>
      </c>
      <c r="CJ29" s="58">
        <f t="shared" si="15"/>
        <v>12.520000000000001</v>
      </c>
      <c r="CK29" s="97">
        <v>7.3</v>
      </c>
      <c r="CL29" s="58">
        <v>1</v>
      </c>
      <c r="CM29" s="59">
        <f t="shared" si="16"/>
        <v>4.2200000000000015</v>
      </c>
      <c r="CN29" s="86">
        <v>4</v>
      </c>
      <c r="CO29" s="86">
        <f t="shared" si="17"/>
        <v>22.000000000000153</v>
      </c>
      <c r="CP29" s="98"/>
      <c r="CR29" s="86" t="s">
        <v>1</v>
      </c>
      <c r="CS29" s="86">
        <v>21</v>
      </c>
      <c r="CT29" s="58">
        <v>7.15</v>
      </c>
      <c r="CU29" s="96"/>
      <c r="CV29" s="96"/>
      <c r="CW29" s="53">
        <v>19.670000000000002</v>
      </c>
      <c r="CX29" s="58">
        <f t="shared" si="30"/>
        <v>12.520000000000001</v>
      </c>
      <c r="CY29" s="97">
        <v>7.3</v>
      </c>
      <c r="CZ29" s="58">
        <v>1</v>
      </c>
      <c r="DA29" s="59">
        <f t="shared" si="31"/>
        <v>4.2200000000000015</v>
      </c>
      <c r="DB29" s="86">
        <v>4</v>
      </c>
      <c r="DC29" s="86">
        <f t="shared" si="32"/>
        <v>22.000000000000153</v>
      </c>
      <c r="DD29" s="98"/>
      <c r="DF29" s="86" t="s">
        <v>1</v>
      </c>
      <c r="DG29" s="86">
        <v>21</v>
      </c>
      <c r="DH29" s="58">
        <v>7.05</v>
      </c>
      <c r="DI29" s="96"/>
      <c r="DJ29" s="96"/>
      <c r="DK29" s="53">
        <v>19.66</v>
      </c>
      <c r="DL29" s="58">
        <f t="shared" si="21"/>
        <v>12.61</v>
      </c>
      <c r="DM29" s="97">
        <v>7.3</v>
      </c>
      <c r="DN29" s="58">
        <v>1</v>
      </c>
      <c r="DO29" s="59">
        <f t="shared" si="22"/>
        <v>4.3099999999999996</v>
      </c>
      <c r="DP29" s="86">
        <v>4</v>
      </c>
      <c r="DQ29" s="86">
        <f t="shared" si="23"/>
        <v>30.999999999999961</v>
      </c>
      <c r="DR29" s="98"/>
    </row>
    <row r="30" spans="1:123" ht="17.149999999999999" customHeight="1" x14ac:dyDescent="0.35">
      <c r="A30" s="86" t="s">
        <v>216</v>
      </c>
      <c r="B30" s="86">
        <v>22</v>
      </c>
      <c r="C30" s="58">
        <v>7.2</v>
      </c>
      <c r="D30" s="96"/>
      <c r="E30" s="96"/>
      <c r="F30" s="53">
        <v>18.62</v>
      </c>
      <c r="G30" s="58">
        <f t="shared" si="0"/>
        <v>11.420000000000002</v>
      </c>
      <c r="H30" s="97">
        <v>7.3</v>
      </c>
      <c r="I30" s="58">
        <v>1</v>
      </c>
      <c r="J30" s="59">
        <f t="shared" si="1"/>
        <v>3.1200000000000019</v>
      </c>
      <c r="K30" s="86">
        <v>3</v>
      </c>
      <c r="L30" s="86">
        <f t="shared" si="2"/>
        <v>12.000000000000188</v>
      </c>
      <c r="M30" s="98"/>
      <c r="O30" s="86" t="s">
        <v>216</v>
      </c>
      <c r="P30" s="86">
        <v>22</v>
      </c>
      <c r="Q30" s="58">
        <v>7.3</v>
      </c>
      <c r="R30" s="96"/>
      <c r="S30" s="96"/>
      <c r="T30" s="53">
        <v>19.93</v>
      </c>
      <c r="U30" s="58">
        <f t="shared" si="3"/>
        <v>12.629999999999999</v>
      </c>
      <c r="V30" s="97">
        <v>7.3</v>
      </c>
      <c r="W30" s="58">
        <v>1</v>
      </c>
      <c r="X30" s="59">
        <f t="shared" si="4"/>
        <v>4.3299999999999992</v>
      </c>
      <c r="Y30" s="86">
        <v>4</v>
      </c>
      <c r="Z30" s="86">
        <f t="shared" si="5"/>
        <v>32.999999999999915</v>
      </c>
      <c r="AA30" s="98"/>
      <c r="AB30" s="86" t="s">
        <v>216</v>
      </c>
      <c r="AC30" s="86">
        <v>22</v>
      </c>
      <c r="AD30" s="58">
        <v>7.2</v>
      </c>
      <c r="AE30" s="96"/>
      <c r="AF30" s="96"/>
      <c r="AG30" s="53">
        <v>18.62</v>
      </c>
      <c r="AH30" s="58">
        <f t="shared" si="6"/>
        <v>11.420000000000002</v>
      </c>
      <c r="AI30" s="97">
        <v>7.3</v>
      </c>
      <c r="AJ30" s="58">
        <v>1</v>
      </c>
      <c r="AK30" s="59">
        <f t="shared" si="7"/>
        <v>3.1200000000000019</v>
      </c>
      <c r="AL30" s="86">
        <v>3</v>
      </c>
      <c r="AM30" s="86">
        <f t="shared" si="8"/>
        <v>12.000000000000188</v>
      </c>
      <c r="AN30" s="98"/>
      <c r="AP30" s="86" t="s">
        <v>216</v>
      </c>
      <c r="AQ30" s="86">
        <v>22</v>
      </c>
      <c r="AR30" s="58">
        <v>7.15</v>
      </c>
      <c r="AS30" s="96"/>
      <c r="AT30" s="96"/>
      <c r="AU30" s="53">
        <v>19.940000000000001</v>
      </c>
      <c r="AV30" s="58">
        <f t="shared" si="9"/>
        <v>12.790000000000001</v>
      </c>
      <c r="AW30" s="97">
        <v>7.3</v>
      </c>
      <c r="AX30" s="58">
        <v>1</v>
      </c>
      <c r="AY30" s="59">
        <f t="shared" si="10"/>
        <v>4.4900000000000011</v>
      </c>
      <c r="AZ30" s="86">
        <v>4</v>
      </c>
      <c r="BA30" s="86">
        <f t="shared" si="11"/>
        <v>49.000000000000114</v>
      </c>
      <c r="BB30" s="98"/>
      <c r="BC30" s="86" t="s">
        <v>216</v>
      </c>
      <c r="BD30" s="86">
        <v>22</v>
      </c>
      <c r="BE30" s="58">
        <v>7.15</v>
      </c>
      <c r="BF30" s="96"/>
      <c r="BG30" s="96"/>
      <c r="BH30" s="53">
        <v>19.93</v>
      </c>
      <c r="BI30" s="58">
        <f t="shared" si="12"/>
        <v>12.78</v>
      </c>
      <c r="BJ30" s="97">
        <v>7.3</v>
      </c>
      <c r="BK30" s="58">
        <v>1</v>
      </c>
      <c r="BL30" s="59">
        <f t="shared" si="13"/>
        <v>4.4799999999999995</v>
      </c>
      <c r="BM30" s="86">
        <v>4</v>
      </c>
      <c r="BN30" s="86">
        <f t="shared" si="14"/>
        <v>47.999999999999957</v>
      </c>
      <c r="BO30" s="98"/>
      <c r="BQ30" s="86" t="s">
        <v>216</v>
      </c>
      <c r="BR30" s="86">
        <v>22</v>
      </c>
      <c r="BS30" s="58">
        <v>7.15</v>
      </c>
      <c r="BT30" s="96"/>
      <c r="BU30" s="96"/>
      <c r="BV30" s="53">
        <v>18.63</v>
      </c>
      <c r="BW30" s="58">
        <f t="shared" si="24"/>
        <v>11.479999999999999</v>
      </c>
      <c r="BX30" s="97">
        <v>7.3</v>
      </c>
      <c r="BY30" s="58">
        <v>1</v>
      </c>
      <c r="BZ30" s="59">
        <f t="shared" si="25"/>
        <v>3.1799999999999988</v>
      </c>
      <c r="CA30" s="86">
        <v>3</v>
      </c>
      <c r="CB30" s="86">
        <f t="shared" si="26"/>
        <v>17.999999999999883</v>
      </c>
      <c r="CC30" s="98"/>
      <c r="CD30" s="86" t="s">
        <v>216</v>
      </c>
      <c r="CE30" s="86">
        <v>22</v>
      </c>
      <c r="CF30" s="58">
        <v>7.15</v>
      </c>
      <c r="CG30" s="96"/>
      <c r="CH30" s="96"/>
      <c r="CI30" s="53">
        <v>18.670000000000002</v>
      </c>
      <c r="CJ30" s="58">
        <f t="shared" si="15"/>
        <v>11.520000000000001</v>
      </c>
      <c r="CK30" s="97">
        <v>7.3</v>
      </c>
      <c r="CL30" s="58">
        <v>1</v>
      </c>
      <c r="CM30" s="59">
        <f t="shared" si="16"/>
        <v>3.2200000000000015</v>
      </c>
      <c r="CN30" s="86">
        <v>3</v>
      </c>
      <c r="CO30" s="86">
        <f t="shared" si="17"/>
        <v>22.000000000000153</v>
      </c>
      <c r="CP30" s="98"/>
      <c r="CR30" s="86" t="s">
        <v>216</v>
      </c>
      <c r="CS30" s="86">
        <v>22</v>
      </c>
      <c r="CT30" s="58">
        <v>7.15</v>
      </c>
      <c r="CU30" s="96"/>
      <c r="CV30" s="96"/>
      <c r="CW30" s="53">
        <v>18.670000000000002</v>
      </c>
      <c r="CX30" s="58">
        <f t="shared" si="30"/>
        <v>11.520000000000001</v>
      </c>
      <c r="CY30" s="97">
        <v>7.3</v>
      </c>
      <c r="CZ30" s="58">
        <v>1</v>
      </c>
      <c r="DA30" s="59">
        <f t="shared" si="31"/>
        <v>3.2200000000000015</v>
      </c>
      <c r="DB30" s="86">
        <v>3</v>
      </c>
      <c r="DC30" s="86">
        <f t="shared" si="32"/>
        <v>22.000000000000153</v>
      </c>
      <c r="DD30" s="98"/>
      <c r="DF30" s="86" t="s">
        <v>216</v>
      </c>
      <c r="DG30" s="86">
        <v>22</v>
      </c>
      <c r="DH30" s="58">
        <v>7.05</v>
      </c>
      <c r="DI30" s="96"/>
      <c r="DJ30" s="96"/>
      <c r="DK30" s="53">
        <v>18.62</v>
      </c>
      <c r="DL30" s="58">
        <f t="shared" si="21"/>
        <v>11.57</v>
      </c>
      <c r="DM30" s="97">
        <v>7.3</v>
      </c>
      <c r="DN30" s="58">
        <v>1</v>
      </c>
      <c r="DO30" s="59">
        <f t="shared" si="22"/>
        <v>3.2700000000000005</v>
      </c>
      <c r="DP30" s="86">
        <v>3</v>
      </c>
      <c r="DQ30" s="86">
        <f t="shared" si="23"/>
        <v>27.000000000000046</v>
      </c>
      <c r="DR30" s="98"/>
    </row>
    <row r="31" spans="1:123" ht="17.149999999999999" customHeight="1" x14ac:dyDescent="0.35">
      <c r="A31" s="86" t="s">
        <v>2</v>
      </c>
      <c r="B31" s="86">
        <v>23</v>
      </c>
      <c r="C31" s="58">
        <v>7.2</v>
      </c>
      <c r="D31" s="96"/>
      <c r="E31" s="96"/>
      <c r="F31" s="53">
        <v>19.649999999999999</v>
      </c>
      <c r="G31" s="58">
        <f t="shared" si="0"/>
        <v>12.45</v>
      </c>
      <c r="H31" s="97">
        <v>7.3</v>
      </c>
      <c r="I31" s="58">
        <v>1</v>
      </c>
      <c r="J31" s="59">
        <f t="shared" si="1"/>
        <v>4.1499999999999995</v>
      </c>
      <c r="K31" s="86">
        <v>4</v>
      </c>
      <c r="L31" s="86">
        <f t="shared" si="2"/>
        <v>14.999999999999947</v>
      </c>
      <c r="M31" s="98"/>
      <c r="O31" s="86" t="s">
        <v>2</v>
      </c>
      <c r="P31" s="86">
        <v>23</v>
      </c>
      <c r="Q31" s="58">
        <v>7.3</v>
      </c>
      <c r="R31" s="96"/>
      <c r="S31" s="96"/>
      <c r="T31" s="53">
        <v>19.97</v>
      </c>
      <c r="U31" s="58">
        <f t="shared" si="3"/>
        <v>12.669999999999998</v>
      </c>
      <c r="V31" s="97">
        <v>7.3</v>
      </c>
      <c r="W31" s="58">
        <v>1</v>
      </c>
      <c r="X31" s="59">
        <f t="shared" si="4"/>
        <v>4.3699999999999983</v>
      </c>
      <c r="Y31" s="86">
        <v>4</v>
      </c>
      <c r="Z31" s="86">
        <f t="shared" si="5"/>
        <v>36.999999999999829</v>
      </c>
      <c r="AA31" s="98"/>
      <c r="AB31" s="86" t="s">
        <v>2</v>
      </c>
      <c r="AC31" s="86">
        <v>23</v>
      </c>
      <c r="AD31" s="58">
        <v>7.2</v>
      </c>
      <c r="AE31" s="96"/>
      <c r="AF31" s="96"/>
      <c r="AG31" s="53">
        <v>19.649999999999999</v>
      </c>
      <c r="AH31" s="58">
        <f t="shared" si="6"/>
        <v>12.45</v>
      </c>
      <c r="AI31" s="97">
        <v>7.3</v>
      </c>
      <c r="AJ31" s="58">
        <v>1</v>
      </c>
      <c r="AK31" s="59">
        <f t="shared" si="7"/>
        <v>4.1499999999999995</v>
      </c>
      <c r="AL31" s="86">
        <v>4</v>
      </c>
      <c r="AM31" s="86">
        <f t="shared" si="8"/>
        <v>14.999999999999947</v>
      </c>
      <c r="AN31" s="98"/>
      <c r="AP31" s="86" t="s">
        <v>2</v>
      </c>
      <c r="AQ31" s="86">
        <v>23</v>
      </c>
      <c r="AR31" s="58">
        <v>7.15</v>
      </c>
      <c r="AS31" s="96"/>
      <c r="AT31" s="96"/>
      <c r="AU31" s="139">
        <v>10.61</v>
      </c>
      <c r="AV31" s="58">
        <f t="shared" si="9"/>
        <v>3.4599999999999991</v>
      </c>
      <c r="AW31" s="97">
        <v>7.3</v>
      </c>
      <c r="AX31" s="58">
        <v>1</v>
      </c>
      <c r="AY31" s="59">
        <f t="shared" si="10"/>
        <v>-4.8400000000000007</v>
      </c>
      <c r="AZ31" s="86">
        <v>-4</v>
      </c>
      <c r="BA31" s="86">
        <f t="shared" si="11"/>
        <v>-84.000000000000071</v>
      </c>
      <c r="BB31" s="98" t="s">
        <v>217</v>
      </c>
      <c r="BC31" s="86" t="s">
        <v>2</v>
      </c>
      <c r="BD31" s="86">
        <v>23</v>
      </c>
      <c r="BE31" s="58">
        <v>7.15</v>
      </c>
      <c r="BF31" s="96"/>
      <c r="BG31" s="96"/>
      <c r="BH31" s="53">
        <v>19.670000000000002</v>
      </c>
      <c r="BI31" s="58">
        <f t="shared" si="12"/>
        <v>12.520000000000001</v>
      </c>
      <c r="BJ31" s="97">
        <v>7.3</v>
      </c>
      <c r="BK31" s="58">
        <v>1</v>
      </c>
      <c r="BL31" s="59">
        <f t="shared" si="13"/>
        <v>4.2200000000000015</v>
      </c>
      <c r="BM31" s="86">
        <v>4</v>
      </c>
      <c r="BN31" s="86">
        <f t="shared" si="14"/>
        <v>22.000000000000153</v>
      </c>
      <c r="BO31" s="98"/>
      <c r="BQ31" s="86" t="s">
        <v>2</v>
      </c>
      <c r="BR31" s="86">
        <v>23</v>
      </c>
      <c r="BS31" s="58">
        <v>7.15</v>
      </c>
      <c r="BT31" s="96"/>
      <c r="BU31" s="96"/>
      <c r="BV31" s="53">
        <v>19.64</v>
      </c>
      <c r="BW31" s="58">
        <f t="shared" si="24"/>
        <v>12.49</v>
      </c>
      <c r="BX31" s="97">
        <v>7.3</v>
      </c>
      <c r="BY31" s="58">
        <v>1</v>
      </c>
      <c r="BZ31" s="59">
        <f t="shared" si="25"/>
        <v>4.1900000000000004</v>
      </c>
      <c r="CA31" s="86">
        <v>4</v>
      </c>
      <c r="CB31" s="86">
        <f t="shared" si="26"/>
        <v>19.000000000000039</v>
      </c>
      <c r="CC31" s="98"/>
      <c r="CD31" s="86" t="s">
        <v>2</v>
      </c>
      <c r="CE31" s="86">
        <v>23</v>
      </c>
      <c r="CF31" s="58">
        <v>7.15</v>
      </c>
      <c r="CG31" s="96"/>
      <c r="CH31" s="96"/>
      <c r="CI31" s="53">
        <v>19.649999999999999</v>
      </c>
      <c r="CJ31" s="58">
        <f t="shared" si="15"/>
        <v>12.499999999999998</v>
      </c>
      <c r="CK31" s="97">
        <v>7.3</v>
      </c>
      <c r="CL31" s="58">
        <v>1</v>
      </c>
      <c r="CM31" s="59">
        <f t="shared" si="16"/>
        <v>4.1999999999999984</v>
      </c>
      <c r="CN31" s="86">
        <v>4</v>
      </c>
      <c r="CO31" s="86">
        <f t="shared" si="17"/>
        <v>19.99999999999984</v>
      </c>
      <c r="CP31" s="98"/>
      <c r="CR31" s="86" t="s">
        <v>2</v>
      </c>
      <c r="CS31" s="86">
        <v>23</v>
      </c>
      <c r="CT31" s="58">
        <v>7.15</v>
      </c>
      <c r="CU31" s="96"/>
      <c r="CV31" s="96"/>
      <c r="CW31" s="53">
        <v>19.649999999999999</v>
      </c>
      <c r="CX31" s="58">
        <f t="shared" si="30"/>
        <v>12.499999999999998</v>
      </c>
      <c r="CY31" s="97">
        <v>7.3</v>
      </c>
      <c r="CZ31" s="58">
        <v>1</v>
      </c>
      <c r="DA31" s="59">
        <f t="shared" si="31"/>
        <v>4.1999999999999984</v>
      </c>
      <c r="DB31" s="86">
        <v>4</v>
      </c>
      <c r="DC31" s="86">
        <f t="shared" si="32"/>
        <v>19.99999999999984</v>
      </c>
      <c r="DD31" s="98"/>
      <c r="DF31" s="86" t="s">
        <v>2</v>
      </c>
      <c r="DG31" s="86">
        <v>23</v>
      </c>
      <c r="DH31" s="58">
        <v>7.05</v>
      </c>
      <c r="DI31" s="96"/>
      <c r="DJ31" s="96"/>
      <c r="DK31" s="53">
        <v>19.649999999999999</v>
      </c>
      <c r="DL31" s="58">
        <f t="shared" si="21"/>
        <v>12.599999999999998</v>
      </c>
      <c r="DM31" s="97">
        <v>7.3</v>
      </c>
      <c r="DN31" s="58">
        <v>1</v>
      </c>
      <c r="DO31" s="59">
        <f t="shared" si="22"/>
        <v>4.299999999999998</v>
      </c>
      <c r="DP31" s="86">
        <v>4</v>
      </c>
      <c r="DQ31" s="86">
        <f t="shared" si="23"/>
        <v>29.999999999999805</v>
      </c>
      <c r="DR31" s="98"/>
    </row>
    <row r="32" spans="1:123" s="54" customFormat="1" ht="17.149999999999999" customHeight="1" x14ac:dyDescent="0.35">
      <c r="A32" s="86" t="s">
        <v>225</v>
      </c>
      <c r="B32" s="86">
        <v>24</v>
      </c>
      <c r="C32" s="58">
        <v>7.2</v>
      </c>
      <c r="D32" s="96"/>
      <c r="E32" s="96"/>
      <c r="F32" s="53">
        <v>19.600000000000001</v>
      </c>
      <c r="G32" s="58">
        <f t="shared" si="0"/>
        <v>12.400000000000002</v>
      </c>
      <c r="H32" s="97">
        <v>7.3</v>
      </c>
      <c r="I32" s="58">
        <v>1</v>
      </c>
      <c r="J32" s="59">
        <f t="shared" si="1"/>
        <v>4.1000000000000023</v>
      </c>
      <c r="K32" s="86">
        <v>4</v>
      </c>
      <c r="L32" s="86">
        <f t="shared" si="2"/>
        <v>10.000000000000231</v>
      </c>
      <c r="M32" s="98"/>
      <c r="N32"/>
      <c r="O32" s="86" t="s">
        <v>225</v>
      </c>
      <c r="P32" s="86">
        <v>24</v>
      </c>
      <c r="Q32" s="58">
        <v>7.3</v>
      </c>
      <c r="R32" s="96"/>
      <c r="S32" s="96"/>
      <c r="T32" s="53">
        <v>19.61</v>
      </c>
      <c r="U32" s="58">
        <f t="shared" si="3"/>
        <v>12.309999999999999</v>
      </c>
      <c r="V32" s="97">
        <v>7.3</v>
      </c>
      <c r="W32" s="58">
        <v>1</v>
      </c>
      <c r="X32" s="59">
        <f t="shared" si="4"/>
        <v>4.0099999999999989</v>
      </c>
      <c r="Y32" s="86">
        <v>4</v>
      </c>
      <c r="Z32" s="86">
        <f t="shared" si="5"/>
        <v>0.99999999999988987</v>
      </c>
      <c r="AA32" s="98"/>
      <c r="AB32" s="86" t="s">
        <v>225</v>
      </c>
      <c r="AC32" s="86">
        <v>24</v>
      </c>
      <c r="AD32" s="58">
        <v>7.2</v>
      </c>
      <c r="AE32" s="96"/>
      <c r="AF32" s="96"/>
      <c r="AG32" s="53">
        <v>19.600000000000001</v>
      </c>
      <c r="AH32" s="58">
        <f t="shared" si="6"/>
        <v>12.400000000000002</v>
      </c>
      <c r="AI32" s="97">
        <v>7.3</v>
      </c>
      <c r="AJ32" s="58">
        <v>1</v>
      </c>
      <c r="AK32" s="59">
        <f t="shared" si="7"/>
        <v>4.1000000000000023</v>
      </c>
      <c r="AL32" s="86">
        <v>4</v>
      </c>
      <c r="AM32" s="86">
        <f t="shared" si="8"/>
        <v>10.000000000000231</v>
      </c>
      <c r="AN32" s="98"/>
      <c r="AO32"/>
      <c r="AP32" s="86" t="s">
        <v>225</v>
      </c>
      <c r="AQ32" s="86">
        <v>24</v>
      </c>
      <c r="AR32" s="58">
        <v>7.15</v>
      </c>
      <c r="AS32" s="96"/>
      <c r="AT32" s="96"/>
      <c r="AU32" s="53">
        <v>19.600000000000001</v>
      </c>
      <c r="AV32" s="58">
        <f t="shared" si="9"/>
        <v>12.450000000000001</v>
      </c>
      <c r="AW32" s="97">
        <v>7.3</v>
      </c>
      <c r="AX32" s="58">
        <v>1</v>
      </c>
      <c r="AY32" s="59">
        <f t="shared" si="10"/>
        <v>4.1500000000000012</v>
      </c>
      <c r="AZ32" s="86">
        <v>4</v>
      </c>
      <c r="BA32" s="86">
        <f t="shared" si="11"/>
        <v>15.000000000000124</v>
      </c>
      <c r="BB32" s="98"/>
      <c r="BC32" s="86" t="s">
        <v>225</v>
      </c>
      <c r="BD32" s="86">
        <v>24</v>
      </c>
      <c r="BE32" s="58">
        <v>7.2</v>
      </c>
      <c r="BF32" s="96"/>
      <c r="BG32" s="96"/>
      <c r="BH32" s="53">
        <v>19.62</v>
      </c>
      <c r="BI32" s="58">
        <f t="shared" si="12"/>
        <v>12.420000000000002</v>
      </c>
      <c r="BJ32" s="97">
        <v>7.3</v>
      </c>
      <c r="BK32" s="58">
        <v>1</v>
      </c>
      <c r="BL32" s="59">
        <f t="shared" si="13"/>
        <v>4.1200000000000019</v>
      </c>
      <c r="BM32" s="86">
        <v>4</v>
      </c>
      <c r="BN32" s="86">
        <f t="shared" si="14"/>
        <v>12.000000000000188</v>
      </c>
      <c r="BO32" s="98"/>
      <c r="BP32"/>
      <c r="BQ32" s="86" t="s">
        <v>225</v>
      </c>
      <c r="BR32" s="86">
        <v>24</v>
      </c>
      <c r="BS32" s="58">
        <v>7.15</v>
      </c>
      <c r="BT32" s="96"/>
      <c r="BU32" s="96"/>
      <c r="BV32" s="53">
        <v>19.61</v>
      </c>
      <c r="BW32" s="58">
        <f t="shared" si="24"/>
        <v>12.459999999999999</v>
      </c>
      <c r="BX32" s="97">
        <v>7.3</v>
      </c>
      <c r="BY32" s="58">
        <v>1</v>
      </c>
      <c r="BZ32" s="59">
        <f t="shared" si="25"/>
        <v>4.1599999999999993</v>
      </c>
      <c r="CA32" s="86">
        <v>4</v>
      </c>
      <c r="CB32" s="86">
        <f t="shared" si="26"/>
        <v>15.999999999999925</v>
      </c>
      <c r="CC32" s="98"/>
      <c r="CD32" s="86" t="s">
        <v>225</v>
      </c>
      <c r="CE32" s="86">
        <v>24</v>
      </c>
      <c r="CF32" s="58">
        <v>7.15</v>
      </c>
      <c r="CG32" s="96"/>
      <c r="CH32" s="96"/>
      <c r="CI32" s="53">
        <v>19.61</v>
      </c>
      <c r="CJ32" s="58">
        <f t="shared" si="15"/>
        <v>12.459999999999999</v>
      </c>
      <c r="CK32" s="97">
        <v>7.3</v>
      </c>
      <c r="CL32" s="58">
        <v>1</v>
      </c>
      <c r="CM32" s="59">
        <f t="shared" si="16"/>
        <v>4.1599999999999993</v>
      </c>
      <c r="CN32" s="86">
        <v>4</v>
      </c>
      <c r="CO32" s="86">
        <f t="shared" si="17"/>
        <v>15.999999999999925</v>
      </c>
      <c r="CP32" s="98"/>
      <c r="CQ32"/>
      <c r="CR32" s="86" t="s">
        <v>225</v>
      </c>
      <c r="CS32" s="86">
        <v>24</v>
      </c>
      <c r="CT32" s="58">
        <v>7.15</v>
      </c>
      <c r="CU32" s="96"/>
      <c r="CV32" s="96"/>
      <c r="CW32" s="53">
        <v>19.61</v>
      </c>
      <c r="CX32" s="58">
        <f t="shared" si="30"/>
        <v>12.459999999999999</v>
      </c>
      <c r="CY32" s="97">
        <v>7.3</v>
      </c>
      <c r="CZ32" s="58">
        <v>1</v>
      </c>
      <c r="DA32" s="59">
        <f t="shared" si="31"/>
        <v>4.1599999999999993</v>
      </c>
      <c r="DB32" s="86">
        <v>4</v>
      </c>
      <c r="DC32" s="86">
        <f t="shared" si="32"/>
        <v>15.999999999999925</v>
      </c>
      <c r="DD32" s="98"/>
      <c r="DE32"/>
      <c r="DF32" s="86" t="s">
        <v>225</v>
      </c>
      <c r="DG32" s="86">
        <v>24</v>
      </c>
      <c r="DH32" s="58">
        <v>7.05</v>
      </c>
      <c r="DI32" s="96"/>
      <c r="DJ32" s="96"/>
      <c r="DK32" s="53">
        <v>19.600000000000001</v>
      </c>
      <c r="DL32" s="58">
        <f t="shared" si="21"/>
        <v>12.55</v>
      </c>
      <c r="DM32" s="97">
        <v>7.3</v>
      </c>
      <c r="DN32" s="58">
        <v>1</v>
      </c>
      <c r="DO32" s="59">
        <f t="shared" si="22"/>
        <v>4.2500000000000009</v>
      </c>
      <c r="DP32" s="86">
        <v>4</v>
      </c>
      <c r="DQ32" s="86">
        <f t="shared" si="23"/>
        <v>25.000000000000089</v>
      </c>
      <c r="DR32" s="98"/>
      <c r="DS32"/>
    </row>
    <row r="33" spans="1:123" ht="17.149999999999999" customHeight="1" x14ac:dyDescent="0.35">
      <c r="A33" s="86" t="s">
        <v>4</v>
      </c>
      <c r="B33" s="86">
        <v>25</v>
      </c>
      <c r="C33" s="58">
        <v>7.2</v>
      </c>
      <c r="D33" s="96"/>
      <c r="E33" s="96"/>
      <c r="F33" s="53">
        <v>19.63</v>
      </c>
      <c r="G33" s="58">
        <f t="shared" si="0"/>
        <v>12.43</v>
      </c>
      <c r="H33" s="97">
        <v>7.3</v>
      </c>
      <c r="I33" s="58">
        <v>1</v>
      </c>
      <c r="J33" s="59">
        <f t="shared" si="1"/>
        <v>4.13</v>
      </c>
      <c r="K33" s="86">
        <v>4</v>
      </c>
      <c r="L33" s="86">
        <f t="shared" si="2"/>
        <v>12.999999999999989</v>
      </c>
      <c r="M33" s="98"/>
      <c r="O33" s="86" t="s">
        <v>4</v>
      </c>
      <c r="P33" s="86">
        <v>25</v>
      </c>
      <c r="Q33" s="58">
        <v>7.3</v>
      </c>
      <c r="R33" s="96"/>
      <c r="S33" s="96"/>
      <c r="T33" s="53">
        <v>19.95</v>
      </c>
      <c r="U33" s="58">
        <f t="shared" si="3"/>
        <v>12.649999999999999</v>
      </c>
      <c r="V33" s="97">
        <v>7.3</v>
      </c>
      <c r="W33" s="58">
        <v>1</v>
      </c>
      <c r="X33" s="59">
        <f t="shared" si="4"/>
        <v>4.3499999999999988</v>
      </c>
      <c r="Y33" s="86">
        <v>4</v>
      </c>
      <c r="Z33" s="86">
        <f t="shared" si="5"/>
        <v>34.999999999999872</v>
      </c>
      <c r="AA33" s="98"/>
      <c r="AB33" s="86" t="s">
        <v>4</v>
      </c>
      <c r="AC33" s="86">
        <v>25</v>
      </c>
      <c r="AD33" s="58">
        <v>7.2</v>
      </c>
      <c r="AE33" s="96"/>
      <c r="AF33" s="96"/>
      <c r="AG33" s="53">
        <v>19.63</v>
      </c>
      <c r="AH33" s="58">
        <f t="shared" si="6"/>
        <v>12.43</v>
      </c>
      <c r="AI33" s="97">
        <v>7.3</v>
      </c>
      <c r="AJ33" s="58">
        <v>1</v>
      </c>
      <c r="AK33" s="59">
        <f t="shared" si="7"/>
        <v>4.13</v>
      </c>
      <c r="AL33" s="86">
        <v>4</v>
      </c>
      <c r="AM33" s="86">
        <f t="shared" si="8"/>
        <v>12.999999999999989</v>
      </c>
      <c r="AN33" s="98"/>
      <c r="AP33" s="86" t="s">
        <v>4</v>
      </c>
      <c r="AQ33" s="86">
        <v>25</v>
      </c>
      <c r="AR33" s="58">
        <v>7.15</v>
      </c>
      <c r="AS33" s="96"/>
      <c r="AT33" s="96"/>
      <c r="AU33" s="53">
        <v>19.95</v>
      </c>
      <c r="AV33" s="58">
        <f t="shared" si="9"/>
        <v>12.799999999999999</v>
      </c>
      <c r="AW33" s="97">
        <v>7.3</v>
      </c>
      <c r="AX33" s="58">
        <v>1</v>
      </c>
      <c r="AY33" s="59">
        <f t="shared" si="10"/>
        <v>4.4999999999999991</v>
      </c>
      <c r="AZ33" s="86">
        <v>4</v>
      </c>
      <c r="BA33" s="86">
        <f t="shared" si="11"/>
        <v>49.999999999999915</v>
      </c>
      <c r="BB33" s="98"/>
      <c r="BC33" s="86" t="s">
        <v>4</v>
      </c>
      <c r="BD33" s="86">
        <v>25</v>
      </c>
      <c r="BE33" s="58">
        <v>7.2</v>
      </c>
      <c r="BF33" s="96"/>
      <c r="BG33" s="96"/>
      <c r="BH33" s="53">
        <v>19.649999999999999</v>
      </c>
      <c r="BI33" s="58">
        <f t="shared" si="12"/>
        <v>12.45</v>
      </c>
      <c r="BJ33" s="97">
        <v>7.3</v>
      </c>
      <c r="BK33" s="58">
        <v>1</v>
      </c>
      <c r="BL33" s="59">
        <f t="shared" si="13"/>
        <v>4.1499999999999995</v>
      </c>
      <c r="BM33" s="86">
        <v>4</v>
      </c>
      <c r="BN33" s="86">
        <f t="shared" si="14"/>
        <v>14.999999999999947</v>
      </c>
      <c r="BO33" s="98"/>
      <c r="BQ33" s="86" t="s">
        <v>4</v>
      </c>
      <c r="BR33" s="86">
        <v>25</v>
      </c>
      <c r="BS33" s="58">
        <v>7.15</v>
      </c>
      <c r="BT33" s="96"/>
      <c r="BU33" s="96"/>
      <c r="BV33" s="53">
        <v>19.64</v>
      </c>
      <c r="BW33" s="58">
        <f t="shared" si="24"/>
        <v>12.49</v>
      </c>
      <c r="BX33" s="97">
        <v>7.3</v>
      </c>
      <c r="BY33" s="58">
        <v>1</v>
      </c>
      <c r="BZ33" s="59">
        <f t="shared" si="25"/>
        <v>4.1900000000000004</v>
      </c>
      <c r="CA33" s="86">
        <v>4</v>
      </c>
      <c r="CB33" s="86">
        <f t="shared" si="26"/>
        <v>19.000000000000039</v>
      </c>
      <c r="CC33" s="98"/>
      <c r="CD33" s="86" t="s">
        <v>4</v>
      </c>
      <c r="CE33" s="86">
        <v>25</v>
      </c>
      <c r="CF33" s="58">
        <v>7.15</v>
      </c>
      <c r="CG33" s="96"/>
      <c r="CH33" s="96"/>
      <c r="CI33" s="53">
        <v>19.64</v>
      </c>
      <c r="CJ33" s="58">
        <f t="shared" si="15"/>
        <v>12.49</v>
      </c>
      <c r="CK33" s="97">
        <v>7.3</v>
      </c>
      <c r="CL33" s="58">
        <v>1</v>
      </c>
      <c r="CM33" s="59">
        <f t="shared" si="16"/>
        <v>4.1900000000000004</v>
      </c>
      <c r="CN33" s="86">
        <v>4</v>
      </c>
      <c r="CO33" s="86">
        <f t="shared" si="17"/>
        <v>19.000000000000039</v>
      </c>
      <c r="CP33" s="98"/>
      <c r="CR33" s="86" t="s">
        <v>4</v>
      </c>
      <c r="CS33" s="86">
        <v>25</v>
      </c>
      <c r="CT33" s="58">
        <v>7.15</v>
      </c>
      <c r="CU33" s="96"/>
      <c r="CV33" s="96"/>
      <c r="CW33" s="53">
        <v>19.64</v>
      </c>
      <c r="CX33" s="58">
        <f t="shared" si="30"/>
        <v>12.49</v>
      </c>
      <c r="CY33" s="97">
        <v>7.3</v>
      </c>
      <c r="CZ33" s="58">
        <v>1</v>
      </c>
      <c r="DA33" s="59">
        <f t="shared" si="31"/>
        <v>4.1900000000000004</v>
      </c>
      <c r="DB33" s="86">
        <v>4</v>
      </c>
      <c r="DC33" s="86">
        <f t="shared" si="32"/>
        <v>19.000000000000039</v>
      </c>
      <c r="DD33" s="98"/>
      <c r="DF33" s="86" t="s">
        <v>4</v>
      </c>
      <c r="DG33" s="86">
        <v>25</v>
      </c>
      <c r="DH33" s="58">
        <v>7.05</v>
      </c>
      <c r="DI33" s="96"/>
      <c r="DJ33" s="96"/>
      <c r="DK33" s="53">
        <v>19.63</v>
      </c>
      <c r="DL33" s="58">
        <f t="shared" si="21"/>
        <v>12.579999999999998</v>
      </c>
      <c r="DM33" s="97">
        <v>7.3</v>
      </c>
      <c r="DN33" s="58">
        <v>1</v>
      </c>
      <c r="DO33" s="59">
        <f t="shared" si="22"/>
        <v>4.2799999999999985</v>
      </c>
      <c r="DP33" s="86">
        <v>4</v>
      </c>
      <c r="DQ33" s="86">
        <f t="shared" si="23"/>
        <v>27.999999999999847</v>
      </c>
      <c r="DR33" s="98"/>
    </row>
    <row r="34" spans="1:123" ht="17.149999999999999" customHeight="1" x14ac:dyDescent="0.35">
      <c r="A34" s="86" t="s">
        <v>5</v>
      </c>
      <c r="B34" s="86">
        <v>26</v>
      </c>
      <c r="C34" s="58">
        <v>7.2</v>
      </c>
      <c r="D34" s="96"/>
      <c r="E34" s="96"/>
      <c r="F34" s="53">
        <v>17.61</v>
      </c>
      <c r="G34" s="58">
        <f t="shared" si="0"/>
        <v>10.41</v>
      </c>
      <c r="H34" s="97">
        <v>7.3</v>
      </c>
      <c r="I34" s="58">
        <v>1</v>
      </c>
      <c r="J34" s="59">
        <f t="shared" si="1"/>
        <v>2.1100000000000003</v>
      </c>
      <c r="K34" s="86">
        <v>2</v>
      </c>
      <c r="L34" s="86">
        <f t="shared" si="2"/>
        <v>11.000000000000032</v>
      </c>
      <c r="M34" s="98"/>
      <c r="O34" s="86" t="s">
        <v>5</v>
      </c>
      <c r="P34" s="86">
        <v>26</v>
      </c>
      <c r="Q34" s="58">
        <v>7.3</v>
      </c>
      <c r="R34" s="96"/>
      <c r="S34" s="96"/>
      <c r="T34" s="53">
        <v>19.61</v>
      </c>
      <c r="U34" s="58">
        <f t="shared" si="3"/>
        <v>12.309999999999999</v>
      </c>
      <c r="V34" s="97">
        <v>7.3</v>
      </c>
      <c r="W34" s="58">
        <v>1</v>
      </c>
      <c r="X34" s="59">
        <f t="shared" si="4"/>
        <v>4.0099999999999989</v>
      </c>
      <c r="Y34" s="86">
        <v>4</v>
      </c>
      <c r="Z34" s="86">
        <f t="shared" si="5"/>
        <v>0.99999999999988987</v>
      </c>
      <c r="AA34" s="98"/>
      <c r="AB34" s="86" t="s">
        <v>5</v>
      </c>
      <c r="AC34" s="86">
        <v>26</v>
      </c>
      <c r="AD34" s="58">
        <v>7.2</v>
      </c>
      <c r="AE34" s="96"/>
      <c r="AF34" s="96"/>
      <c r="AG34" s="53">
        <v>17.61</v>
      </c>
      <c r="AH34" s="58">
        <f t="shared" si="6"/>
        <v>10.41</v>
      </c>
      <c r="AI34" s="97">
        <v>7.3</v>
      </c>
      <c r="AJ34" s="58">
        <v>1</v>
      </c>
      <c r="AK34" s="59">
        <f t="shared" si="7"/>
        <v>2.1100000000000003</v>
      </c>
      <c r="AL34" s="86">
        <v>2</v>
      </c>
      <c r="AM34" s="86">
        <f t="shared" si="8"/>
        <v>11.000000000000032</v>
      </c>
      <c r="AN34" s="98"/>
      <c r="AP34" s="86" t="s">
        <v>5</v>
      </c>
      <c r="AQ34" s="86">
        <v>26</v>
      </c>
      <c r="AR34" s="58">
        <v>7.15</v>
      </c>
      <c r="AS34" s="96"/>
      <c r="AT34" s="96"/>
      <c r="AU34" s="53">
        <v>19.62</v>
      </c>
      <c r="AV34" s="58">
        <f t="shared" si="9"/>
        <v>12.47</v>
      </c>
      <c r="AW34" s="97">
        <v>7.3</v>
      </c>
      <c r="AX34" s="58">
        <v>1</v>
      </c>
      <c r="AY34" s="59">
        <f t="shared" si="10"/>
        <v>4.1700000000000008</v>
      </c>
      <c r="AZ34" s="86">
        <v>4</v>
      </c>
      <c r="BA34" s="86">
        <f t="shared" si="11"/>
        <v>17.000000000000082</v>
      </c>
      <c r="BB34" s="98"/>
      <c r="BC34" s="86" t="s">
        <v>5</v>
      </c>
      <c r="BD34" s="86">
        <v>26</v>
      </c>
      <c r="BE34" s="58">
        <v>7.2</v>
      </c>
      <c r="BF34" s="96"/>
      <c r="BG34" s="96"/>
      <c r="BH34" s="53">
        <v>17.64</v>
      </c>
      <c r="BI34" s="58">
        <f t="shared" si="12"/>
        <v>10.440000000000001</v>
      </c>
      <c r="BJ34" s="97">
        <v>7.3</v>
      </c>
      <c r="BK34" s="58">
        <v>1</v>
      </c>
      <c r="BL34" s="59">
        <f t="shared" si="13"/>
        <v>2.1400000000000015</v>
      </c>
      <c r="BM34" s="86">
        <v>2</v>
      </c>
      <c r="BN34" s="86">
        <f t="shared" si="14"/>
        <v>14.000000000000146</v>
      </c>
      <c r="BO34" s="98"/>
      <c r="BQ34" s="86" t="s">
        <v>5</v>
      </c>
      <c r="BR34" s="86">
        <v>26</v>
      </c>
      <c r="BS34" s="58">
        <v>7.15</v>
      </c>
      <c r="BT34" s="96"/>
      <c r="BU34" s="96"/>
      <c r="BV34" s="53">
        <v>17.64</v>
      </c>
      <c r="BW34" s="58">
        <f t="shared" si="24"/>
        <v>10.49</v>
      </c>
      <c r="BX34" s="97">
        <v>7.3</v>
      </c>
      <c r="BY34" s="58">
        <v>1</v>
      </c>
      <c r="BZ34" s="59">
        <f t="shared" si="25"/>
        <v>2.1900000000000004</v>
      </c>
      <c r="CA34" s="86">
        <v>2</v>
      </c>
      <c r="CB34" s="86">
        <f t="shared" si="26"/>
        <v>19.000000000000039</v>
      </c>
      <c r="CC34" s="98"/>
      <c r="CD34" s="86" t="s">
        <v>5</v>
      </c>
      <c r="CE34" s="86">
        <v>26</v>
      </c>
      <c r="CF34" s="58">
        <v>7.15</v>
      </c>
      <c r="CG34" s="96"/>
      <c r="CH34" s="96"/>
      <c r="CI34" s="53">
        <v>17.64</v>
      </c>
      <c r="CJ34" s="58">
        <f t="shared" si="15"/>
        <v>10.49</v>
      </c>
      <c r="CK34" s="97">
        <v>7.3</v>
      </c>
      <c r="CL34" s="58">
        <v>1</v>
      </c>
      <c r="CM34" s="59">
        <f t="shared" si="16"/>
        <v>2.1900000000000004</v>
      </c>
      <c r="CN34" s="86">
        <v>2</v>
      </c>
      <c r="CO34" s="86">
        <f t="shared" si="17"/>
        <v>19.000000000000039</v>
      </c>
      <c r="CP34" s="98"/>
      <c r="CR34" s="86" t="s">
        <v>5</v>
      </c>
      <c r="CS34" s="86">
        <v>26</v>
      </c>
      <c r="CT34" s="58">
        <v>7.15</v>
      </c>
      <c r="CU34" s="96"/>
      <c r="CV34" s="96"/>
      <c r="CW34" s="53">
        <v>17.64</v>
      </c>
      <c r="CX34" s="58">
        <f t="shared" si="30"/>
        <v>10.49</v>
      </c>
      <c r="CY34" s="97">
        <v>7.3</v>
      </c>
      <c r="CZ34" s="58">
        <v>1</v>
      </c>
      <c r="DA34" s="59">
        <f t="shared" si="31"/>
        <v>2.1900000000000004</v>
      </c>
      <c r="DB34" s="86">
        <v>2</v>
      </c>
      <c r="DC34" s="86">
        <f t="shared" si="32"/>
        <v>19.000000000000039</v>
      </c>
      <c r="DD34" s="98"/>
      <c r="DF34" s="86" t="s">
        <v>5</v>
      </c>
      <c r="DG34" s="86">
        <v>26</v>
      </c>
      <c r="DH34" s="58">
        <v>7.05</v>
      </c>
      <c r="DI34" s="96"/>
      <c r="DJ34" s="96"/>
      <c r="DK34" s="53">
        <v>17.61</v>
      </c>
      <c r="DL34" s="58">
        <f t="shared" si="21"/>
        <v>10.559999999999999</v>
      </c>
      <c r="DM34" s="97">
        <v>7.3</v>
      </c>
      <c r="DN34" s="58">
        <v>1</v>
      </c>
      <c r="DO34" s="59">
        <f t="shared" si="22"/>
        <v>2.2599999999999989</v>
      </c>
      <c r="DP34" s="86">
        <v>2</v>
      </c>
      <c r="DQ34" s="86">
        <f t="shared" si="23"/>
        <v>25.99999999999989</v>
      </c>
      <c r="DR34" s="98"/>
    </row>
    <row r="35" spans="1:123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0"/>
        <v>0</v>
      </c>
      <c r="H35" s="56"/>
      <c r="I35" s="52"/>
      <c r="J35" s="57">
        <f t="shared" si="1"/>
        <v>0</v>
      </c>
      <c r="K35" s="55">
        <v>0</v>
      </c>
      <c r="L35" s="55">
        <f t="shared" si="2"/>
        <v>0</v>
      </c>
      <c r="M35" s="95"/>
      <c r="O35" s="55" t="s">
        <v>6</v>
      </c>
      <c r="P35" s="55">
        <v>27</v>
      </c>
      <c r="Q35" s="52"/>
      <c r="R35" s="52"/>
      <c r="S35" s="52"/>
      <c r="T35" s="52"/>
      <c r="U35" s="52">
        <f t="shared" si="3"/>
        <v>0</v>
      </c>
      <c r="V35" s="56"/>
      <c r="W35" s="52"/>
      <c r="X35" s="57">
        <f t="shared" si="4"/>
        <v>0</v>
      </c>
      <c r="Y35" s="55"/>
      <c r="Z35" s="55">
        <f t="shared" si="5"/>
        <v>0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>
        <v>0</v>
      </c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9"/>
        <v>0</v>
      </c>
      <c r="AW35" s="56"/>
      <c r="AX35" s="52"/>
      <c r="AY35" s="57">
        <f t="shared" si="10"/>
        <v>0</v>
      </c>
      <c r="AZ35" s="55"/>
      <c r="BA35" s="55">
        <f t="shared" si="11"/>
        <v>0</v>
      </c>
      <c r="BB35" s="95"/>
      <c r="BC35" s="55" t="s">
        <v>6</v>
      </c>
      <c r="BD35" s="55">
        <v>27</v>
      </c>
      <c r="BE35" s="52"/>
      <c r="BF35" s="52"/>
      <c r="BG35" s="52"/>
      <c r="BH35" s="52"/>
      <c r="BI35" s="52">
        <f t="shared" si="12"/>
        <v>0</v>
      </c>
      <c r="BJ35" s="56"/>
      <c r="BK35" s="52"/>
      <c r="BL35" s="57">
        <f t="shared" si="13"/>
        <v>0</v>
      </c>
      <c r="BM35" s="55">
        <v>0</v>
      </c>
      <c r="BN35" s="55">
        <f t="shared" si="14"/>
        <v>0</v>
      </c>
      <c r="BO35" s="95"/>
      <c r="BQ35" s="55" t="s">
        <v>6</v>
      </c>
      <c r="BR35" s="55">
        <v>27</v>
      </c>
      <c r="BS35" s="52"/>
      <c r="BT35" s="52"/>
      <c r="BU35" s="52"/>
      <c r="BV35" s="52"/>
      <c r="BW35" s="52">
        <f t="shared" si="24"/>
        <v>0</v>
      </c>
      <c r="BX35" s="56"/>
      <c r="BY35" s="52"/>
      <c r="BZ35" s="57">
        <f t="shared" si="25"/>
        <v>0</v>
      </c>
      <c r="CA35" s="55"/>
      <c r="CB35" s="55">
        <f t="shared" si="26"/>
        <v>0</v>
      </c>
      <c r="CC35" s="95"/>
      <c r="CD35" s="55" t="s">
        <v>6</v>
      </c>
      <c r="CE35" s="55">
        <v>27</v>
      </c>
      <c r="CF35" s="52"/>
      <c r="CG35" s="52"/>
      <c r="CH35" s="52"/>
      <c r="CI35" s="52"/>
      <c r="CJ35" s="52">
        <f t="shared" si="15"/>
        <v>0</v>
      </c>
      <c r="CK35" s="56"/>
      <c r="CL35" s="52"/>
      <c r="CM35" s="57">
        <f t="shared" si="16"/>
        <v>0</v>
      </c>
      <c r="CN35" s="55"/>
      <c r="CO35" s="55">
        <f t="shared" si="17"/>
        <v>0</v>
      </c>
      <c r="CP35" s="95"/>
      <c r="CR35" s="55" t="s">
        <v>6</v>
      </c>
      <c r="CS35" s="55">
        <v>27</v>
      </c>
      <c r="CT35" s="52"/>
      <c r="CU35" s="52"/>
      <c r="CV35" s="52">
        <v>9.0500000000000007</v>
      </c>
      <c r="CW35" s="52">
        <v>11.31</v>
      </c>
      <c r="CX35" s="52">
        <f t="shared" si="30"/>
        <v>2.2599999999999998</v>
      </c>
      <c r="CY35" s="56"/>
      <c r="CZ35" s="52"/>
      <c r="DA35" s="57">
        <f t="shared" si="31"/>
        <v>2.2599999999999998</v>
      </c>
      <c r="DB35" s="55">
        <v>2</v>
      </c>
      <c r="DC35" s="55">
        <f t="shared" si="32"/>
        <v>25.999999999999979</v>
      </c>
      <c r="DD35" s="95"/>
      <c r="DF35" s="55" t="s">
        <v>6</v>
      </c>
      <c r="DG35" s="55">
        <v>27</v>
      </c>
      <c r="DH35" s="52"/>
      <c r="DI35" s="52"/>
      <c r="DJ35" s="52">
        <v>9.1</v>
      </c>
      <c r="DK35" s="52">
        <v>11.3</v>
      </c>
      <c r="DL35" s="52">
        <f t="shared" si="21"/>
        <v>2.2000000000000011</v>
      </c>
      <c r="DM35" s="56"/>
      <c r="DN35" s="52"/>
      <c r="DO35" s="57">
        <f t="shared" si="22"/>
        <v>2.2000000000000011</v>
      </c>
      <c r="DP35" s="55">
        <v>2</v>
      </c>
      <c r="DQ35" s="55">
        <f t="shared" si="23"/>
        <v>20.000000000000107</v>
      </c>
      <c r="DR35" s="95"/>
    </row>
    <row r="36" spans="1:123" ht="17.149999999999999" customHeight="1" x14ac:dyDescent="0.35">
      <c r="A36" s="86" t="s">
        <v>1</v>
      </c>
      <c r="B36" s="86">
        <v>28</v>
      </c>
      <c r="C36" s="58">
        <v>7.2</v>
      </c>
      <c r="D36" s="96"/>
      <c r="E36" s="96"/>
      <c r="F36" s="53">
        <v>18.62</v>
      </c>
      <c r="G36" s="58">
        <f t="shared" si="0"/>
        <v>11.420000000000002</v>
      </c>
      <c r="H36" s="97">
        <v>7.3</v>
      </c>
      <c r="I36" s="58">
        <v>1</v>
      </c>
      <c r="J36" s="59">
        <f t="shared" si="1"/>
        <v>3.1200000000000019</v>
      </c>
      <c r="K36" s="86">
        <v>3</v>
      </c>
      <c r="L36" s="86">
        <f t="shared" si="2"/>
        <v>12.000000000000188</v>
      </c>
      <c r="M36" s="98"/>
      <c r="O36" s="86" t="s">
        <v>1</v>
      </c>
      <c r="P36" s="86">
        <v>28</v>
      </c>
      <c r="Q36" s="58">
        <v>7.3</v>
      </c>
      <c r="R36" s="96"/>
      <c r="S36" s="96"/>
      <c r="T36" s="53">
        <v>18.75</v>
      </c>
      <c r="U36" s="58">
        <f t="shared" si="3"/>
        <v>11.45</v>
      </c>
      <c r="V36" s="97">
        <v>7.3</v>
      </c>
      <c r="W36" s="58">
        <v>1</v>
      </c>
      <c r="X36" s="59">
        <f t="shared" si="4"/>
        <v>3.1499999999999995</v>
      </c>
      <c r="Y36" s="86">
        <v>3</v>
      </c>
      <c r="Z36" s="86">
        <f t="shared" si="5"/>
        <v>14.999999999999947</v>
      </c>
      <c r="AA36" s="98"/>
      <c r="AB36" s="86" t="s">
        <v>1</v>
      </c>
      <c r="AC36" s="86">
        <v>28</v>
      </c>
      <c r="AD36" s="58">
        <v>7.2</v>
      </c>
      <c r="AE36" s="96"/>
      <c r="AF36" s="96"/>
      <c r="AG36" s="53">
        <v>18.62</v>
      </c>
      <c r="AH36" s="58">
        <f t="shared" si="6"/>
        <v>11.420000000000002</v>
      </c>
      <c r="AI36" s="97">
        <v>7.3</v>
      </c>
      <c r="AJ36" s="58">
        <v>1</v>
      </c>
      <c r="AK36" s="59">
        <f t="shared" si="7"/>
        <v>3.1200000000000019</v>
      </c>
      <c r="AL36" s="86">
        <v>3</v>
      </c>
      <c r="AM36" s="86">
        <f t="shared" si="8"/>
        <v>12.000000000000188</v>
      </c>
      <c r="AN36" s="98"/>
      <c r="AP36" s="86" t="s">
        <v>1</v>
      </c>
      <c r="AQ36" s="86">
        <v>28</v>
      </c>
      <c r="AR36" s="58">
        <v>7.15</v>
      </c>
      <c r="AS36" s="96"/>
      <c r="AT36" s="96"/>
      <c r="AU36" s="53">
        <v>18.75</v>
      </c>
      <c r="AV36" s="58">
        <f t="shared" si="9"/>
        <v>11.6</v>
      </c>
      <c r="AW36" s="97">
        <v>7.3</v>
      </c>
      <c r="AX36" s="58">
        <v>1</v>
      </c>
      <c r="AY36" s="59">
        <f t="shared" si="10"/>
        <v>3.3</v>
      </c>
      <c r="AZ36" s="86">
        <v>3</v>
      </c>
      <c r="BA36" s="86">
        <f t="shared" si="11"/>
        <v>29.999999999999982</v>
      </c>
      <c r="BB36" s="98"/>
      <c r="BC36" s="86" t="s">
        <v>1</v>
      </c>
      <c r="BD36" s="86">
        <v>28</v>
      </c>
      <c r="BE36" s="58">
        <v>7.2</v>
      </c>
      <c r="BF36" s="96"/>
      <c r="BG36" s="96"/>
      <c r="BH36" s="53">
        <v>18.760000000000002</v>
      </c>
      <c r="BI36" s="58">
        <f t="shared" si="12"/>
        <v>11.560000000000002</v>
      </c>
      <c r="BJ36" s="97">
        <v>7.3</v>
      </c>
      <c r="BK36" s="58">
        <v>1</v>
      </c>
      <c r="BL36" s="59">
        <f t="shared" si="13"/>
        <v>3.2600000000000025</v>
      </c>
      <c r="BM36" s="86">
        <v>3</v>
      </c>
      <c r="BN36" s="86">
        <f t="shared" si="14"/>
        <v>26.000000000000245</v>
      </c>
      <c r="BO36" s="98"/>
      <c r="BQ36" s="86" t="s">
        <v>1</v>
      </c>
      <c r="BR36" s="86">
        <v>28</v>
      </c>
      <c r="BS36" s="58">
        <v>7.15</v>
      </c>
      <c r="BT36" s="96"/>
      <c r="BU36" s="96"/>
      <c r="BV36" s="53">
        <v>18.760000000000002</v>
      </c>
      <c r="BW36" s="58">
        <f t="shared" si="24"/>
        <v>11.610000000000001</v>
      </c>
      <c r="BX36" s="97">
        <v>7.3</v>
      </c>
      <c r="BY36" s="58">
        <v>1</v>
      </c>
      <c r="BZ36" s="59">
        <f t="shared" si="25"/>
        <v>3.3100000000000014</v>
      </c>
      <c r="CA36" s="86">
        <v>3</v>
      </c>
      <c r="CB36" s="86">
        <f t="shared" si="26"/>
        <v>31.000000000000139</v>
      </c>
      <c r="CC36" s="98"/>
      <c r="CD36" s="86" t="s">
        <v>1</v>
      </c>
      <c r="CE36" s="86">
        <v>28</v>
      </c>
      <c r="CF36" s="58">
        <v>7.15</v>
      </c>
      <c r="CG36" s="96"/>
      <c r="CH36" s="96"/>
      <c r="CI36" s="53">
        <v>18.63</v>
      </c>
      <c r="CJ36" s="58">
        <f t="shared" si="15"/>
        <v>11.479999999999999</v>
      </c>
      <c r="CK36" s="97">
        <v>7.3</v>
      </c>
      <c r="CL36" s="58">
        <v>1</v>
      </c>
      <c r="CM36" s="59">
        <f t="shared" si="16"/>
        <v>3.1799999999999988</v>
      </c>
      <c r="CN36" s="86">
        <v>3</v>
      </c>
      <c r="CO36" s="86">
        <f t="shared" si="17"/>
        <v>17.999999999999883</v>
      </c>
      <c r="CP36" s="98"/>
      <c r="CR36" s="86" t="s">
        <v>1</v>
      </c>
      <c r="CS36" s="86">
        <v>28</v>
      </c>
      <c r="CT36" s="58">
        <v>7.15</v>
      </c>
      <c r="CU36" s="96"/>
      <c r="CV36" s="96"/>
      <c r="CW36" s="53">
        <v>18.63</v>
      </c>
      <c r="CX36" s="58">
        <f t="shared" si="30"/>
        <v>11.479999999999999</v>
      </c>
      <c r="CY36" s="97">
        <v>7.3</v>
      </c>
      <c r="CZ36" s="58">
        <v>1</v>
      </c>
      <c r="DA36" s="59">
        <f t="shared" si="31"/>
        <v>3.1799999999999988</v>
      </c>
      <c r="DB36" s="86">
        <v>3</v>
      </c>
      <c r="DC36" s="86">
        <f t="shared" si="32"/>
        <v>17.999999999999883</v>
      </c>
      <c r="DD36" s="98"/>
      <c r="DF36" s="86" t="s">
        <v>1</v>
      </c>
      <c r="DG36" s="86">
        <v>28</v>
      </c>
      <c r="DH36" s="58">
        <v>7.05</v>
      </c>
      <c r="DI36" s="96"/>
      <c r="DJ36" s="96"/>
      <c r="DK36" s="53">
        <v>18.62</v>
      </c>
      <c r="DL36" s="58">
        <f t="shared" si="21"/>
        <v>11.57</v>
      </c>
      <c r="DM36" s="97">
        <v>7.3</v>
      </c>
      <c r="DN36" s="58">
        <v>1</v>
      </c>
      <c r="DO36" s="59">
        <f t="shared" si="22"/>
        <v>3.2700000000000005</v>
      </c>
      <c r="DP36" s="86">
        <v>3</v>
      </c>
      <c r="DQ36" s="86">
        <f t="shared" si="23"/>
        <v>27.000000000000046</v>
      </c>
      <c r="DR36" s="98"/>
    </row>
    <row r="37" spans="1:123" ht="17.149999999999999" customHeight="1" x14ac:dyDescent="0.35">
      <c r="A37" s="86" t="s">
        <v>216</v>
      </c>
      <c r="B37" s="86">
        <v>29</v>
      </c>
      <c r="C37" s="58">
        <v>7.2</v>
      </c>
      <c r="D37" s="96"/>
      <c r="E37" s="96"/>
      <c r="F37" s="53">
        <v>17.93</v>
      </c>
      <c r="G37" s="58">
        <f t="shared" si="0"/>
        <v>10.73</v>
      </c>
      <c r="H37" s="97">
        <v>7.3</v>
      </c>
      <c r="I37" s="58">
        <v>1</v>
      </c>
      <c r="J37" s="59">
        <f t="shared" si="1"/>
        <v>2.4300000000000006</v>
      </c>
      <c r="K37" s="86">
        <v>2</v>
      </c>
      <c r="L37" s="86">
        <f t="shared" si="2"/>
        <v>43.000000000000057</v>
      </c>
      <c r="M37" s="98"/>
      <c r="O37" s="86" t="s">
        <v>216</v>
      </c>
      <c r="P37" s="86">
        <v>29</v>
      </c>
      <c r="Q37" s="58">
        <v>7.3</v>
      </c>
      <c r="R37" s="96"/>
      <c r="S37" s="96"/>
      <c r="T37" s="53">
        <v>18.98</v>
      </c>
      <c r="U37" s="58">
        <f t="shared" si="3"/>
        <v>11.68</v>
      </c>
      <c r="V37" s="97">
        <v>7.3</v>
      </c>
      <c r="W37" s="58">
        <v>1</v>
      </c>
      <c r="X37" s="59">
        <f t="shared" si="4"/>
        <v>3.38</v>
      </c>
      <c r="Y37" s="86">
        <v>3</v>
      </c>
      <c r="Z37" s="86">
        <f t="shared" si="5"/>
        <v>37.999999999999986</v>
      </c>
      <c r="AA37" s="98"/>
      <c r="AB37" s="86" t="s">
        <v>216</v>
      </c>
      <c r="AC37" s="86">
        <v>29</v>
      </c>
      <c r="AD37" s="58">
        <v>7.2</v>
      </c>
      <c r="AE37" s="96"/>
      <c r="AF37" s="96"/>
      <c r="AG37" s="53">
        <v>17.93</v>
      </c>
      <c r="AH37" s="58">
        <f t="shared" si="6"/>
        <v>10.73</v>
      </c>
      <c r="AI37" s="97">
        <v>7.3</v>
      </c>
      <c r="AJ37" s="58">
        <v>1</v>
      </c>
      <c r="AK37" s="59">
        <f t="shared" si="7"/>
        <v>2.4300000000000006</v>
      </c>
      <c r="AL37" s="86">
        <v>2</v>
      </c>
      <c r="AM37" s="86">
        <f t="shared" si="8"/>
        <v>43.000000000000057</v>
      </c>
      <c r="AN37" s="98"/>
      <c r="AP37" s="86" t="s">
        <v>216</v>
      </c>
      <c r="AQ37" s="86">
        <v>29</v>
      </c>
      <c r="AR37" s="58">
        <v>7.15</v>
      </c>
      <c r="AS37" s="96"/>
      <c r="AT37" s="96"/>
      <c r="AU37" s="53">
        <v>18.98</v>
      </c>
      <c r="AV37" s="58">
        <f t="shared" si="9"/>
        <v>11.83</v>
      </c>
      <c r="AW37" s="97">
        <v>7.3</v>
      </c>
      <c r="AX37" s="58">
        <v>1</v>
      </c>
      <c r="AY37" s="59">
        <f t="shared" si="10"/>
        <v>3.5300000000000002</v>
      </c>
      <c r="AZ37" s="86">
        <v>3</v>
      </c>
      <c r="BA37" s="86">
        <f t="shared" si="11"/>
        <v>53.000000000000028</v>
      </c>
      <c r="BB37" s="98"/>
      <c r="BC37" s="86" t="s">
        <v>216</v>
      </c>
      <c r="BD37" s="86">
        <v>29</v>
      </c>
      <c r="BE37" s="58">
        <v>7.2</v>
      </c>
      <c r="BF37" s="96"/>
      <c r="BG37" s="96"/>
      <c r="BH37" s="53">
        <v>18.98</v>
      </c>
      <c r="BI37" s="58">
        <f t="shared" si="12"/>
        <v>11.780000000000001</v>
      </c>
      <c r="BJ37" s="97">
        <v>7.3</v>
      </c>
      <c r="BK37" s="58">
        <v>1</v>
      </c>
      <c r="BL37" s="59">
        <f t="shared" si="13"/>
        <v>3.4800000000000013</v>
      </c>
      <c r="BM37" s="86">
        <v>3</v>
      </c>
      <c r="BN37" s="86">
        <f t="shared" si="14"/>
        <v>48.000000000000128</v>
      </c>
      <c r="BO37" s="98"/>
      <c r="BQ37" s="86" t="s">
        <v>216</v>
      </c>
      <c r="BR37" s="86">
        <v>29</v>
      </c>
      <c r="BS37" s="58">
        <v>7.15</v>
      </c>
      <c r="BT37" s="96"/>
      <c r="BU37" s="96"/>
      <c r="BV37" s="53">
        <v>17.97</v>
      </c>
      <c r="BW37" s="58">
        <f t="shared" si="24"/>
        <v>10.819999999999999</v>
      </c>
      <c r="BX37" s="97">
        <v>7.3</v>
      </c>
      <c r="BY37" s="58">
        <v>1</v>
      </c>
      <c r="BZ37" s="59">
        <f t="shared" si="25"/>
        <v>2.5199999999999987</v>
      </c>
      <c r="CA37" s="86">
        <v>2</v>
      </c>
      <c r="CB37" s="86">
        <f t="shared" si="26"/>
        <v>51.999999999999872</v>
      </c>
      <c r="CC37" s="98"/>
      <c r="CD37" s="86" t="s">
        <v>216</v>
      </c>
      <c r="CE37" s="86">
        <v>29</v>
      </c>
      <c r="CF37" s="58">
        <v>7.15</v>
      </c>
      <c r="CG37" s="96"/>
      <c r="CH37" s="96"/>
      <c r="CI37" s="53">
        <v>17.98</v>
      </c>
      <c r="CJ37" s="58">
        <f t="shared" si="15"/>
        <v>10.83</v>
      </c>
      <c r="CK37" s="97">
        <v>7.3</v>
      </c>
      <c r="CL37" s="58">
        <v>1</v>
      </c>
      <c r="CM37" s="59">
        <f t="shared" si="16"/>
        <v>2.5300000000000002</v>
      </c>
      <c r="CN37" s="86">
        <v>2</v>
      </c>
      <c r="CO37" s="86">
        <f t="shared" si="17"/>
        <v>53.000000000000028</v>
      </c>
      <c r="CP37" s="98"/>
      <c r="CR37" s="86" t="s">
        <v>216</v>
      </c>
      <c r="CS37" s="86">
        <v>29</v>
      </c>
      <c r="CT37" s="58">
        <v>7.15</v>
      </c>
      <c r="CU37" s="96"/>
      <c r="CV37" s="96"/>
      <c r="CW37" s="53">
        <v>17.98</v>
      </c>
      <c r="CX37" s="58">
        <f t="shared" si="30"/>
        <v>10.83</v>
      </c>
      <c r="CY37" s="97">
        <v>7.3</v>
      </c>
      <c r="CZ37" s="58">
        <v>1</v>
      </c>
      <c r="DA37" s="59">
        <f t="shared" si="31"/>
        <v>2.5300000000000002</v>
      </c>
      <c r="DB37" s="86">
        <v>2</v>
      </c>
      <c r="DC37" s="86">
        <f t="shared" si="32"/>
        <v>53.000000000000028</v>
      </c>
      <c r="DD37" s="98"/>
      <c r="DF37" s="86" t="s">
        <v>216</v>
      </c>
      <c r="DG37" s="86">
        <v>29</v>
      </c>
      <c r="DH37" s="58">
        <v>7.05</v>
      </c>
      <c r="DI37" s="96"/>
      <c r="DJ37" s="96"/>
      <c r="DK37" s="53">
        <v>17.93</v>
      </c>
      <c r="DL37" s="58">
        <f t="shared" si="21"/>
        <v>10.879999999999999</v>
      </c>
      <c r="DM37" s="97">
        <v>7.3</v>
      </c>
      <c r="DN37" s="58">
        <v>1</v>
      </c>
      <c r="DO37" s="59">
        <f t="shared" si="22"/>
        <v>2.5799999999999992</v>
      </c>
      <c r="DP37" s="86">
        <v>2</v>
      </c>
      <c r="DQ37" s="86">
        <f t="shared" si="23"/>
        <v>57.999999999999915</v>
      </c>
      <c r="DR37" s="98"/>
    </row>
    <row r="38" spans="1:123" ht="17.149999999999999" customHeight="1" x14ac:dyDescent="0.35">
      <c r="A38" s="86" t="s">
        <v>2</v>
      </c>
      <c r="B38" s="86">
        <v>30</v>
      </c>
      <c r="C38" s="58">
        <v>7.2</v>
      </c>
      <c r="D38" s="96"/>
      <c r="E38" s="96"/>
      <c r="F38" s="53">
        <v>18.62</v>
      </c>
      <c r="G38" s="58">
        <f t="shared" si="0"/>
        <v>11.420000000000002</v>
      </c>
      <c r="H38" s="97">
        <v>7.3</v>
      </c>
      <c r="I38" s="58">
        <v>1</v>
      </c>
      <c r="J38" s="59">
        <f t="shared" si="1"/>
        <v>3.1200000000000019</v>
      </c>
      <c r="K38" s="86">
        <v>3</v>
      </c>
      <c r="L38" s="86">
        <f t="shared" si="2"/>
        <v>12.000000000000188</v>
      </c>
      <c r="M38" s="98"/>
      <c r="O38" s="86" t="s">
        <v>2</v>
      </c>
      <c r="P38" s="86">
        <v>30</v>
      </c>
      <c r="Q38" s="58">
        <v>7.3</v>
      </c>
      <c r="R38" s="96"/>
      <c r="S38" s="96"/>
      <c r="T38" s="53">
        <v>18.989999999999998</v>
      </c>
      <c r="U38" s="58">
        <f t="shared" si="3"/>
        <v>11.689999999999998</v>
      </c>
      <c r="V38" s="97">
        <v>7.3</v>
      </c>
      <c r="W38" s="58">
        <v>1</v>
      </c>
      <c r="X38" s="59">
        <f t="shared" si="4"/>
        <v>3.3899999999999979</v>
      </c>
      <c r="Y38" s="86">
        <v>3</v>
      </c>
      <c r="Z38" s="86">
        <f t="shared" si="5"/>
        <v>38.999999999999787</v>
      </c>
      <c r="AA38" s="98"/>
      <c r="AB38" s="86" t="s">
        <v>2</v>
      </c>
      <c r="AC38" s="86">
        <v>30</v>
      </c>
      <c r="AD38" s="58">
        <v>7.2</v>
      </c>
      <c r="AE38" s="96"/>
      <c r="AF38" s="96"/>
      <c r="AG38" s="53">
        <v>18.62</v>
      </c>
      <c r="AH38" s="58">
        <f t="shared" si="6"/>
        <v>11.420000000000002</v>
      </c>
      <c r="AI38" s="97">
        <v>7.3</v>
      </c>
      <c r="AJ38" s="58">
        <v>1</v>
      </c>
      <c r="AK38" s="59">
        <f t="shared" si="7"/>
        <v>3.1200000000000019</v>
      </c>
      <c r="AL38" s="86">
        <v>3</v>
      </c>
      <c r="AM38" s="86">
        <f t="shared" si="8"/>
        <v>12.000000000000188</v>
      </c>
      <c r="AN38" s="98"/>
      <c r="AP38" s="86" t="s">
        <v>2</v>
      </c>
      <c r="AQ38" s="86">
        <v>30</v>
      </c>
      <c r="AR38" s="58">
        <v>7.15</v>
      </c>
      <c r="AS38" s="96"/>
      <c r="AT38" s="96"/>
      <c r="AU38" s="53">
        <v>19.399999999999999</v>
      </c>
      <c r="AV38" s="58">
        <f t="shared" si="9"/>
        <v>12.249999999999998</v>
      </c>
      <c r="AW38" s="97">
        <v>7.3</v>
      </c>
      <c r="AX38" s="58">
        <v>1.4</v>
      </c>
      <c r="AY38" s="59">
        <f t="shared" si="10"/>
        <v>3.5499999999999985</v>
      </c>
      <c r="AZ38" s="86">
        <v>3</v>
      </c>
      <c r="BA38" s="86">
        <f t="shared" si="11"/>
        <v>54.999999999999851</v>
      </c>
      <c r="BB38" s="98"/>
      <c r="BC38" s="86" t="s">
        <v>2</v>
      </c>
      <c r="BD38" s="86">
        <v>30</v>
      </c>
      <c r="BE38" s="58">
        <v>7.2</v>
      </c>
      <c r="BF38" s="96"/>
      <c r="BG38" s="96"/>
      <c r="BH38" s="53">
        <v>19.399999999999999</v>
      </c>
      <c r="BI38" s="58">
        <f t="shared" si="12"/>
        <v>12.2</v>
      </c>
      <c r="BJ38" s="97">
        <v>7.3</v>
      </c>
      <c r="BK38" s="58">
        <v>1.4</v>
      </c>
      <c r="BL38" s="59">
        <f t="shared" si="13"/>
        <v>3.4999999999999996</v>
      </c>
      <c r="BM38" s="86">
        <v>3</v>
      </c>
      <c r="BN38" s="86">
        <f t="shared" si="14"/>
        <v>49.999999999999957</v>
      </c>
      <c r="BO38" s="98"/>
      <c r="BQ38" s="86" t="s">
        <v>2</v>
      </c>
      <c r="BR38" s="86">
        <v>30</v>
      </c>
      <c r="BS38" s="58">
        <v>7.15</v>
      </c>
      <c r="BT38" s="96"/>
      <c r="BU38" s="96"/>
      <c r="BV38" s="53">
        <v>18.989999999999998</v>
      </c>
      <c r="BW38" s="58">
        <f t="shared" si="24"/>
        <v>11.839999999999998</v>
      </c>
      <c r="BX38" s="97">
        <v>7.3</v>
      </c>
      <c r="BY38" s="58">
        <v>1.4</v>
      </c>
      <c r="BZ38" s="59">
        <f t="shared" si="25"/>
        <v>3.1399999999999983</v>
      </c>
      <c r="CA38" s="86">
        <v>3</v>
      </c>
      <c r="CB38" s="86">
        <f t="shared" si="26"/>
        <v>13.999999999999835</v>
      </c>
      <c r="CC38" s="98"/>
      <c r="CD38" s="86" t="s">
        <v>2</v>
      </c>
      <c r="CE38" s="86">
        <v>30</v>
      </c>
      <c r="CF38" s="58">
        <v>7.15</v>
      </c>
      <c r="CG38" s="96"/>
      <c r="CH38" s="96"/>
      <c r="CI38" s="53">
        <v>18.63</v>
      </c>
      <c r="CJ38" s="58">
        <f t="shared" si="15"/>
        <v>11.479999999999999</v>
      </c>
      <c r="CK38" s="97">
        <v>7.3</v>
      </c>
      <c r="CL38" s="58">
        <v>1</v>
      </c>
      <c r="CM38" s="59">
        <f t="shared" si="16"/>
        <v>3.1799999999999988</v>
      </c>
      <c r="CN38" s="86">
        <v>3</v>
      </c>
      <c r="CO38" s="86">
        <f t="shared" si="17"/>
        <v>17.999999999999883</v>
      </c>
      <c r="CP38" s="98"/>
      <c r="CR38" s="86" t="s">
        <v>2</v>
      </c>
      <c r="CS38" s="86">
        <v>30</v>
      </c>
      <c r="CT38" s="58">
        <v>7.15</v>
      </c>
      <c r="CU38" s="96"/>
      <c r="CV38" s="96"/>
      <c r="CW38" s="53">
        <v>18.63</v>
      </c>
      <c r="CX38" s="58">
        <f t="shared" si="30"/>
        <v>11.479999999999999</v>
      </c>
      <c r="CY38" s="97">
        <v>7.3</v>
      </c>
      <c r="CZ38" s="58">
        <v>1</v>
      </c>
      <c r="DA38" s="59">
        <f t="shared" si="31"/>
        <v>3.1799999999999988</v>
      </c>
      <c r="DB38" s="86">
        <v>3</v>
      </c>
      <c r="DC38" s="86">
        <f t="shared" si="32"/>
        <v>17.999999999999883</v>
      </c>
      <c r="DD38" s="98"/>
      <c r="DF38" s="86" t="s">
        <v>2</v>
      </c>
      <c r="DG38" s="86">
        <v>30</v>
      </c>
      <c r="DH38" s="58">
        <v>7.05</v>
      </c>
      <c r="DI38" s="96"/>
      <c r="DJ38" s="96"/>
      <c r="DK38" s="53">
        <v>18.62</v>
      </c>
      <c r="DL38" s="58">
        <f t="shared" si="21"/>
        <v>11.57</v>
      </c>
      <c r="DM38" s="97">
        <v>7.3</v>
      </c>
      <c r="DN38" s="58">
        <v>1</v>
      </c>
      <c r="DO38" s="59">
        <f t="shared" si="22"/>
        <v>3.2700000000000005</v>
      </c>
      <c r="DP38" s="86">
        <v>3</v>
      </c>
      <c r="DQ38" s="86">
        <f t="shared" si="23"/>
        <v>27.000000000000046</v>
      </c>
      <c r="DR38" s="98"/>
    </row>
    <row r="39" spans="1:123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 s="86"/>
      <c r="BD39" s="86"/>
      <c r="BE39" s="58"/>
      <c r="BF39" s="96"/>
      <c r="BG39" s="96"/>
      <c r="BH39" s="58"/>
      <c r="BI39" s="58"/>
      <c r="BJ39" s="97"/>
      <c r="BK39" s="97"/>
      <c r="BL39" s="59"/>
      <c r="BM39" s="86"/>
      <c r="BN39" s="86"/>
      <c r="BO39" s="98"/>
      <c r="BP39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 s="86"/>
      <c r="CE39" s="86"/>
      <c r="CF39" s="58"/>
      <c r="CG39" s="96"/>
      <c r="CH39" s="96"/>
      <c r="CI39" s="58"/>
      <c r="CJ39" s="58"/>
      <c r="CK39" s="97"/>
      <c r="CL39" s="97"/>
      <c r="CM39" s="59"/>
      <c r="CN39" s="86"/>
      <c r="CO39" s="86"/>
      <c r="CP39" s="98"/>
      <c r="CQ39"/>
      <c r="CR39" s="86"/>
      <c r="CS39" s="86"/>
      <c r="CT39" s="58"/>
      <c r="CU39" s="96"/>
      <c r="CV39" s="96"/>
      <c r="CW39" s="58"/>
      <c r="CX39" s="58"/>
      <c r="CY39" s="97"/>
      <c r="CZ39" s="97"/>
      <c r="DA39" s="59"/>
      <c r="DB39" s="86"/>
      <c r="DC39" s="86"/>
      <c r="DD39" s="98"/>
      <c r="DE39"/>
      <c r="DF39" s="86"/>
      <c r="DG39" s="86"/>
      <c r="DH39" s="58"/>
      <c r="DI39" s="96"/>
      <c r="DJ39" s="96"/>
      <c r="DK39" s="58"/>
      <c r="DL39" s="58"/>
      <c r="DM39" s="97"/>
      <c r="DN39" s="97"/>
      <c r="DO39" s="59"/>
      <c r="DP39" s="86"/>
      <c r="DQ39" s="86"/>
      <c r="DR39" s="98"/>
      <c r="DS39"/>
    </row>
    <row r="40" spans="1:123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33">SUM(D40-C40)+(F40-E40)</f>
        <v>-4.3499999999999996</v>
      </c>
      <c r="H40" s="63"/>
      <c r="I40" s="53"/>
      <c r="J40" s="59"/>
      <c r="K40" s="62"/>
      <c r="L40" s="60">
        <f t="shared" ref="L40" si="34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35">SUM(R40-Q40)+(T40-S40)</f>
        <v>-4.3499999999999996</v>
      </c>
      <c r="V40" s="63"/>
      <c r="W40" s="53"/>
      <c r="X40" s="59"/>
      <c r="Y40" s="62"/>
      <c r="Z40" s="60">
        <f t="shared" ref="Z40" si="36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37">SUM(AE40-AD40)+(AG40-AF40)</f>
        <v>-4.3499999999999996</v>
      </c>
      <c r="AI40" s="63"/>
      <c r="AJ40" s="53"/>
      <c r="AK40" s="59"/>
      <c r="AL40" s="62"/>
      <c r="AM40" s="60">
        <f t="shared" ref="AM40" si="38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39">SUM(AS40-AR40)+(AU40-AT40)</f>
        <v>-4.3499999999999996</v>
      </c>
      <c r="AW40" s="63"/>
      <c r="AX40" s="53"/>
      <c r="AY40" s="59"/>
      <c r="AZ40" s="62"/>
      <c r="BA40" s="60">
        <f t="shared" ref="BA40" si="40">SUM(AY40-AZ40)*100</f>
        <v>0</v>
      </c>
      <c r="BB40" s="61"/>
      <c r="BC40" s="62" t="s">
        <v>4</v>
      </c>
      <c r="BD40" s="62">
        <v>32</v>
      </c>
      <c r="BE40" s="58">
        <v>4.3499999999999996</v>
      </c>
      <c r="BF40" s="53"/>
      <c r="BG40" s="53"/>
      <c r="BH40" s="53"/>
      <c r="BI40" s="58">
        <f t="shared" ref="BI40" si="41">SUM(BF40-BE40)+(BH40-BG40)</f>
        <v>-4.3499999999999996</v>
      </c>
      <c r="BJ40" s="63"/>
      <c r="BK40" s="53"/>
      <c r="BL40" s="59"/>
      <c r="BM40" s="62"/>
      <c r="BN40" s="60">
        <f t="shared" ref="BN40" si="42">SUM(BL40-BM40)*100</f>
        <v>0</v>
      </c>
      <c r="BO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43">SUM(BT40-BS40)+(BV40-BU40)</f>
        <v>-4.3499999999999996</v>
      </c>
      <c r="BX40" s="63"/>
      <c r="BY40" s="53"/>
      <c r="BZ40" s="59"/>
      <c r="CA40" s="62"/>
      <c r="CB40" s="60">
        <f t="shared" ref="CB40" si="44">SUM(BZ40-CA40)*100</f>
        <v>0</v>
      </c>
      <c r="CC40" s="61"/>
      <c r="CD40" s="62" t="s">
        <v>4</v>
      </c>
      <c r="CE40" s="62">
        <v>32</v>
      </c>
      <c r="CF40" s="58">
        <v>4.3499999999999996</v>
      </c>
      <c r="CG40" s="53"/>
      <c r="CH40" s="53"/>
      <c r="CI40" s="53"/>
      <c r="CJ40" s="58">
        <f t="shared" ref="CJ40" si="45">SUM(CG40-CF40)+(CI40-CH40)</f>
        <v>-4.3499999999999996</v>
      </c>
      <c r="CK40" s="63"/>
      <c r="CL40" s="53"/>
      <c r="CM40" s="59"/>
      <c r="CN40" s="62"/>
      <c r="CO40" s="60">
        <f t="shared" ref="CO40" si="46">SUM(CM40-CN40)*100</f>
        <v>0</v>
      </c>
      <c r="CP40" s="61"/>
      <c r="CR40" s="62" t="s">
        <v>4</v>
      </c>
      <c r="CS40" s="62">
        <v>32</v>
      </c>
      <c r="CT40" s="58">
        <v>4.3499999999999996</v>
      </c>
      <c r="CU40" s="53"/>
      <c r="CV40" s="53"/>
      <c r="CW40" s="53"/>
      <c r="CX40" s="58">
        <f t="shared" ref="CX40" si="47">SUM(CU40-CT40)+(CW40-CV40)</f>
        <v>-4.3499999999999996</v>
      </c>
      <c r="CY40" s="63"/>
      <c r="CZ40" s="53"/>
      <c r="DA40" s="59"/>
      <c r="DB40" s="62"/>
      <c r="DC40" s="60">
        <f t="shared" ref="DC40" si="48">SUM(DA40-DB40)*100</f>
        <v>0</v>
      </c>
      <c r="DD40" s="61"/>
      <c r="DF40" s="62" t="s">
        <v>4</v>
      </c>
      <c r="DG40" s="62">
        <v>32</v>
      </c>
      <c r="DH40" s="58">
        <v>4.3499999999999996</v>
      </c>
      <c r="DI40" s="53"/>
      <c r="DJ40" s="53"/>
      <c r="DK40" s="53"/>
      <c r="DL40" s="58">
        <f t="shared" ref="DL40" si="49">SUM(DI40-DH40)+(DK40-DJ40)</f>
        <v>-4.3499999999999996</v>
      </c>
      <c r="DM40" s="63"/>
      <c r="DN40" s="53"/>
      <c r="DO40" s="59"/>
      <c r="DP40" s="62"/>
      <c r="DQ40" s="60">
        <f t="shared" ref="DQ40" si="50">SUM(DO40-DP40)*100</f>
        <v>0</v>
      </c>
      <c r="DR40" s="61"/>
    </row>
    <row r="41" spans="1:123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C41" s="62" t="s">
        <v>5</v>
      </c>
      <c r="BD41" s="62">
        <v>33</v>
      </c>
      <c r="BE41" s="58">
        <v>4.3499999999999996</v>
      </c>
      <c r="BF41" s="53"/>
      <c r="BG41" s="53"/>
      <c r="BH41" s="53"/>
      <c r="BI41" s="53"/>
      <c r="BJ41" s="63"/>
      <c r="BK41" s="63"/>
      <c r="BL41" s="62"/>
      <c r="BM41" s="62"/>
      <c r="BN41" s="62"/>
      <c r="BO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D41" s="62" t="s">
        <v>5</v>
      </c>
      <c r="CE41" s="62">
        <v>33</v>
      </c>
      <c r="CF41" s="58">
        <v>4.3499999999999996</v>
      </c>
      <c r="CG41" s="53"/>
      <c r="CH41" s="53"/>
      <c r="CI41" s="53"/>
      <c r="CJ41" s="53"/>
      <c r="CK41" s="63"/>
      <c r="CL41" s="63"/>
      <c r="CM41" s="62"/>
      <c r="CN41" s="62"/>
      <c r="CO41" s="62"/>
      <c r="CP41" s="61"/>
      <c r="CR41" s="62" t="s">
        <v>5</v>
      </c>
      <c r="CS41" s="62">
        <v>33</v>
      </c>
      <c r="CT41" s="58">
        <v>4.3499999999999996</v>
      </c>
      <c r="CU41" s="53"/>
      <c r="CV41" s="53"/>
      <c r="CW41" s="53"/>
      <c r="CX41" s="53"/>
      <c r="CY41" s="63"/>
      <c r="CZ41" s="63"/>
      <c r="DA41" s="62"/>
      <c r="DB41" s="62"/>
      <c r="DC41" s="62"/>
      <c r="DD41" s="61"/>
      <c r="DF41" s="62" t="s">
        <v>5</v>
      </c>
      <c r="DG41" s="62">
        <v>33</v>
      </c>
      <c r="DH41" s="58">
        <v>4.3499999999999996</v>
      </c>
      <c r="DI41" s="53"/>
      <c r="DJ41" s="53"/>
      <c r="DK41" s="53"/>
      <c r="DL41" s="53"/>
      <c r="DM41" s="63"/>
      <c r="DN41" s="63"/>
      <c r="DO41" s="62"/>
      <c r="DP41" s="62"/>
      <c r="DQ41" s="62"/>
      <c r="DR41" s="61"/>
    </row>
    <row r="42" spans="1:123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C42" s="62" t="s">
        <v>6</v>
      </c>
      <c r="BD42" s="62">
        <v>34</v>
      </c>
      <c r="BE42" s="58">
        <v>4.3499999999999996</v>
      </c>
      <c r="BF42" s="53"/>
      <c r="BG42" s="53"/>
      <c r="BH42" s="53"/>
      <c r="BI42" s="53"/>
      <c r="BJ42" s="63"/>
      <c r="BK42" s="63"/>
      <c r="BL42" s="62"/>
      <c r="BM42" s="62"/>
      <c r="BN42" s="62"/>
      <c r="BO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D42" s="62" t="s">
        <v>6</v>
      </c>
      <c r="CE42" s="62">
        <v>34</v>
      </c>
      <c r="CF42" s="58">
        <v>4.3499999999999996</v>
      </c>
      <c r="CG42" s="53"/>
      <c r="CH42" s="53"/>
      <c r="CI42" s="53"/>
      <c r="CJ42" s="53"/>
      <c r="CK42" s="63"/>
      <c r="CL42" s="63"/>
      <c r="CM42" s="62"/>
      <c r="CN42" s="62"/>
      <c r="CO42" s="62"/>
      <c r="CP42" s="61"/>
      <c r="CR42" s="62" t="s">
        <v>6</v>
      </c>
      <c r="CS42" s="62">
        <v>34</v>
      </c>
      <c r="CT42" s="58">
        <v>4.3499999999999996</v>
      </c>
      <c r="CU42" s="53"/>
      <c r="CV42" s="53"/>
      <c r="CW42" s="53"/>
      <c r="CX42" s="53"/>
      <c r="CY42" s="63"/>
      <c r="CZ42" s="63"/>
      <c r="DA42" s="62"/>
      <c r="DB42" s="62"/>
      <c r="DC42" s="62"/>
      <c r="DD42" s="61"/>
      <c r="DF42" s="62" t="s">
        <v>6</v>
      </c>
      <c r="DG42" s="62">
        <v>34</v>
      </c>
      <c r="DH42" s="58">
        <v>4.3499999999999996</v>
      </c>
      <c r="DI42" s="53"/>
      <c r="DJ42" s="53"/>
      <c r="DK42" s="53"/>
      <c r="DL42" s="53"/>
      <c r="DM42" s="63"/>
      <c r="DN42" s="63"/>
      <c r="DO42" s="62"/>
      <c r="DP42" s="62"/>
      <c r="DQ42" s="62"/>
      <c r="DR42" s="61"/>
    </row>
    <row r="43" spans="1:123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C43" s="62" t="s">
        <v>1</v>
      </c>
      <c r="BD43" s="62">
        <v>35</v>
      </c>
      <c r="BE43" s="58">
        <v>4.3499999999999996</v>
      </c>
      <c r="BF43" s="53"/>
      <c r="BG43" s="53"/>
      <c r="BH43" s="53"/>
      <c r="BI43" s="53"/>
      <c r="BJ43" s="63"/>
      <c r="BK43" s="63"/>
      <c r="BL43" s="62"/>
      <c r="BM43" s="62"/>
      <c r="BN43" s="62"/>
      <c r="BO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D43" s="62" t="s">
        <v>1</v>
      </c>
      <c r="CE43" s="62">
        <v>35</v>
      </c>
      <c r="CF43" s="58">
        <v>4.3499999999999996</v>
      </c>
      <c r="CG43" s="53"/>
      <c r="CH43" s="53"/>
      <c r="CI43" s="53"/>
      <c r="CJ43" s="53"/>
      <c r="CK43" s="63"/>
      <c r="CL43" s="63"/>
      <c r="CM43" s="62"/>
      <c r="CN43" s="62"/>
      <c r="CO43" s="62"/>
      <c r="CP43" s="61"/>
      <c r="CR43" s="62" t="s">
        <v>1</v>
      </c>
      <c r="CS43" s="62">
        <v>35</v>
      </c>
      <c r="CT43" s="58">
        <v>4.3499999999999996</v>
      </c>
      <c r="CU43" s="53"/>
      <c r="CV43" s="53"/>
      <c r="CW43" s="53"/>
      <c r="CX43" s="53"/>
      <c r="CY43" s="63"/>
      <c r="CZ43" s="63"/>
      <c r="DA43" s="62"/>
      <c r="DB43" s="62"/>
      <c r="DC43" s="62"/>
      <c r="DD43" s="61"/>
      <c r="DF43" s="62" t="s">
        <v>1</v>
      </c>
      <c r="DG43" s="62">
        <v>35</v>
      </c>
      <c r="DH43" s="58">
        <v>4.3499999999999996</v>
      </c>
      <c r="DI43" s="53"/>
      <c r="DJ43" s="53"/>
      <c r="DK43" s="53"/>
      <c r="DL43" s="53"/>
      <c r="DM43" s="63"/>
      <c r="DN43" s="63"/>
      <c r="DO43" s="62"/>
      <c r="DP43" s="62"/>
      <c r="DQ43" s="62"/>
      <c r="DR43" s="61"/>
    </row>
    <row r="44" spans="1:123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C44" s="8"/>
      <c r="BD44" s="7"/>
      <c r="BE44" s="64"/>
      <c r="BF44" s="64"/>
      <c r="BG44" s="64"/>
      <c r="BH44" s="64"/>
      <c r="BI44" s="64"/>
      <c r="BJ44" s="65"/>
      <c r="BK44" s="65"/>
      <c r="BL44" s="8"/>
      <c r="BM44" s="8"/>
      <c r="BN44" s="8"/>
      <c r="BO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D44" s="8"/>
      <c r="CE44" s="7"/>
      <c r="CF44" s="64"/>
      <c r="CG44" s="64"/>
      <c r="CH44" s="64"/>
      <c r="CI44" s="64"/>
      <c r="CJ44" s="64"/>
      <c r="CK44" s="65"/>
      <c r="CL44" s="65"/>
      <c r="CM44" s="8"/>
      <c r="CN44" s="8"/>
      <c r="CO44" s="8"/>
      <c r="CP44" s="66"/>
      <c r="CR44" s="8"/>
      <c r="CS44" s="7"/>
      <c r="CT44" s="64"/>
      <c r="CU44" s="64"/>
      <c r="CV44" s="64"/>
      <c r="CW44" s="64"/>
      <c r="CX44" s="64"/>
      <c r="CY44" s="65"/>
      <c r="CZ44" s="65"/>
      <c r="DA44" s="8"/>
      <c r="DB44" s="8"/>
      <c r="DC44" s="8"/>
      <c r="DD44" s="66"/>
      <c r="DF44" s="8"/>
      <c r="DG44" s="7"/>
      <c r="DH44" s="64"/>
      <c r="DI44" s="64"/>
      <c r="DJ44" s="64"/>
      <c r="DK44" s="64"/>
      <c r="DL44" s="64"/>
      <c r="DM44" s="65"/>
      <c r="DN44" s="65"/>
      <c r="DO44" s="8"/>
      <c r="DP44" s="8"/>
      <c r="DQ44" s="8"/>
      <c r="DR44" s="66"/>
    </row>
    <row r="45" spans="1:123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C45" s="38"/>
      <c r="BD45" s="38"/>
      <c r="BE45" s="24"/>
      <c r="BF45" s="24"/>
      <c r="BG45" s="135"/>
      <c r="BH45" s="24"/>
      <c r="BI45" s="24"/>
      <c r="BJ45" s="22"/>
      <c r="BK45" s="22"/>
      <c r="BL45" s="38"/>
      <c r="BM45" s="24"/>
      <c r="BN45" s="24"/>
      <c r="BO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D45" s="38"/>
      <c r="CE45" s="38"/>
      <c r="CF45" s="24"/>
      <c r="CG45" s="24"/>
      <c r="CH45" s="135"/>
      <c r="CI45" s="24"/>
      <c r="CJ45" s="24"/>
      <c r="CK45" s="22"/>
      <c r="CL45" s="22"/>
      <c r="CM45" s="38"/>
      <c r="CN45" s="24"/>
      <c r="CO45" s="24"/>
      <c r="CP45" s="25"/>
      <c r="CR45" s="38"/>
      <c r="CS45" s="38"/>
      <c r="CT45" s="24"/>
      <c r="CU45" s="24"/>
      <c r="CV45" s="135"/>
      <c r="CW45" s="24"/>
      <c r="CX45" s="24"/>
      <c r="CY45" s="22"/>
      <c r="CZ45" s="22"/>
      <c r="DA45" s="38"/>
      <c r="DB45" s="24"/>
      <c r="DC45" s="24"/>
      <c r="DD45" s="25"/>
      <c r="DF45" s="38"/>
      <c r="DG45" s="38"/>
      <c r="DH45" s="24"/>
      <c r="DI45" s="24"/>
      <c r="DJ45" s="135"/>
      <c r="DK45" s="24"/>
      <c r="DL45" s="24"/>
      <c r="DM45" s="22"/>
      <c r="DN45" s="22"/>
      <c r="DO45" s="38"/>
      <c r="DP45" s="24"/>
      <c r="DQ45" s="24"/>
      <c r="DR45" s="25"/>
    </row>
    <row r="46" spans="1:123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C46" s="160" t="s">
        <v>58</v>
      </c>
      <c r="BD46" s="161"/>
      <c r="BE46" s="148" t="s">
        <v>10</v>
      </c>
      <c r="BF46" s="149"/>
      <c r="BG46" s="148" t="s">
        <v>11</v>
      </c>
      <c r="BH46" s="149"/>
      <c r="BI46" s="146" t="s">
        <v>6</v>
      </c>
      <c r="BJ46" s="147"/>
      <c r="BK46" s="84"/>
      <c r="BL46" s="158" t="s">
        <v>16</v>
      </c>
      <c r="BM46" s="159"/>
      <c r="BN46" s="158" t="s">
        <v>17</v>
      </c>
      <c r="BO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D46" s="160" t="s">
        <v>58</v>
      </c>
      <c r="CE46" s="161"/>
      <c r="CF46" s="148" t="s">
        <v>10</v>
      </c>
      <c r="CG46" s="149"/>
      <c r="CH46" s="148" t="s">
        <v>11</v>
      </c>
      <c r="CI46" s="149"/>
      <c r="CJ46" s="146" t="s">
        <v>6</v>
      </c>
      <c r="CK46" s="147"/>
      <c r="CL46" s="84"/>
      <c r="CM46" s="158" t="s">
        <v>16</v>
      </c>
      <c r="CN46" s="159"/>
      <c r="CO46" s="158" t="s">
        <v>17</v>
      </c>
      <c r="CP46" s="159"/>
      <c r="CR46" s="160" t="s">
        <v>58</v>
      </c>
      <c r="CS46" s="161"/>
      <c r="CT46" s="148" t="s">
        <v>10</v>
      </c>
      <c r="CU46" s="149"/>
      <c r="CV46" s="148" t="s">
        <v>11</v>
      </c>
      <c r="CW46" s="149"/>
      <c r="CX46" s="146" t="s">
        <v>6</v>
      </c>
      <c r="CY46" s="147"/>
      <c r="CZ46" s="84"/>
      <c r="DA46" s="158" t="s">
        <v>16</v>
      </c>
      <c r="DB46" s="159"/>
      <c r="DC46" s="158" t="s">
        <v>17</v>
      </c>
      <c r="DD46" s="159"/>
      <c r="DF46" s="160" t="s">
        <v>58</v>
      </c>
      <c r="DG46" s="161"/>
      <c r="DH46" s="148" t="s">
        <v>10</v>
      </c>
      <c r="DI46" s="149"/>
      <c r="DJ46" s="148" t="s">
        <v>11</v>
      </c>
      <c r="DK46" s="149"/>
      <c r="DL46" s="146" t="s">
        <v>6</v>
      </c>
      <c r="DM46" s="147"/>
      <c r="DN46" s="84"/>
      <c r="DO46" s="158" t="s">
        <v>16</v>
      </c>
      <c r="DP46" s="159"/>
      <c r="DQ46" s="158" t="s">
        <v>17</v>
      </c>
      <c r="DR46" s="159"/>
    </row>
    <row r="47" spans="1:123" s="4" customFormat="1" ht="18.75" customHeight="1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85.016666666666694</v>
      </c>
      <c r="F47" s="157"/>
      <c r="G47" s="150">
        <f>SUM(F51)</f>
        <v>0</v>
      </c>
      <c r="H47" s="151"/>
      <c r="I47" s="85"/>
      <c r="J47" s="152">
        <f>COUNT(E9)</f>
        <v>1</v>
      </c>
      <c r="K47" s="153"/>
      <c r="L47" s="152">
        <f>J51</f>
        <v>4.633333333333332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95.416666666666657</v>
      </c>
      <c r="T47" s="157"/>
      <c r="U47" s="150">
        <f>SUM(T51)</f>
        <v>0</v>
      </c>
      <c r="V47" s="151"/>
      <c r="W47" s="85"/>
      <c r="X47" s="152">
        <f>COUNT(S9)</f>
        <v>1</v>
      </c>
      <c r="Y47" s="153"/>
      <c r="Z47" s="152">
        <f>X51</f>
        <v>8.7166666666666668</v>
      </c>
      <c r="AA47" s="153"/>
      <c r="AB47" s="162"/>
      <c r="AC47" s="163"/>
      <c r="AD47" s="154">
        <f>COUNT(AI10:AI13,AI15:AI20,AI22:AI27,AI29:AI34,AI36:AI38)</f>
        <v>24</v>
      </c>
      <c r="AE47" s="155"/>
      <c r="AF47" s="156">
        <f>SUM(AB51-AF51)</f>
        <v>81.316666666666691</v>
      </c>
      <c r="AG47" s="157"/>
      <c r="AH47" s="150">
        <f>SUM(AG51)</f>
        <v>0</v>
      </c>
      <c r="AI47" s="151"/>
      <c r="AJ47" s="85"/>
      <c r="AK47" s="152">
        <f>COUNT(AF9)</f>
        <v>1</v>
      </c>
      <c r="AL47" s="153"/>
      <c r="AM47" s="152">
        <f>AK51</f>
        <v>10.816666666666666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90.350000000000023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8.8833333333333329</v>
      </c>
      <c r="BB47" s="153"/>
      <c r="BC47" s="162"/>
      <c r="BD47" s="163"/>
      <c r="BE47" s="154">
        <f>COUNT(BJ10:BJ13,BJ15:BJ20,BJ22:BJ27,BJ29:BJ34,BJ36:BJ38)</f>
        <v>25</v>
      </c>
      <c r="BF47" s="155"/>
      <c r="BG47" s="156">
        <f>SUM(BC51-BG51)</f>
        <v>97.333333333333343</v>
      </c>
      <c r="BH47" s="157"/>
      <c r="BI47" s="150">
        <f>SUM(BH51)</f>
        <v>0</v>
      </c>
      <c r="BJ47" s="151"/>
      <c r="BK47" s="85"/>
      <c r="BL47" s="152">
        <f>COUNT(BG9)</f>
        <v>1</v>
      </c>
      <c r="BM47" s="153"/>
      <c r="BN47" s="152">
        <f>BL51</f>
        <v>5.5666666666666664</v>
      </c>
      <c r="BO47" s="153"/>
      <c r="BQ47" s="162"/>
      <c r="BR47" s="163"/>
      <c r="BS47" s="154">
        <f>COUNT(BX10:BX13,BX15:BX20,BX22:BX27,BX29:BX34,BX36:BX38)</f>
        <v>24</v>
      </c>
      <c r="BT47" s="155"/>
      <c r="BU47" s="156">
        <f>SUM(BQ51-BU51)</f>
        <v>84.250000000000014</v>
      </c>
      <c r="BV47" s="157"/>
      <c r="BW47" s="150">
        <f>SUM(BV51)</f>
        <v>0</v>
      </c>
      <c r="BX47" s="151"/>
      <c r="BY47" s="85"/>
      <c r="BZ47" s="152">
        <f>COUNT(BU9)</f>
        <v>0</v>
      </c>
      <c r="CA47" s="153"/>
      <c r="CB47" s="152">
        <f>BZ51</f>
        <v>0</v>
      </c>
      <c r="CC47" s="153"/>
      <c r="CD47" s="162"/>
      <c r="CE47" s="163"/>
      <c r="CF47" s="154">
        <f>COUNT(CK10:CK13,CK15:CK20,CK22:CK27,CK29:CK34,CK36:CK38)</f>
        <v>25</v>
      </c>
      <c r="CG47" s="155"/>
      <c r="CH47" s="156">
        <f>SUM(CD51-CH51)</f>
        <v>86.966666666666669</v>
      </c>
      <c r="CI47" s="157"/>
      <c r="CJ47" s="150">
        <f>SUM(CI51)</f>
        <v>0</v>
      </c>
      <c r="CK47" s="151"/>
      <c r="CL47" s="85"/>
      <c r="CM47" s="152">
        <f>COUNT(CH9)</f>
        <v>1</v>
      </c>
      <c r="CN47" s="153"/>
      <c r="CO47" s="152">
        <f>CM51</f>
        <v>8.6666666666666643</v>
      </c>
      <c r="CP47" s="153"/>
      <c r="CR47" s="162"/>
      <c r="CS47" s="163"/>
      <c r="CT47" s="154">
        <f>COUNT(CY10:CY13,CY15:CY20,CY22:CY27,CY29:CY34,CY36:CY38)</f>
        <v>24</v>
      </c>
      <c r="CU47" s="155"/>
      <c r="CV47" s="156">
        <f>SUM(CR51-CV51)</f>
        <v>83.266666666666666</v>
      </c>
      <c r="CW47" s="157"/>
      <c r="CX47" s="150">
        <f>SUM(CW51)</f>
        <v>7.8666666666666663</v>
      </c>
      <c r="CY47" s="151"/>
      <c r="CZ47" s="85"/>
      <c r="DA47" s="152">
        <f>COUNT(CV9)</f>
        <v>1</v>
      </c>
      <c r="DB47" s="153"/>
      <c r="DC47" s="152">
        <f>DA51</f>
        <v>8.6666666666666643</v>
      </c>
      <c r="DD47" s="153"/>
      <c r="DF47" s="162"/>
      <c r="DG47" s="163"/>
      <c r="DH47" s="154">
        <f>COUNT(DM10:DM13,DM15:DM20,DM22:DM27,DM29:DM34,DM36:DM38)</f>
        <v>25</v>
      </c>
      <c r="DI47" s="155"/>
      <c r="DJ47" s="156">
        <f>SUM(DF51-DJ51)</f>
        <v>89.933333333333323</v>
      </c>
      <c r="DK47" s="157"/>
      <c r="DL47" s="150">
        <f>SUM(DK51)</f>
        <v>10.483333333333331</v>
      </c>
      <c r="DM47" s="151"/>
      <c r="DN47" s="85"/>
      <c r="DO47" s="152">
        <f>COUNT(DJ9)</f>
        <v>1</v>
      </c>
      <c r="DP47" s="153"/>
      <c r="DQ47" s="152">
        <f>DO51</f>
        <v>10.900000000000002</v>
      </c>
      <c r="DR47" s="153"/>
    </row>
    <row r="48" spans="1:123" ht="14.5" customHeight="1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C48" s="38"/>
      <c r="BD48" s="38"/>
      <c r="BE48" s="24"/>
      <c r="BF48" s="24"/>
      <c r="BG48" s="24"/>
      <c r="BH48" s="24"/>
      <c r="BI48" s="24"/>
      <c r="BJ48" s="22"/>
      <c r="BK48" s="22"/>
      <c r="BL48" s="38"/>
      <c r="BM48" s="24"/>
      <c r="BN48" s="24"/>
      <c r="BO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D48" s="38"/>
      <c r="CE48" s="38"/>
      <c r="CF48" s="24"/>
      <c r="CG48" s="24"/>
      <c r="CH48" s="24"/>
      <c r="CI48" s="24"/>
      <c r="CJ48" s="24"/>
      <c r="CK48" s="22"/>
      <c r="CL48" s="22"/>
      <c r="CM48" s="38"/>
      <c r="CN48" s="24"/>
      <c r="CO48" s="24"/>
      <c r="CP48" s="25"/>
      <c r="CR48" s="38"/>
      <c r="CS48" s="38"/>
      <c r="CT48" s="24"/>
      <c r="CU48" s="24"/>
      <c r="CV48" s="24"/>
      <c r="CW48" s="24"/>
      <c r="CX48" s="24"/>
      <c r="CY48" s="22"/>
      <c r="CZ48" s="22"/>
      <c r="DA48" s="38"/>
      <c r="DB48" s="24"/>
      <c r="DC48" s="24"/>
      <c r="DD48" s="25"/>
      <c r="DF48" s="38"/>
      <c r="DG48" s="38"/>
      <c r="DH48" s="24"/>
      <c r="DI48" s="24"/>
      <c r="DJ48" s="24"/>
      <c r="DK48" s="24"/>
      <c r="DL48" s="24"/>
      <c r="DM48" s="22"/>
      <c r="DN48" s="22"/>
      <c r="DO48" s="38"/>
      <c r="DP48" s="24"/>
      <c r="DQ48" s="24"/>
      <c r="DR48" s="25"/>
    </row>
    <row r="49" spans="1:122" ht="15" customHeight="1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C49" s="38"/>
      <c r="BD49" s="38"/>
      <c r="BE49" s="24"/>
      <c r="BF49" s="24"/>
      <c r="BG49" s="24"/>
      <c r="BH49" s="24"/>
      <c r="BI49" s="24"/>
      <c r="BJ49" s="22"/>
      <c r="BK49" s="22"/>
      <c r="BL49" s="38"/>
      <c r="BM49" s="24"/>
      <c r="BN49" s="24"/>
      <c r="BO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D49" s="38"/>
      <c r="CE49" s="38"/>
      <c r="CF49" s="24"/>
      <c r="CG49" s="24"/>
      <c r="CH49" s="24"/>
      <c r="CI49" s="24"/>
      <c r="CJ49" s="24"/>
      <c r="CK49" s="22"/>
      <c r="CL49" s="22"/>
      <c r="CM49" s="38"/>
      <c r="CN49" s="24"/>
      <c r="CO49" s="24"/>
      <c r="CP49" s="25"/>
      <c r="CR49" s="38"/>
      <c r="CS49" s="38"/>
      <c r="CT49" s="24"/>
      <c r="CU49" s="24"/>
      <c r="CV49" s="24"/>
      <c r="CW49" s="24"/>
      <c r="CX49" s="24"/>
      <c r="CY49" s="22"/>
      <c r="CZ49" s="22"/>
      <c r="DA49" s="38"/>
      <c r="DB49" s="24"/>
      <c r="DC49" s="24"/>
      <c r="DD49" s="25"/>
      <c r="DF49" s="38"/>
      <c r="DG49" s="38"/>
      <c r="DH49" s="24"/>
      <c r="DI49" s="24"/>
      <c r="DJ49" s="24"/>
      <c r="DK49" s="24"/>
      <c r="DL49" s="24"/>
      <c r="DM49" s="22"/>
      <c r="DN49" s="22"/>
      <c r="DO49" s="38"/>
      <c r="DP49" s="24"/>
      <c r="DQ49" s="24"/>
      <c r="DR49" s="25"/>
    </row>
    <row r="50" spans="1:122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C50" s="140" t="s">
        <v>18</v>
      </c>
      <c r="BD50" s="141"/>
      <c r="BE50" s="41" t="s">
        <v>13</v>
      </c>
      <c r="BF50" s="41" t="s">
        <v>14</v>
      </c>
      <c r="BG50" s="26" t="s">
        <v>19</v>
      </c>
      <c r="BH50" s="27" t="s">
        <v>6</v>
      </c>
      <c r="BI50" s="28" t="s">
        <v>13</v>
      </c>
      <c r="BJ50" s="29" t="s">
        <v>14</v>
      </c>
      <c r="BK50" s="142"/>
      <c r="BL50" s="45" t="s">
        <v>16</v>
      </c>
      <c r="BM50" s="46" t="s">
        <v>13</v>
      </c>
      <c r="BN50" s="47" t="s">
        <v>14</v>
      </c>
      <c r="BO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D50" s="140" t="s">
        <v>18</v>
      </c>
      <c r="CE50" s="141"/>
      <c r="CF50" s="41" t="s">
        <v>13</v>
      </c>
      <c r="CG50" s="41" t="s">
        <v>14</v>
      </c>
      <c r="CH50" s="26" t="s">
        <v>19</v>
      </c>
      <c r="CI50" s="27" t="s">
        <v>6</v>
      </c>
      <c r="CJ50" s="28" t="s">
        <v>13</v>
      </c>
      <c r="CK50" s="29" t="s">
        <v>14</v>
      </c>
      <c r="CL50" s="142"/>
      <c r="CM50" s="45" t="s">
        <v>16</v>
      </c>
      <c r="CN50" s="46" t="s">
        <v>13</v>
      </c>
      <c r="CO50" s="47" t="s">
        <v>14</v>
      </c>
      <c r="CP50" s="67"/>
      <c r="CR50" s="140" t="s">
        <v>18</v>
      </c>
      <c r="CS50" s="141"/>
      <c r="CT50" s="41" t="s">
        <v>13</v>
      </c>
      <c r="CU50" s="41" t="s">
        <v>14</v>
      </c>
      <c r="CV50" s="26" t="s">
        <v>19</v>
      </c>
      <c r="CW50" s="27" t="s">
        <v>6</v>
      </c>
      <c r="CX50" s="28" t="s">
        <v>13</v>
      </c>
      <c r="CY50" s="29" t="s">
        <v>14</v>
      </c>
      <c r="CZ50" s="142"/>
      <c r="DA50" s="45" t="s">
        <v>16</v>
      </c>
      <c r="DB50" s="46" t="s">
        <v>13</v>
      </c>
      <c r="DC50" s="47" t="s">
        <v>14</v>
      </c>
      <c r="DD50" s="67"/>
      <c r="DF50" s="140" t="s">
        <v>18</v>
      </c>
      <c r="DG50" s="141"/>
      <c r="DH50" s="41" t="s">
        <v>13</v>
      </c>
      <c r="DI50" s="41" t="s">
        <v>14</v>
      </c>
      <c r="DJ50" s="26" t="s">
        <v>19</v>
      </c>
      <c r="DK50" s="27" t="s">
        <v>6</v>
      </c>
      <c r="DL50" s="28" t="s">
        <v>13</v>
      </c>
      <c r="DM50" s="29" t="s">
        <v>14</v>
      </c>
      <c r="DN50" s="142"/>
      <c r="DO50" s="45" t="s">
        <v>16</v>
      </c>
      <c r="DP50" s="46" t="s">
        <v>13</v>
      </c>
      <c r="DQ50" s="47" t="s">
        <v>14</v>
      </c>
      <c r="DR50" s="67"/>
    </row>
    <row r="51" spans="1:122" s="2" customFormat="1" ht="29" thickBot="1" x14ac:dyDescent="0.4">
      <c r="A51" s="144">
        <f>SUM(C51+D51/60)</f>
        <v>88.766666666666694</v>
      </c>
      <c r="B51" s="145"/>
      <c r="C51" s="30">
        <f>SUM(K10:K13,K15:K20,K22:K27,K29:K34,K36:K38)</f>
        <v>79</v>
      </c>
      <c r="D51" s="30">
        <f>SUM(L10:L13,L15:L20,L22:L27,L29:L34,L36:L38)</f>
        <v>586.00000000000159</v>
      </c>
      <c r="E51" s="104">
        <f>C47*0.15</f>
        <v>3.75</v>
      </c>
      <c r="F51" s="31">
        <f>SUM(G51+H51/60)</f>
        <v>0</v>
      </c>
      <c r="G51" s="32">
        <f>SUM(K14,K21,K28,K35)</f>
        <v>0</v>
      </c>
      <c r="H51" s="32">
        <f>SUM(L14,L21,L28,L35)</f>
        <v>0</v>
      </c>
      <c r="I51" s="143"/>
      <c r="J51" s="48">
        <f>(K51+L51/60)</f>
        <v>4.633333333333332</v>
      </c>
      <c r="K51" s="49">
        <f>SUM(K9)</f>
        <v>4</v>
      </c>
      <c r="L51" s="68">
        <f>SUM(L9)</f>
        <v>37.999999999999901</v>
      </c>
      <c r="M51" s="67"/>
      <c r="O51" s="144">
        <f>SUM(Q51+R51/60)</f>
        <v>99.166666666666657</v>
      </c>
      <c r="P51" s="145"/>
      <c r="Q51" s="30">
        <f>SUM(Y10:Y13,Y15:Y20,Y22:Y27,Y29:Y34,Y36:Y38)</f>
        <v>88</v>
      </c>
      <c r="R51" s="30">
        <f>SUM(Z10:Z13,Z15:Z20,Z22:Z27,Z29:Z34,Z36:Z38)</f>
        <v>669.99999999999898</v>
      </c>
      <c r="S51" s="104">
        <f>Q47*0.15</f>
        <v>3.75</v>
      </c>
      <c r="T51" s="31">
        <f>SUM(U51+V51/60)</f>
        <v>0</v>
      </c>
      <c r="U51" s="32">
        <f>SUM(Y14,Y21,Y28,Y35)</f>
        <v>0</v>
      </c>
      <c r="V51" s="32">
        <f>SUM(Z14,Z21,Z28,Z35)</f>
        <v>0</v>
      </c>
      <c r="W51" s="143"/>
      <c r="X51" s="48">
        <f>(Y51+Z51/60)</f>
        <v>8.7166666666666668</v>
      </c>
      <c r="Y51" s="49">
        <f>SUM(Y9)</f>
        <v>8</v>
      </c>
      <c r="Z51" s="68">
        <f>SUM(Z9)</f>
        <v>42.999999999999972</v>
      </c>
      <c r="AA51" s="67"/>
      <c r="AB51" s="144">
        <f>SUM(AD51+AE51/60)</f>
        <v>84.916666666666686</v>
      </c>
      <c r="AC51" s="145"/>
      <c r="AD51" s="30">
        <f>SUM(AL10:AL13,AL15:AL20,AL22:AL27,AL29:AL34,AL36:AL38)</f>
        <v>76</v>
      </c>
      <c r="AE51" s="30">
        <f>SUM(AM10:AM13,AM15:AM20,AM22:AM27,AM29:AM34,AM36:AM38)</f>
        <v>535.00000000000136</v>
      </c>
      <c r="AF51" s="104">
        <f>AD47*0.15</f>
        <v>3.5999999999999996</v>
      </c>
      <c r="AG51" s="31">
        <f>SUM(AH51+AI51/60)</f>
        <v>0</v>
      </c>
      <c r="AH51" s="32">
        <f>SUM(AL14,AL21,AL28,AL35)</f>
        <v>0</v>
      </c>
      <c r="AI51" s="32">
        <f>SUM(AM14,AM21,AM28,AM35)</f>
        <v>0</v>
      </c>
      <c r="AJ51" s="143"/>
      <c r="AK51" s="48">
        <f>(AL51+AM51/60)</f>
        <v>10.816666666666666</v>
      </c>
      <c r="AL51" s="49">
        <f>SUM(AL9)</f>
        <v>4</v>
      </c>
      <c r="AM51" s="68">
        <f>SUM(AM9)</f>
        <v>409</v>
      </c>
      <c r="AN51" s="67"/>
      <c r="AP51" s="144">
        <f>SUM(AR51+AS51/60)</f>
        <v>94.100000000000023</v>
      </c>
      <c r="AQ51" s="145"/>
      <c r="AR51" s="30">
        <f>SUM(AZ10:AZ13,AZ15:AZ20,AZ22:AZ27,AZ29:AZ34,AZ36:AZ38)</f>
        <v>83</v>
      </c>
      <c r="AS51" s="30">
        <f>SUM(BA10:BA13,BA15:BA20,BA22:BA27,BA29:BA34,BA36:BA38)</f>
        <v>666.00000000000125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8.8833333333333329</v>
      </c>
      <c r="AZ51" s="49">
        <f>SUM(AZ9)</f>
        <v>8</v>
      </c>
      <c r="BA51" s="68">
        <f>SUM(BA9)</f>
        <v>52.999999999999936</v>
      </c>
      <c r="BB51" s="67"/>
      <c r="BC51" s="144">
        <f>SUM(BE51+BF51/60)</f>
        <v>101.08333333333334</v>
      </c>
      <c r="BD51" s="145"/>
      <c r="BE51" s="30">
        <f>SUM(BM10:BM13,BM15:BM20,BM22:BM27,BM29:BM34,BM36:BM38)</f>
        <v>88</v>
      </c>
      <c r="BF51" s="30">
        <f>SUM(BN10:BN13,BN15:BN20,BN22:BN27,BN29:BN34,BN36:BN38)</f>
        <v>785.00000000000068</v>
      </c>
      <c r="BG51" s="104">
        <f>BE47*0.15</f>
        <v>3.75</v>
      </c>
      <c r="BH51" s="31">
        <f>SUM(BI51+BJ51/60)</f>
        <v>0</v>
      </c>
      <c r="BI51" s="32">
        <f>SUM(BM14,BM21,BM28,BM35)</f>
        <v>0</v>
      </c>
      <c r="BJ51" s="32">
        <f>SUM(BN14,BN21,BN28,BN35)</f>
        <v>0</v>
      </c>
      <c r="BK51" s="143"/>
      <c r="BL51" s="48">
        <f>(BM51+BN51/60)</f>
        <v>5.5666666666666664</v>
      </c>
      <c r="BM51" s="49">
        <f>SUM(BM9)</f>
        <v>5</v>
      </c>
      <c r="BN51" s="68">
        <f>SUM(BN9)</f>
        <v>33.999999999999986</v>
      </c>
      <c r="BO51" s="67"/>
      <c r="BQ51" s="144">
        <f>SUM(BS51+BT51/60)</f>
        <v>87.850000000000009</v>
      </c>
      <c r="BR51" s="145"/>
      <c r="BS51" s="30">
        <f>SUM(CA10:CA13,CA15:CA20,CA22:CA27,CA29:CA34,CA36:CA38)</f>
        <v>77</v>
      </c>
      <c r="BT51" s="30">
        <f>SUM(CB10:CB13,CB15:CB20,CB22:CB27,CB29:CB34,CB36:CB38)</f>
        <v>651.00000000000068</v>
      </c>
      <c r="BU51" s="104">
        <f>BS47*0.15</f>
        <v>3.5999999999999996</v>
      </c>
      <c r="BV51" s="31">
        <f>SUM(BW51+BX51/60)</f>
        <v>0</v>
      </c>
      <c r="BW51" s="32">
        <f>SUM(CA14,CA21,CA28,CA35)</f>
        <v>0</v>
      </c>
      <c r="BX51" s="32">
        <f>SUM(CB14,CB21,CB28,CB35)</f>
        <v>0</v>
      </c>
      <c r="BY51" s="143"/>
      <c r="BZ51" s="48">
        <f>(CA51+CB51/60)</f>
        <v>0</v>
      </c>
      <c r="CA51" s="49">
        <f>SUM(CA9)</f>
        <v>0</v>
      </c>
      <c r="CB51" s="68">
        <f>SUM(CB9)</f>
        <v>0</v>
      </c>
      <c r="CC51" s="67"/>
      <c r="CD51" s="144">
        <f>SUM(CF51+CG51/60)</f>
        <v>90.716666666666669</v>
      </c>
      <c r="CE51" s="145"/>
      <c r="CF51" s="30">
        <f>SUM(CN10:CN13,CN15:CN20,CN22:CN27,CN29:CN34,CN36:CN38)</f>
        <v>79</v>
      </c>
      <c r="CG51" s="30">
        <f>SUM(CO10:CO13,CO15:CO20,CO22:CO27,CO29:CO34,CO36:CO38)</f>
        <v>703</v>
      </c>
      <c r="CH51" s="104">
        <f>CF47*0.15</f>
        <v>3.75</v>
      </c>
      <c r="CI51" s="31">
        <f>SUM(CJ51+CK51/60)</f>
        <v>0</v>
      </c>
      <c r="CJ51" s="32">
        <f>SUM(CN14,CN21,CN28,CN35)</f>
        <v>0</v>
      </c>
      <c r="CK51" s="32">
        <f>SUM(CO14,CO21,CO28,CO35)</f>
        <v>0</v>
      </c>
      <c r="CL51" s="143"/>
      <c r="CM51" s="48">
        <f>(CN51+CO51/60)</f>
        <v>8.6666666666666643</v>
      </c>
      <c r="CN51" s="49">
        <f>SUM(CN9)</f>
        <v>8</v>
      </c>
      <c r="CO51" s="68">
        <f>SUM(CO9)</f>
        <v>39.999999999999858</v>
      </c>
      <c r="CP51" s="67"/>
      <c r="CR51" s="144">
        <f>SUM(CT51+CU51/60)</f>
        <v>86.86666666666666</v>
      </c>
      <c r="CS51" s="145"/>
      <c r="CT51" s="30">
        <f>SUM(DB10:DB13,DB15:DB20,DB22:DB27,DB29:DB34,DB36:DB38)</f>
        <v>76</v>
      </c>
      <c r="CU51" s="30">
        <f>SUM(DC10:DC13,DC15:DC20,DC22:DC27,DC29:DC34,DC36:DC38)</f>
        <v>651.99999999999989</v>
      </c>
      <c r="CV51" s="104">
        <f>CT47*0.15</f>
        <v>3.5999999999999996</v>
      </c>
      <c r="CW51" s="31">
        <f>SUM(CX51+CY51/60)</f>
        <v>7.8666666666666663</v>
      </c>
      <c r="CX51" s="32">
        <f>SUM(DB14,DB21,DB28,DB35)</f>
        <v>7</v>
      </c>
      <c r="CY51" s="32">
        <f>SUM(DC14,DC21,DC28,DC35)</f>
        <v>51.999999999999957</v>
      </c>
      <c r="CZ51" s="143"/>
      <c r="DA51" s="48">
        <f>(DB51+DC51/60)</f>
        <v>8.6666666666666643</v>
      </c>
      <c r="DB51" s="49">
        <f>SUM(DB9)</f>
        <v>8</v>
      </c>
      <c r="DC51" s="68">
        <f>SUM(DC9)</f>
        <v>39.999999999999858</v>
      </c>
      <c r="DD51" s="67"/>
      <c r="DF51" s="144">
        <f>SUM(DH51+DI51/60)</f>
        <v>93.683333333333323</v>
      </c>
      <c r="DG51" s="145"/>
      <c r="DH51" s="30">
        <f>SUM(DP10:DP13,DP15:DP20,DP22:DP27,DP29:DP34,DP36:DP38)</f>
        <v>79</v>
      </c>
      <c r="DI51" s="30">
        <f>SUM(DQ10:DQ13,DQ15:DQ20,DQ22:DQ27,DQ29:DQ34,DQ36:DQ38)</f>
        <v>880.99999999999943</v>
      </c>
      <c r="DJ51" s="104">
        <f>DH47*0.15</f>
        <v>3.75</v>
      </c>
      <c r="DK51" s="31">
        <f>SUM(DL51+DM51/60)</f>
        <v>10.483333333333331</v>
      </c>
      <c r="DL51" s="32">
        <f>SUM(DP14,DP21,DP28,DP35)</f>
        <v>9</v>
      </c>
      <c r="DM51" s="32">
        <f>SUM(DQ14,DQ21,DQ28,DQ35)</f>
        <v>88.999999999999886</v>
      </c>
      <c r="DN51" s="143"/>
      <c r="DO51" s="48">
        <f>(DP51+DQ51/60)</f>
        <v>10.900000000000002</v>
      </c>
      <c r="DP51" s="49">
        <f>SUM(DP9)</f>
        <v>4</v>
      </c>
      <c r="DQ51" s="68">
        <f>SUM(DQ9)</f>
        <v>414.00000000000006</v>
      </c>
      <c r="DR51" s="67"/>
    </row>
    <row r="53" spans="1:122" x14ac:dyDescent="0.35">
      <c r="A53" t="s">
        <v>24</v>
      </c>
      <c r="C53" s="20" t="str">
        <f>+C2</f>
        <v>RIPON</v>
      </c>
      <c r="E53" s="101"/>
      <c r="F53" s="101"/>
      <c r="O53" t="s">
        <v>24</v>
      </c>
      <c r="Q53" s="20" t="str">
        <f>+Q2</f>
        <v>RIAD</v>
      </c>
      <c r="S53" s="101"/>
      <c r="T53" s="101"/>
      <c r="AB53" t="s">
        <v>24</v>
      </c>
      <c r="AD53" s="20" t="str">
        <f>+AD2</f>
        <v>MEHEBUL MD</v>
      </c>
      <c r="AF53" s="101"/>
      <c r="AG53" s="101"/>
      <c r="AP53" t="s">
        <v>24</v>
      </c>
      <c r="AR53" s="20" t="str">
        <f>+AR2</f>
        <v>MIA MD MUNSUR</v>
      </c>
      <c r="AT53" s="101"/>
      <c r="AU53" s="101"/>
      <c r="BC53" t="s">
        <v>24</v>
      </c>
      <c r="BE53" s="20" t="str">
        <f>+BE2</f>
        <v>THAN WAI PHYO</v>
      </c>
      <c r="BG53" s="101"/>
      <c r="BH53" s="101"/>
      <c r="BQ53" t="s">
        <v>24</v>
      </c>
      <c r="BS53" s="20" t="str">
        <f>+BS2</f>
        <v>TUN NAING OO</v>
      </c>
      <c r="BU53" s="101"/>
      <c r="BV53" s="101"/>
      <c r="CD53" t="s">
        <v>24</v>
      </c>
      <c r="CF53" s="20" t="str">
        <f>+CF2</f>
        <v>ZAW MYO AUNG</v>
      </c>
      <c r="CH53" s="101"/>
      <c r="CI53" s="101"/>
      <c r="CR53" t="s">
        <v>24</v>
      </c>
      <c r="CT53" s="20" t="str">
        <f>+CT2</f>
        <v>YE MYINT WIN</v>
      </c>
      <c r="CV53" s="101"/>
      <c r="CW53" s="101"/>
      <c r="DF53" t="s">
        <v>24</v>
      </c>
      <c r="DH53" s="20" t="str">
        <f>+DH2</f>
        <v>RAY HIRENDRA</v>
      </c>
      <c r="DJ53" s="101"/>
      <c r="DK53" s="101"/>
    </row>
    <row r="54" spans="1:122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24</v>
      </c>
      <c r="AE54" s="13" t="s">
        <v>30</v>
      </c>
      <c r="AF54">
        <v>65.38</v>
      </c>
      <c r="AG54" t="s">
        <v>30</v>
      </c>
      <c r="AH54">
        <f>SUM(AD54*AF54)</f>
        <v>1569.12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C54" t="s">
        <v>25</v>
      </c>
      <c r="BE54" s="10">
        <f>+BE5</f>
        <v>25</v>
      </c>
      <c r="BF54" s="13" t="s">
        <v>30</v>
      </c>
      <c r="BG54">
        <v>65.38</v>
      </c>
      <c r="BH54" t="s">
        <v>30</v>
      </c>
      <c r="BI54">
        <f>SUM(BE54*BG54)</f>
        <v>1634.5</v>
      </c>
      <c r="BQ54" t="s">
        <v>25</v>
      </c>
      <c r="BS54" s="10">
        <f>+BS5</f>
        <v>24</v>
      </c>
      <c r="BT54" s="13" t="s">
        <v>30</v>
      </c>
      <c r="BU54">
        <v>65.38</v>
      </c>
      <c r="BV54" t="s">
        <v>30</v>
      </c>
      <c r="BW54">
        <f>SUM(BS54*BU54)</f>
        <v>1569.12</v>
      </c>
      <c r="CD54" t="s">
        <v>25</v>
      </c>
      <c r="CF54" s="10">
        <f>+CF5</f>
        <v>25</v>
      </c>
      <c r="CG54" s="13" t="s">
        <v>30</v>
      </c>
      <c r="CH54">
        <v>65.38</v>
      </c>
      <c r="CI54" t="s">
        <v>30</v>
      </c>
      <c r="CJ54">
        <f>SUM(CF54*CH54)</f>
        <v>1634.5</v>
      </c>
      <c r="CR54" t="s">
        <v>25</v>
      </c>
      <c r="CT54" s="10">
        <f>+CT5</f>
        <v>24</v>
      </c>
      <c r="CU54" s="13" t="s">
        <v>30</v>
      </c>
      <c r="CV54">
        <v>65.38</v>
      </c>
      <c r="CW54" t="s">
        <v>30</v>
      </c>
      <c r="CX54">
        <f>SUM(CT54*CV54)</f>
        <v>1569.12</v>
      </c>
      <c r="DF54" t="s">
        <v>25</v>
      </c>
      <c r="DH54" s="10">
        <f>+DH5</f>
        <v>25</v>
      </c>
      <c r="DI54" s="13" t="s">
        <v>30</v>
      </c>
      <c r="DJ54">
        <v>65.38</v>
      </c>
      <c r="DK54" t="s">
        <v>30</v>
      </c>
      <c r="DL54">
        <f>SUM(DH54*DJ54)</f>
        <v>1634.5</v>
      </c>
    </row>
    <row r="55" spans="1:122" x14ac:dyDescent="0.35">
      <c r="A55" t="s">
        <v>26</v>
      </c>
      <c r="C55" s="11">
        <f>+C6</f>
        <v>85.016666666666694</v>
      </c>
      <c r="D55" s="13" t="s">
        <v>30</v>
      </c>
      <c r="E55">
        <v>13.08</v>
      </c>
      <c r="F55" t="s">
        <v>30</v>
      </c>
      <c r="G55">
        <f>SUM(C55*E55)</f>
        <v>1112.0180000000003</v>
      </c>
      <c r="O55" t="s">
        <v>26</v>
      </c>
      <c r="Q55" s="11">
        <f>+Q6</f>
        <v>95.416666666666657</v>
      </c>
      <c r="R55" s="13" t="s">
        <v>30</v>
      </c>
      <c r="S55">
        <v>13.08</v>
      </c>
      <c r="T55" t="s">
        <v>30</v>
      </c>
      <c r="U55">
        <f>SUM(Q55*S55)</f>
        <v>1248.05</v>
      </c>
      <c r="AB55" t="s">
        <v>26</v>
      </c>
      <c r="AD55" s="11">
        <f>+AD6</f>
        <v>81.316666666666691</v>
      </c>
      <c r="AE55" s="13" t="s">
        <v>30</v>
      </c>
      <c r="AF55">
        <v>13.08</v>
      </c>
      <c r="AG55" t="s">
        <v>30</v>
      </c>
      <c r="AH55">
        <f>SUM(AD55*AF55)</f>
        <v>1063.6220000000003</v>
      </c>
      <c r="AP55" t="s">
        <v>26</v>
      </c>
      <c r="AR55" s="11">
        <f>+AR6</f>
        <v>90.350000000000023</v>
      </c>
      <c r="AS55" s="13" t="s">
        <v>30</v>
      </c>
      <c r="AT55">
        <v>13.08</v>
      </c>
      <c r="AU55" t="s">
        <v>30</v>
      </c>
      <c r="AV55">
        <f>SUM(AR55*AT55)</f>
        <v>1181.7780000000002</v>
      </c>
      <c r="BC55" t="s">
        <v>26</v>
      </c>
      <c r="BE55" s="11">
        <f>+BE6</f>
        <v>97.333333333333343</v>
      </c>
      <c r="BF55" s="13" t="s">
        <v>30</v>
      </c>
      <c r="BG55">
        <v>13.08</v>
      </c>
      <c r="BH55" t="s">
        <v>30</v>
      </c>
      <c r="BI55">
        <f>SUM(BE55*BG55)</f>
        <v>1273.1200000000001</v>
      </c>
      <c r="BQ55" t="s">
        <v>26</v>
      </c>
      <c r="BS55" s="11">
        <f>+BS6</f>
        <v>84.250000000000014</v>
      </c>
      <c r="BT55" s="13" t="s">
        <v>30</v>
      </c>
      <c r="BU55">
        <v>13.08</v>
      </c>
      <c r="BV55" t="s">
        <v>30</v>
      </c>
      <c r="BW55">
        <f>SUM(BS55*BU55)</f>
        <v>1101.9900000000002</v>
      </c>
      <c r="CD55" t="s">
        <v>26</v>
      </c>
      <c r="CF55" s="11">
        <f>+CF6</f>
        <v>86.966666666666669</v>
      </c>
      <c r="CG55" s="13" t="s">
        <v>30</v>
      </c>
      <c r="CH55">
        <v>13.08</v>
      </c>
      <c r="CI55" t="s">
        <v>30</v>
      </c>
      <c r="CJ55">
        <f>SUM(CF55*CH55)</f>
        <v>1137.5240000000001</v>
      </c>
      <c r="CR55" t="s">
        <v>26</v>
      </c>
      <c r="CT55" s="11">
        <f>+CT6</f>
        <v>83.266666666666666</v>
      </c>
      <c r="CU55" s="13" t="s">
        <v>30</v>
      </c>
      <c r="CV55">
        <v>13.08</v>
      </c>
      <c r="CW55" t="s">
        <v>30</v>
      </c>
      <c r="CX55">
        <f>SUM(CT55*CV55)</f>
        <v>1089.1279999999999</v>
      </c>
      <c r="DF55" t="s">
        <v>26</v>
      </c>
      <c r="DH55" s="11">
        <f>+DH6</f>
        <v>89.933333333333323</v>
      </c>
      <c r="DI55" s="13" t="s">
        <v>30</v>
      </c>
      <c r="DJ55">
        <v>13.08</v>
      </c>
      <c r="DK55" t="s">
        <v>30</v>
      </c>
      <c r="DL55">
        <f>SUM(DH55*DJ55)</f>
        <v>1176.328</v>
      </c>
    </row>
    <row r="56" spans="1:122" x14ac:dyDescent="0.35">
      <c r="A56" t="s">
        <v>27</v>
      </c>
      <c r="C56" s="10">
        <f>+G5</f>
        <v>0</v>
      </c>
      <c r="D56" s="13" t="s">
        <v>30</v>
      </c>
      <c r="E56">
        <v>17.43</v>
      </c>
      <c r="F56" t="s">
        <v>30</v>
      </c>
      <c r="G56">
        <f>SUM(C56*E56)</f>
        <v>0</v>
      </c>
      <c r="O56" t="s">
        <v>27</v>
      </c>
      <c r="Q56" s="10">
        <f>+U5</f>
        <v>0</v>
      </c>
      <c r="R56" s="13" t="s">
        <v>30</v>
      </c>
      <c r="S56">
        <v>17.43</v>
      </c>
      <c r="T56" t="s">
        <v>30</v>
      </c>
      <c r="U56">
        <f>SUM(Q56*S56)</f>
        <v>0</v>
      </c>
      <c r="AB56" t="s">
        <v>27</v>
      </c>
      <c r="AD56" s="10">
        <f>+AH5</f>
        <v>0</v>
      </c>
      <c r="AE56" s="13" t="s">
        <v>30</v>
      </c>
      <c r="AF56">
        <v>17.43</v>
      </c>
      <c r="AG56" t="s">
        <v>30</v>
      </c>
      <c r="AH56">
        <f>SUM(AD56*AF56)</f>
        <v>0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  <c r="BC56" t="s">
        <v>27</v>
      </c>
      <c r="BE56" s="10">
        <f>+BI5</f>
        <v>0</v>
      </c>
      <c r="BF56" s="13" t="s">
        <v>30</v>
      </c>
      <c r="BG56">
        <v>17.43</v>
      </c>
      <c r="BH56" t="s">
        <v>30</v>
      </c>
      <c r="BI56">
        <f>SUM(BE56*BG56)</f>
        <v>0</v>
      </c>
      <c r="BQ56" t="s">
        <v>27</v>
      </c>
      <c r="BS56" s="10">
        <f>+BW5</f>
        <v>0</v>
      </c>
      <c r="BT56" s="13" t="s">
        <v>30</v>
      </c>
      <c r="BU56">
        <v>17.43</v>
      </c>
      <c r="BV56" t="s">
        <v>30</v>
      </c>
      <c r="BW56">
        <f>SUM(BS56*BU56)</f>
        <v>0</v>
      </c>
      <c r="CD56" t="s">
        <v>27</v>
      </c>
      <c r="CF56" s="10">
        <f>+CJ5</f>
        <v>0</v>
      </c>
      <c r="CG56" s="13" t="s">
        <v>30</v>
      </c>
      <c r="CH56">
        <v>17.43</v>
      </c>
      <c r="CI56" t="s">
        <v>30</v>
      </c>
      <c r="CJ56">
        <f>SUM(CF56*CH56)</f>
        <v>0</v>
      </c>
      <c r="CR56" t="s">
        <v>27</v>
      </c>
      <c r="CT56" s="10">
        <f>+CX5</f>
        <v>7.8666666666666663</v>
      </c>
      <c r="CU56" s="13" t="s">
        <v>30</v>
      </c>
      <c r="CV56">
        <v>17.43</v>
      </c>
      <c r="CW56" t="s">
        <v>30</v>
      </c>
      <c r="CX56">
        <f>SUM(CT56*CV56)</f>
        <v>137.11599999999999</v>
      </c>
      <c r="DF56" t="s">
        <v>27</v>
      </c>
      <c r="DH56" s="10">
        <f>+DL5</f>
        <v>10.483333333333331</v>
      </c>
      <c r="DI56" s="13" t="s">
        <v>30</v>
      </c>
      <c r="DJ56">
        <v>17.43</v>
      </c>
      <c r="DK56" t="s">
        <v>30</v>
      </c>
      <c r="DL56">
        <f>SUM(DH56*DJ56)</f>
        <v>182.72449999999995</v>
      </c>
    </row>
    <row r="57" spans="1:122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C57" t="s">
        <v>28</v>
      </c>
      <c r="BE57" s="10">
        <f>+BN5</f>
        <v>1</v>
      </c>
      <c r="BF57" s="13" t="s">
        <v>30</v>
      </c>
      <c r="BG57">
        <v>65.38</v>
      </c>
      <c r="BH57" t="s">
        <v>30</v>
      </c>
      <c r="BI57">
        <f>SUM(BE57*BG57)</f>
        <v>65.38</v>
      </c>
      <c r="BQ57" t="s">
        <v>28</v>
      </c>
      <c r="BS57" s="10">
        <f>+CB5</f>
        <v>0</v>
      </c>
      <c r="BT57" s="13" t="s">
        <v>30</v>
      </c>
      <c r="BU57">
        <v>65.38</v>
      </c>
      <c r="BV57" t="s">
        <v>30</v>
      </c>
      <c r="BW57">
        <f>SUM(BS57*BU57)</f>
        <v>0</v>
      </c>
      <c r="CD57" t="s">
        <v>28</v>
      </c>
      <c r="CF57" s="10">
        <f>+CO5</f>
        <v>1</v>
      </c>
      <c r="CG57" s="13" t="s">
        <v>30</v>
      </c>
      <c r="CH57">
        <v>65.38</v>
      </c>
      <c r="CI57" t="s">
        <v>30</v>
      </c>
      <c r="CJ57">
        <f>SUM(CF57*CH57)</f>
        <v>65.38</v>
      </c>
      <c r="CR57" t="s">
        <v>28</v>
      </c>
      <c r="CT57" s="10">
        <f>+DC5</f>
        <v>1</v>
      </c>
      <c r="CU57" s="13" t="s">
        <v>30</v>
      </c>
      <c r="CV57">
        <v>65.38</v>
      </c>
      <c r="CW57" t="s">
        <v>30</v>
      </c>
      <c r="CX57">
        <f>SUM(CT57*CV57)</f>
        <v>65.38</v>
      </c>
      <c r="DF57" t="s">
        <v>28</v>
      </c>
      <c r="DH57" s="10">
        <f>+DQ5</f>
        <v>1</v>
      </c>
      <c r="DI57" s="13" t="s">
        <v>30</v>
      </c>
      <c r="DJ57">
        <v>65.38</v>
      </c>
      <c r="DK57" t="s">
        <v>30</v>
      </c>
      <c r="DL57">
        <f>SUM(DH57*DJ57)</f>
        <v>65.38</v>
      </c>
    </row>
    <row r="58" spans="1:122" x14ac:dyDescent="0.35">
      <c r="A58" t="s">
        <v>29</v>
      </c>
      <c r="C58" s="10">
        <f>+L6</f>
        <v>4.633333333333332</v>
      </c>
      <c r="D58" s="13" t="s">
        <v>30</v>
      </c>
      <c r="E58">
        <v>17.43</v>
      </c>
      <c r="F58" t="s">
        <v>30</v>
      </c>
      <c r="G58">
        <f>SUM(C58*E58)</f>
        <v>80.758999999999972</v>
      </c>
      <c r="O58" t="s">
        <v>29</v>
      </c>
      <c r="Q58" s="10">
        <f>+Z6</f>
        <v>8.7166666666666668</v>
      </c>
      <c r="R58" s="13" t="s">
        <v>30</v>
      </c>
      <c r="S58">
        <v>17.43</v>
      </c>
      <c r="T58" t="s">
        <v>30</v>
      </c>
      <c r="U58">
        <f>SUM(Q58*S58)</f>
        <v>151.9315</v>
      </c>
      <c r="AB58" t="s">
        <v>29</v>
      </c>
      <c r="AD58" s="10">
        <f>+AM6</f>
        <v>10.816666666666666</v>
      </c>
      <c r="AE58" s="13" t="s">
        <v>30</v>
      </c>
      <c r="AF58">
        <v>17.43</v>
      </c>
      <c r="AG58" t="s">
        <v>30</v>
      </c>
      <c r="AH58">
        <f>SUM(AD58*AF58)</f>
        <v>188.53449999999998</v>
      </c>
      <c r="AP58" t="s">
        <v>29</v>
      </c>
      <c r="AR58" s="10">
        <f>+BA6</f>
        <v>8.8833333333333329</v>
      </c>
      <c r="AS58" s="13" t="s">
        <v>30</v>
      </c>
      <c r="AT58">
        <v>17.43</v>
      </c>
      <c r="AU58" t="s">
        <v>30</v>
      </c>
      <c r="AV58">
        <f>SUM(AR58*AT58)</f>
        <v>154.8365</v>
      </c>
      <c r="BC58" t="s">
        <v>29</v>
      </c>
      <c r="BE58" s="10">
        <f>+BN6</f>
        <v>5.5666666666666664</v>
      </c>
      <c r="BF58" s="13" t="s">
        <v>30</v>
      </c>
      <c r="BG58">
        <v>17.43</v>
      </c>
      <c r="BH58" t="s">
        <v>30</v>
      </c>
      <c r="BI58">
        <f>SUM(BE58*BG58)</f>
        <v>97.027000000000001</v>
      </c>
      <c r="BQ58" t="s">
        <v>29</v>
      </c>
      <c r="BS58" s="10">
        <f>+CB6</f>
        <v>0</v>
      </c>
      <c r="BT58" s="13" t="s">
        <v>30</v>
      </c>
      <c r="BU58">
        <v>17.43</v>
      </c>
      <c r="BV58" t="s">
        <v>30</v>
      </c>
      <c r="BW58">
        <f>SUM(BS58*BU58)</f>
        <v>0</v>
      </c>
      <c r="CD58" t="s">
        <v>29</v>
      </c>
      <c r="CF58" s="10">
        <f>+CO6</f>
        <v>8.6666666666666643</v>
      </c>
      <c r="CG58" s="13" t="s">
        <v>30</v>
      </c>
      <c r="CH58">
        <v>17.43</v>
      </c>
      <c r="CI58" t="s">
        <v>30</v>
      </c>
      <c r="CJ58">
        <f>SUM(CF58*CH58)</f>
        <v>151.05999999999995</v>
      </c>
      <c r="CR58" t="s">
        <v>29</v>
      </c>
      <c r="CT58" s="10">
        <f>+DC6</f>
        <v>8.6666666666666643</v>
      </c>
      <c r="CU58" s="13" t="s">
        <v>30</v>
      </c>
      <c r="CV58">
        <v>17.43</v>
      </c>
      <c r="CW58" t="s">
        <v>30</v>
      </c>
      <c r="CX58">
        <f>SUM(CT58*CV58)</f>
        <v>151.05999999999995</v>
      </c>
      <c r="DF58" t="s">
        <v>29</v>
      </c>
      <c r="DH58" s="10">
        <f>+DQ6</f>
        <v>10.900000000000002</v>
      </c>
      <c r="DI58" s="13" t="s">
        <v>30</v>
      </c>
      <c r="DJ58">
        <v>17.43</v>
      </c>
      <c r="DK58" t="s">
        <v>30</v>
      </c>
      <c r="DL58">
        <f>SUM(DH58*DJ58)</f>
        <v>189.98700000000002</v>
      </c>
    </row>
    <row r="59" spans="1:122" x14ac:dyDescent="0.35">
      <c r="D59" s="13"/>
      <c r="E59" s="14"/>
      <c r="F59" s="14" t="s">
        <v>30</v>
      </c>
      <c r="G59" s="14">
        <f>SUM(G54:G58)</f>
        <v>2892.6570000000002</v>
      </c>
      <c r="R59" s="13"/>
      <c r="S59" s="14"/>
      <c r="T59" s="14" t="s">
        <v>30</v>
      </c>
      <c r="U59" s="14">
        <f>SUM(U54:U58)</f>
        <v>3099.8615000000004</v>
      </c>
      <c r="AE59" s="13"/>
      <c r="AF59" s="14"/>
      <c r="AG59" s="14" t="s">
        <v>30</v>
      </c>
      <c r="AH59" s="14">
        <f>SUM(AH54:AH58)</f>
        <v>2886.6565000000001</v>
      </c>
      <c r="AS59" s="13"/>
      <c r="AT59" s="14"/>
      <c r="AU59" s="14" t="s">
        <v>30</v>
      </c>
      <c r="AV59" s="14">
        <f>SUM(AV54:AV58)</f>
        <v>3036.4945000000002</v>
      </c>
      <c r="BF59" s="13"/>
      <c r="BG59" s="14"/>
      <c r="BH59" s="14" t="s">
        <v>30</v>
      </c>
      <c r="BI59" s="14">
        <f>SUM(BI54:BI58)</f>
        <v>3070.027</v>
      </c>
      <c r="BT59" s="13"/>
      <c r="BU59" s="14"/>
      <c r="BV59" s="14" t="s">
        <v>30</v>
      </c>
      <c r="BW59" s="14">
        <f>SUM(BW54:BW58)</f>
        <v>2671.11</v>
      </c>
      <c r="CG59" s="13"/>
      <c r="CH59" s="14"/>
      <c r="CI59" s="14" t="s">
        <v>30</v>
      </c>
      <c r="CJ59" s="14">
        <f>SUM(CJ54:CJ58)</f>
        <v>2988.4640000000004</v>
      </c>
      <c r="CU59" s="13"/>
      <c r="CV59" s="14"/>
      <c r="CW59" s="14" t="s">
        <v>30</v>
      </c>
      <c r="CX59" s="14">
        <f>SUM(CX54:CX58)</f>
        <v>3011.8039999999996</v>
      </c>
      <c r="DI59" s="13"/>
      <c r="DJ59" s="14"/>
      <c r="DK59" s="14" t="s">
        <v>30</v>
      </c>
      <c r="DL59" s="14">
        <f>SUM(DL54:DL58)</f>
        <v>3248.9195</v>
      </c>
    </row>
    <row r="60" spans="1:122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  <c r="BF60" s="13"/>
      <c r="BG60" t="s">
        <v>31</v>
      </c>
      <c r="BH60" t="s">
        <v>30</v>
      </c>
      <c r="BI60">
        <v>200</v>
      </c>
      <c r="BT60" s="13"/>
      <c r="BU60" t="s">
        <v>31</v>
      </c>
      <c r="BV60" t="s">
        <v>30</v>
      </c>
      <c r="BW60">
        <v>200</v>
      </c>
      <c r="CG60" s="13"/>
      <c r="CH60" t="s">
        <v>31</v>
      </c>
      <c r="CI60" t="s">
        <v>30</v>
      </c>
      <c r="CJ60">
        <v>200</v>
      </c>
      <c r="CU60" s="13"/>
      <c r="CV60" t="s">
        <v>31</v>
      </c>
      <c r="CW60" t="s">
        <v>30</v>
      </c>
      <c r="CX60">
        <v>200</v>
      </c>
      <c r="DI60" s="13"/>
      <c r="DJ60" t="s">
        <v>31</v>
      </c>
      <c r="DK60" t="s">
        <v>30</v>
      </c>
      <c r="DL60">
        <v>200</v>
      </c>
    </row>
    <row r="62" spans="1:122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G62" s="15" t="s">
        <v>32</v>
      </c>
      <c r="BH62" s="15" t="s">
        <v>30</v>
      </c>
      <c r="BI62" s="15">
        <v>550</v>
      </c>
      <c r="BJ62" s="16"/>
      <c r="BK62" s="16"/>
      <c r="BL62" s="17"/>
      <c r="BO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H62" s="15" t="s">
        <v>32</v>
      </c>
      <c r="CI62" s="15" t="s">
        <v>30</v>
      </c>
      <c r="CJ62" s="15">
        <v>550</v>
      </c>
      <c r="CK62" s="16"/>
      <c r="CL62" s="16"/>
      <c r="CM62" s="17"/>
      <c r="CP62" s="18"/>
      <c r="CV62" s="15" t="s">
        <v>32</v>
      </c>
      <c r="CW62" s="15" t="s">
        <v>30</v>
      </c>
      <c r="CX62" s="15">
        <v>550</v>
      </c>
      <c r="CY62" s="16"/>
      <c r="CZ62" s="16"/>
      <c r="DA62" s="17"/>
      <c r="DD62" s="18"/>
      <c r="DJ62" s="15" t="s">
        <v>32</v>
      </c>
      <c r="DK62" s="15" t="s">
        <v>30</v>
      </c>
      <c r="DL62" s="15">
        <v>550</v>
      </c>
      <c r="DM62" s="16"/>
      <c r="DN62" s="16"/>
      <c r="DO62" s="17"/>
      <c r="DR62" s="18"/>
    </row>
    <row r="63" spans="1:122" ht="15" thickBot="1" x14ac:dyDescent="0.4">
      <c r="E63" t="s">
        <v>33</v>
      </c>
      <c r="F63" s="19" t="s">
        <v>30</v>
      </c>
      <c r="G63" s="19">
        <f>SUM(G59+G60+G61-G62)</f>
        <v>2542.6570000000002</v>
      </c>
      <c r="S63" t="s">
        <v>33</v>
      </c>
      <c r="T63" s="19" t="s">
        <v>30</v>
      </c>
      <c r="U63" s="19">
        <f>SUM(U59+U60+U61-U62)</f>
        <v>2749.8615000000004</v>
      </c>
      <c r="AF63" t="s">
        <v>33</v>
      </c>
      <c r="AG63" s="19" t="s">
        <v>30</v>
      </c>
      <c r="AH63" s="19">
        <f>SUM(AH59+AH60+AH61-AH62)</f>
        <v>2536.6565000000001</v>
      </c>
      <c r="AT63" t="s">
        <v>33</v>
      </c>
      <c r="AU63" s="19" t="s">
        <v>30</v>
      </c>
      <c r="AV63" s="19">
        <f>SUM(AV59+AV60+AV61-AV62)</f>
        <v>2686.4945000000002</v>
      </c>
      <c r="BG63" t="s">
        <v>33</v>
      </c>
      <c r="BH63" s="19" t="s">
        <v>30</v>
      </c>
      <c r="BI63" s="19">
        <f>SUM(BI59+BI60+BI61-BI62)</f>
        <v>2720.027</v>
      </c>
      <c r="BU63" t="s">
        <v>33</v>
      </c>
      <c r="BV63" s="19" t="s">
        <v>30</v>
      </c>
      <c r="BW63" s="19">
        <f>SUM(BW59+BW60+BW61-BW62)</f>
        <v>2321.11</v>
      </c>
      <c r="CH63" t="s">
        <v>33</v>
      </c>
      <c r="CI63" s="19" t="s">
        <v>30</v>
      </c>
      <c r="CJ63" s="19">
        <f>SUM(CJ59+CJ60+CJ61-CJ62)</f>
        <v>2638.4640000000004</v>
      </c>
      <c r="CV63" t="s">
        <v>33</v>
      </c>
      <c r="CW63" s="19" t="s">
        <v>30</v>
      </c>
      <c r="CX63" s="19">
        <f>SUM(CX59+CX60+CX61-CX62)</f>
        <v>2661.8039999999996</v>
      </c>
      <c r="DJ63" t="s">
        <v>33</v>
      </c>
      <c r="DK63" s="19" t="s">
        <v>30</v>
      </c>
      <c r="DL63" s="19">
        <f>SUM(DL59+DL60+DL61-DL62)</f>
        <v>2898.9195</v>
      </c>
    </row>
    <row r="64" spans="1:122" ht="15" thickTop="1" x14ac:dyDescent="0.35">
      <c r="DF64" s="112"/>
      <c r="DG64" s="112"/>
      <c r="DH64" s="112"/>
      <c r="DI64" s="112"/>
      <c r="DJ64" s="113"/>
      <c r="DK64" s="22"/>
      <c r="DL64" s="22"/>
      <c r="DM64" s="106"/>
      <c r="DN64" s="38"/>
      <c r="DO64" s="107"/>
      <c r="DP64" s="108"/>
    </row>
    <row r="65" spans="110:120" x14ac:dyDescent="0.35">
      <c r="DF65" s="112"/>
      <c r="DG65" s="112"/>
      <c r="DH65" s="112"/>
      <c r="DI65" s="112"/>
      <c r="DJ65" s="113"/>
      <c r="DK65" s="22"/>
      <c r="DL65" s="22"/>
      <c r="DM65" s="106"/>
      <c r="DN65" s="38"/>
      <c r="DO65" s="107"/>
      <c r="DP65" s="108"/>
    </row>
    <row r="66" spans="110:120" x14ac:dyDescent="0.35">
      <c r="DF66" s="112"/>
      <c r="DG66" s="112"/>
      <c r="DH66" s="112"/>
      <c r="DI66" s="112"/>
      <c r="DJ66" s="113"/>
      <c r="DK66" s="22"/>
      <c r="DL66" s="22"/>
      <c r="DM66" s="106"/>
      <c r="DN66" s="38"/>
      <c r="DO66" s="107"/>
      <c r="DP66" s="108"/>
    </row>
    <row r="67" spans="110:120" x14ac:dyDescent="0.35">
      <c r="DF67" s="114"/>
      <c r="DG67" s="114"/>
      <c r="DH67" s="114"/>
      <c r="DI67" s="114"/>
      <c r="DJ67" s="115"/>
      <c r="DK67" s="116"/>
      <c r="DL67" s="116"/>
      <c r="DM67" s="109"/>
      <c r="DN67" s="110"/>
      <c r="DO67" s="110"/>
      <c r="DP67" s="111"/>
    </row>
    <row r="68" spans="110:120" x14ac:dyDescent="0.35">
      <c r="DF68" s="112"/>
      <c r="DG68" s="112"/>
      <c r="DH68" s="112"/>
      <c r="DI68" s="112"/>
      <c r="DJ68" s="113"/>
      <c r="DK68" s="22"/>
      <c r="DL68" s="22"/>
      <c r="DM68" s="106"/>
      <c r="DN68" s="38"/>
      <c r="DO68" s="107"/>
      <c r="DP68" s="108"/>
    </row>
    <row r="69" spans="110:120" x14ac:dyDescent="0.35">
      <c r="DF69" s="112"/>
      <c r="DG69" s="112"/>
      <c r="DH69" s="112"/>
      <c r="DI69" s="112"/>
      <c r="DJ69" s="113"/>
      <c r="DK69" s="22"/>
      <c r="DL69" s="22"/>
      <c r="DM69" s="106"/>
      <c r="DN69" s="38"/>
      <c r="DO69" s="107"/>
      <c r="DP69" s="108"/>
    </row>
    <row r="70" spans="110:120" x14ac:dyDescent="0.35">
      <c r="DF70" s="112"/>
      <c r="DG70" s="112"/>
      <c r="DH70" s="112"/>
      <c r="DI70" s="112"/>
      <c r="DJ70" s="113"/>
      <c r="DK70" s="22"/>
      <c r="DL70" s="22"/>
      <c r="DM70" s="106"/>
      <c r="DN70" s="38"/>
      <c r="DO70" s="107"/>
      <c r="DP70" s="108"/>
    </row>
    <row r="71" spans="110:120" x14ac:dyDescent="0.35">
      <c r="DF71" s="112"/>
      <c r="DG71" s="112"/>
      <c r="DH71" s="112"/>
      <c r="DI71" s="112"/>
      <c r="DJ71" s="113"/>
      <c r="DK71" s="22"/>
      <c r="DL71" s="22"/>
      <c r="DM71" s="106"/>
      <c r="DN71" s="38"/>
      <c r="DO71" s="107"/>
      <c r="DP71" s="108"/>
    </row>
    <row r="72" spans="110:120" x14ac:dyDescent="0.35">
      <c r="DF72" s="112"/>
      <c r="DG72" s="112"/>
      <c r="DH72" s="112"/>
      <c r="DI72" s="112"/>
      <c r="DJ72" s="113"/>
      <c r="DK72" s="22"/>
      <c r="DL72" s="22"/>
      <c r="DM72" s="106"/>
      <c r="DN72" s="38"/>
      <c r="DO72" s="107"/>
      <c r="DP72" s="108"/>
    </row>
    <row r="73" spans="110:120" x14ac:dyDescent="0.35">
      <c r="DF73" s="112"/>
      <c r="DG73" s="112"/>
      <c r="DH73" s="112"/>
      <c r="DI73" s="112"/>
      <c r="DJ73" s="113"/>
      <c r="DK73" s="22"/>
      <c r="DL73" s="22"/>
      <c r="DM73" s="106"/>
      <c r="DN73" s="38"/>
      <c r="DO73" s="107"/>
      <c r="DP73" s="108"/>
    </row>
    <row r="74" spans="110:120" x14ac:dyDescent="0.35">
      <c r="DF74" s="114"/>
      <c r="DG74" s="114"/>
      <c r="DH74" s="114"/>
      <c r="DI74" s="114"/>
      <c r="DJ74" s="115"/>
      <c r="DK74" s="116"/>
      <c r="DL74" s="116"/>
      <c r="DM74" s="109"/>
      <c r="DN74" s="110"/>
      <c r="DO74" s="110"/>
      <c r="DP74" s="111"/>
    </row>
    <row r="75" spans="110:120" x14ac:dyDescent="0.35">
      <c r="DF75" s="112"/>
      <c r="DG75" s="112"/>
      <c r="DH75" s="112"/>
      <c r="DI75" s="112"/>
      <c r="DJ75" s="113"/>
      <c r="DK75" s="22"/>
      <c r="DL75" s="22"/>
      <c r="DM75" s="106"/>
      <c r="DN75" s="38"/>
      <c r="DO75" s="107"/>
      <c r="DP75" s="108"/>
    </row>
    <row r="76" spans="110:120" x14ac:dyDescent="0.35">
      <c r="DF76" s="112"/>
      <c r="DG76" s="112"/>
      <c r="DH76" s="112"/>
      <c r="DI76" s="112"/>
      <c r="DJ76" s="113"/>
      <c r="DK76" s="22"/>
      <c r="DL76" s="22"/>
      <c r="DM76" s="106"/>
      <c r="DN76" s="38"/>
      <c r="DO76" s="107"/>
      <c r="DP76" s="108"/>
    </row>
    <row r="77" spans="110:120" x14ac:dyDescent="0.35">
      <c r="DF77" s="112"/>
      <c r="DG77" s="112"/>
      <c r="DH77" s="112"/>
      <c r="DI77" s="112"/>
      <c r="DJ77" s="113"/>
      <c r="DK77" s="22"/>
      <c r="DL77" s="22"/>
      <c r="DM77" s="106"/>
      <c r="DN77" s="38"/>
      <c r="DO77" s="107"/>
      <c r="DP77" s="108"/>
    </row>
    <row r="78" spans="110:120" x14ac:dyDescent="0.35">
      <c r="DF78" s="112"/>
      <c r="DG78" s="112"/>
      <c r="DH78" s="112"/>
      <c r="DI78" s="112"/>
      <c r="DJ78" s="113"/>
      <c r="DK78" s="22"/>
      <c r="DL78" s="22"/>
      <c r="DM78" s="106"/>
      <c r="DN78" s="38"/>
      <c r="DO78" s="107"/>
      <c r="DP78" s="108"/>
    </row>
    <row r="79" spans="110:120" x14ac:dyDescent="0.35">
      <c r="DF79" s="112"/>
      <c r="DG79" s="112"/>
      <c r="DH79" s="112"/>
      <c r="DI79" s="112"/>
      <c r="DJ79" s="113"/>
      <c r="DK79" s="22"/>
      <c r="DL79" s="22"/>
      <c r="DM79" s="106"/>
      <c r="DN79" s="38"/>
      <c r="DO79" s="107"/>
      <c r="DP79" s="108"/>
    </row>
    <row r="80" spans="110:120" x14ac:dyDescent="0.35">
      <c r="DF80" s="112"/>
      <c r="DG80" s="112"/>
      <c r="DH80" s="112"/>
      <c r="DI80" s="112"/>
      <c r="DJ80" s="113"/>
      <c r="DK80" s="22"/>
      <c r="DL80" s="22"/>
      <c r="DM80" s="106"/>
      <c r="DN80" s="38"/>
      <c r="DO80" s="107"/>
      <c r="DP80" s="108"/>
    </row>
    <row r="81" spans="110:120" x14ac:dyDescent="0.35">
      <c r="DF81" s="114"/>
      <c r="DG81" s="114"/>
      <c r="DH81" s="114"/>
      <c r="DI81" s="114"/>
      <c r="DJ81" s="115"/>
      <c r="DK81" s="116"/>
      <c r="DL81" s="116"/>
      <c r="DM81" s="109"/>
      <c r="DN81" s="110"/>
      <c r="DO81" s="110"/>
      <c r="DP81" s="111"/>
    </row>
    <row r="82" spans="110:120" x14ac:dyDescent="0.35">
      <c r="DF82" s="112"/>
      <c r="DG82" s="112"/>
      <c r="DH82" s="112"/>
      <c r="DI82" s="112"/>
      <c r="DJ82" s="113"/>
      <c r="DK82" s="22"/>
      <c r="DL82" s="22"/>
      <c r="DM82" s="106"/>
      <c r="DN82" s="38"/>
      <c r="DO82" s="107"/>
      <c r="DP82" s="108"/>
    </row>
    <row r="83" spans="110:120" x14ac:dyDescent="0.35">
      <c r="DF83" s="112"/>
      <c r="DG83" s="112"/>
      <c r="DH83" s="112"/>
      <c r="DI83" s="112"/>
      <c r="DJ83" s="113"/>
      <c r="DK83" s="22"/>
      <c r="DL83" s="22"/>
      <c r="DM83" s="106"/>
      <c r="DN83" s="38"/>
      <c r="DO83" s="107"/>
      <c r="DP83" s="108"/>
    </row>
    <row r="84" spans="110:120" x14ac:dyDescent="0.35">
      <c r="DF84" s="112"/>
      <c r="DG84" s="112"/>
      <c r="DH84" s="112"/>
      <c r="DI84" s="112"/>
      <c r="DJ84" s="113"/>
      <c r="DK84" s="22"/>
      <c r="DL84" s="22"/>
      <c r="DM84" s="106"/>
      <c r="DN84" s="38"/>
      <c r="DO84" s="107"/>
      <c r="DP84" s="108"/>
    </row>
    <row r="85" spans="110:120" x14ac:dyDescent="0.35">
      <c r="DF85" s="112"/>
      <c r="DG85" s="112"/>
      <c r="DH85" s="112"/>
      <c r="DI85" s="112"/>
      <c r="DJ85" s="113"/>
      <c r="DK85" s="22"/>
      <c r="DL85" s="22"/>
      <c r="DM85" s="106"/>
      <c r="DN85" s="38"/>
      <c r="DO85" s="107"/>
      <c r="DP85" s="108"/>
    </row>
    <row r="86" spans="110:120" x14ac:dyDescent="0.35">
      <c r="DF86" s="117"/>
      <c r="DG86" s="117"/>
      <c r="DH86" s="117"/>
      <c r="DI86" s="117"/>
      <c r="DJ86" s="117"/>
      <c r="DK86" s="118"/>
      <c r="DL86" s="118"/>
      <c r="DM86" s="119"/>
      <c r="DN86" s="119"/>
      <c r="DO86" s="119"/>
      <c r="DP86" s="108"/>
    </row>
    <row r="87" spans="110:120" x14ac:dyDescent="0.35">
      <c r="DF87" s="117"/>
      <c r="DG87" s="117"/>
      <c r="DH87" s="117"/>
      <c r="DI87" s="117"/>
      <c r="DJ87" s="117"/>
      <c r="DK87" s="118"/>
      <c r="DL87" s="118"/>
      <c r="DM87" s="119"/>
      <c r="DN87" s="119"/>
      <c r="DO87" s="119"/>
      <c r="DP87" s="108"/>
    </row>
    <row r="88" spans="110:120" x14ac:dyDescent="0.35">
      <c r="DF88" s="117"/>
      <c r="DG88" s="117"/>
      <c r="DH88" s="117"/>
      <c r="DI88" s="117"/>
      <c r="DJ88" s="117"/>
      <c r="DK88" s="118"/>
      <c r="DL88" s="118"/>
      <c r="DM88" s="119"/>
      <c r="DN88" s="119"/>
      <c r="DO88" s="119"/>
      <c r="DP88" s="108"/>
    </row>
    <row r="89" spans="110:120" x14ac:dyDescent="0.35">
      <c r="DF89" s="117"/>
      <c r="DG89" s="117"/>
      <c r="DH89" s="117"/>
      <c r="DI89" s="117"/>
      <c r="DJ89" s="117"/>
      <c r="DK89" s="118"/>
      <c r="DL89" s="118"/>
      <c r="DM89" s="119"/>
      <c r="DN89" s="119"/>
      <c r="DO89" s="119"/>
      <c r="DP89" s="108"/>
    </row>
    <row r="90" spans="110:120" x14ac:dyDescent="0.35">
      <c r="DF90" s="120"/>
      <c r="DG90" s="120"/>
      <c r="DH90" s="120"/>
      <c r="DI90" s="120"/>
      <c r="DJ90" s="120"/>
      <c r="DK90" s="118"/>
      <c r="DL90" s="118"/>
      <c r="DM90" s="119"/>
      <c r="DN90" s="119"/>
      <c r="DO90" s="119"/>
      <c r="DP90" s="108"/>
    </row>
    <row r="91" spans="110:120" x14ac:dyDescent="0.35">
      <c r="DF91" s="24"/>
      <c r="DG91" s="24"/>
      <c r="DH91" s="24"/>
      <c r="DI91" s="24"/>
      <c r="DJ91" s="24"/>
      <c r="DK91" s="22"/>
      <c r="DL91" s="22"/>
      <c r="DM91" s="38"/>
      <c r="DN91" s="24"/>
      <c r="DO91" s="24"/>
      <c r="DP91" s="25"/>
    </row>
    <row r="92" spans="110:120" x14ac:dyDescent="0.35">
      <c r="DF92" s="167"/>
      <c r="DG92" s="167"/>
      <c r="DH92" s="167"/>
      <c r="DI92" s="167"/>
      <c r="DJ92" s="168"/>
      <c r="DK92" s="168"/>
      <c r="DL92" s="121"/>
      <c r="DM92" s="169"/>
      <c r="DN92" s="169"/>
      <c r="DO92" s="169"/>
      <c r="DP92" s="169"/>
    </row>
    <row r="93" spans="110:120" x14ac:dyDescent="0.35">
      <c r="DF93" s="170"/>
      <c r="DG93" s="167"/>
      <c r="DH93" s="171"/>
      <c r="DI93" s="167"/>
      <c r="DJ93" s="172"/>
      <c r="DK93" s="168"/>
      <c r="DL93" s="121"/>
      <c r="DM93" s="173"/>
      <c r="DN93" s="169"/>
      <c r="DO93" s="173"/>
      <c r="DP93" s="173"/>
    </row>
    <row r="94" spans="110:120" x14ac:dyDescent="0.35">
      <c r="DF94" s="24"/>
      <c r="DG94" s="24"/>
      <c r="DH94" s="24"/>
      <c r="DI94" s="24"/>
      <c r="DJ94" s="24"/>
      <c r="DK94" s="22"/>
      <c r="DL94" s="22"/>
      <c r="DM94" s="38"/>
      <c r="DN94" s="24"/>
      <c r="DO94" s="24"/>
      <c r="DP94" s="25"/>
    </row>
    <row r="95" spans="110:120" x14ac:dyDescent="0.35">
      <c r="DF95" s="24"/>
      <c r="DG95" s="24"/>
      <c r="DH95" s="24"/>
      <c r="DI95" s="24"/>
      <c r="DJ95" s="24"/>
      <c r="DK95" s="22"/>
      <c r="DL95" s="22"/>
      <c r="DM95" s="38"/>
      <c r="DN95" s="24"/>
      <c r="DO95" s="24"/>
      <c r="DP95" s="25"/>
    </row>
    <row r="96" spans="110:120" x14ac:dyDescent="0.35">
      <c r="DF96" s="39"/>
      <c r="DG96" s="39"/>
      <c r="DH96" s="124"/>
      <c r="DI96" s="121"/>
      <c r="DJ96" s="121"/>
      <c r="DK96" s="123"/>
      <c r="DL96" s="123"/>
      <c r="DM96" s="122"/>
      <c r="DN96" s="122"/>
      <c r="DO96" s="122"/>
      <c r="DP96" s="39"/>
    </row>
    <row r="97" spans="110:120" x14ac:dyDescent="0.35">
      <c r="DF97" s="22"/>
      <c r="DG97" s="22"/>
      <c r="DH97" s="125"/>
      <c r="DI97" s="116"/>
      <c r="DJ97" s="116"/>
      <c r="DK97" s="116"/>
      <c r="DL97" s="116"/>
      <c r="DM97" s="126"/>
      <c r="DN97" s="126"/>
      <c r="DO97" s="126"/>
      <c r="DP97" s="38"/>
    </row>
  </sheetData>
  <mergeCells count="154">
    <mergeCell ref="AB50:AC50"/>
    <mergeCell ref="AJ50:AJ51"/>
    <mergeCell ref="AB51:AC51"/>
    <mergeCell ref="DF92:DG92"/>
    <mergeCell ref="DH92:DI92"/>
    <mergeCell ref="DJ92:DK92"/>
    <mergeCell ref="DM92:DN92"/>
    <mergeCell ref="DO92:DP92"/>
    <mergeCell ref="DF93:DG93"/>
    <mergeCell ref="DH93:DI93"/>
    <mergeCell ref="DJ93:DK93"/>
    <mergeCell ref="DM93:DN93"/>
    <mergeCell ref="DO93:DP93"/>
    <mergeCell ref="DN50:DN51"/>
    <mergeCell ref="A1:M1"/>
    <mergeCell ref="O1:AA1"/>
    <mergeCell ref="AP1:BB1"/>
    <mergeCell ref="BC1:BO1"/>
    <mergeCell ref="BQ1:CC1"/>
    <mergeCell ref="CD1:CP1"/>
    <mergeCell ref="CR1:DD1"/>
    <mergeCell ref="DF1:DR1"/>
    <mergeCell ref="CD8:CE8"/>
    <mergeCell ref="CR8:CS8"/>
    <mergeCell ref="DF8:DG8"/>
    <mergeCell ref="A8:B8"/>
    <mergeCell ref="O8:P8"/>
    <mergeCell ref="AP8:AQ8"/>
    <mergeCell ref="BC8:BD8"/>
    <mergeCell ref="BQ8:BR8"/>
    <mergeCell ref="AB1:AN1"/>
    <mergeCell ref="AB8:AC8"/>
    <mergeCell ref="A46:B47"/>
    <mergeCell ref="C46:D46"/>
    <mergeCell ref="E46:F46"/>
    <mergeCell ref="G46:H46"/>
    <mergeCell ref="J46:K46"/>
    <mergeCell ref="L46:M46"/>
    <mergeCell ref="O46:P47"/>
    <mergeCell ref="Q46:R46"/>
    <mergeCell ref="S46:T46"/>
    <mergeCell ref="AV46:AW46"/>
    <mergeCell ref="AY46:AZ46"/>
    <mergeCell ref="BA46:BB46"/>
    <mergeCell ref="U46:V46"/>
    <mergeCell ref="X46:Y46"/>
    <mergeCell ref="Z46:AA46"/>
    <mergeCell ref="BN46:BO46"/>
    <mergeCell ref="BQ46:BR47"/>
    <mergeCell ref="BS46:BT46"/>
    <mergeCell ref="AY47:AZ47"/>
    <mergeCell ref="BA47:BB47"/>
    <mergeCell ref="AB46:AC47"/>
    <mergeCell ref="AD46:AE46"/>
    <mergeCell ref="AF46:AG46"/>
    <mergeCell ref="AH46:AI46"/>
    <mergeCell ref="AK46:AL46"/>
    <mergeCell ref="AM46:AN46"/>
    <mergeCell ref="AD47:AE47"/>
    <mergeCell ref="AF47:AG47"/>
    <mergeCell ref="AH47:AI47"/>
    <mergeCell ref="AK47:AL47"/>
    <mergeCell ref="AM47:AN47"/>
    <mergeCell ref="BU46:BV46"/>
    <mergeCell ref="BC46:BD47"/>
    <mergeCell ref="BE46:BF46"/>
    <mergeCell ref="BG46:BH46"/>
    <mergeCell ref="BE47:BF47"/>
    <mergeCell ref="BG47:BH47"/>
    <mergeCell ref="BI47:BJ47"/>
    <mergeCell ref="BL47:BM47"/>
    <mergeCell ref="BN47:BO47"/>
    <mergeCell ref="BS47:BT47"/>
    <mergeCell ref="BU47:BV47"/>
    <mergeCell ref="BI46:BJ46"/>
    <mergeCell ref="BL46:BM46"/>
    <mergeCell ref="CJ46:CK46"/>
    <mergeCell ref="CM46:CN46"/>
    <mergeCell ref="CO46:CP46"/>
    <mergeCell ref="CR46:CS47"/>
    <mergeCell ref="CT46:CU46"/>
    <mergeCell ref="CV46:CW46"/>
    <mergeCell ref="BW46:BX46"/>
    <mergeCell ref="BZ46:CA46"/>
    <mergeCell ref="CB46:CC46"/>
    <mergeCell ref="CD46:CE47"/>
    <mergeCell ref="CF46:CG46"/>
    <mergeCell ref="CH46:CI46"/>
    <mergeCell ref="BW47:BX47"/>
    <mergeCell ref="BZ47:CA47"/>
    <mergeCell ref="CB47:CC47"/>
    <mergeCell ref="CF47:CG47"/>
    <mergeCell ref="CV47:CW47"/>
    <mergeCell ref="CH47:CI47"/>
    <mergeCell ref="CJ47:CK47"/>
    <mergeCell ref="CM47:CN47"/>
    <mergeCell ref="CO47:CP47"/>
    <mergeCell ref="DC46:DD46"/>
    <mergeCell ref="DF46:DG47"/>
    <mergeCell ref="DH46:DI46"/>
    <mergeCell ref="DJ46:DK46"/>
    <mergeCell ref="CX47:CY47"/>
    <mergeCell ref="DA47:DB47"/>
    <mergeCell ref="DC47:DD47"/>
    <mergeCell ref="DH47:DI47"/>
    <mergeCell ref="DJ47:DK47"/>
    <mergeCell ref="DO47:DP47"/>
    <mergeCell ref="DQ47:DR47"/>
    <mergeCell ref="C47:D47"/>
    <mergeCell ref="E47:F47"/>
    <mergeCell ref="G47:H47"/>
    <mergeCell ref="J47:K47"/>
    <mergeCell ref="L47:M47"/>
    <mergeCell ref="Q47:R47"/>
    <mergeCell ref="S47:T47"/>
    <mergeCell ref="AT47:AU47"/>
    <mergeCell ref="AV47:AW47"/>
    <mergeCell ref="AP46:AQ47"/>
    <mergeCell ref="AR46:AS46"/>
    <mergeCell ref="AT46:AU46"/>
    <mergeCell ref="U47:V47"/>
    <mergeCell ref="X47:Y47"/>
    <mergeCell ref="Z47:AA47"/>
    <mergeCell ref="AR47:AS47"/>
    <mergeCell ref="CT47:CU47"/>
    <mergeCell ref="DL46:DM46"/>
    <mergeCell ref="DO46:DP46"/>
    <mergeCell ref="DQ46:DR46"/>
    <mergeCell ref="CX46:CY46"/>
    <mergeCell ref="DA46:DB46"/>
    <mergeCell ref="DL47:DM47"/>
    <mergeCell ref="A51:B51"/>
    <mergeCell ref="O51:P51"/>
    <mergeCell ref="AP51:AQ51"/>
    <mergeCell ref="BC51:BD51"/>
    <mergeCell ref="BQ51:BR51"/>
    <mergeCell ref="CD51:CE51"/>
    <mergeCell ref="CR51:CS51"/>
    <mergeCell ref="CZ50:CZ51"/>
    <mergeCell ref="A50:B50"/>
    <mergeCell ref="I50:I51"/>
    <mergeCell ref="O50:P50"/>
    <mergeCell ref="W50:W51"/>
    <mergeCell ref="AP50:AQ50"/>
    <mergeCell ref="AX50:AX51"/>
    <mergeCell ref="CD50:CE50"/>
    <mergeCell ref="CL50:CL51"/>
    <mergeCell ref="CR50:CS50"/>
    <mergeCell ref="DF50:DG50"/>
    <mergeCell ref="DF51:DG51"/>
    <mergeCell ref="BC50:BD50"/>
    <mergeCell ref="BK50:BK51"/>
    <mergeCell ref="BQ50:BR50"/>
    <mergeCell ref="BY50:BY51"/>
  </mergeCells>
  <printOptions verticalCentered="1"/>
  <pageMargins left="0.23622047244094491" right="0" top="0" bottom="0" header="0" footer="0"/>
  <pageSetup paperSize="9" scale="54" orientation="landscape" r:id="rId1"/>
  <colBreaks count="4" manualBreakCount="4">
    <brk id="27" max="62" man="1"/>
    <brk id="54" max="62" man="1"/>
    <brk id="81" max="62" man="1"/>
    <brk id="94" max="6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79998168889431442"/>
  </sheetPr>
  <dimension ref="A1:DE248"/>
  <sheetViews>
    <sheetView view="pageBreakPreview" topLeftCell="CD1" zoomScale="85" zoomScaleNormal="85" zoomScaleSheetLayoutView="85" workbookViewId="0">
      <selection activeCell="R22" sqref="R22"/>
    </sheetView>
  </sheetViews>
  <sheetFormatPr defaultColWidth="8.81640625" defaultRowHeight="14.5" x14ac:dyDescent="0.35"/>
  <cols>
    <col min="1" max="2" width="5.7265625" customWidth="1"/>
    <col min="3" max="3" width="10.54296875" customWidth="1"/>
    <col min="4" max="4" width="8.7265625" customWidth="1"/>
    <col min="6" max="6" width="7.7265625" customWidth="1"/>
    <col min="7" max="7" width="11.453125" customWidth="1"/>
    <col min="8" max="8" width="8.453125" style="3" customWidth="1"/>
    <col min="9" max="9" width="7.453125" style="3" customWidth="1"/>
    <col min="10" max="10" width="8.81640625" style="2"/>
    <col min="11" max="11" width="7" customWidth="1"/>
    <col min="12" max="12" width="9" bestFit="1" customWidth="1"/>
    <col min="13" max="13" width="16.54296875" style="1" customWidth="1"/>
    <col min="14" max="14" width="5.54296875" customWidth="1"/>
    <col min="15" max="16" width="5.7265625" customWidth="1"/>
    <col min="17" max="17" width="10.453125" customWidth="1"/>
    <col min="18" max="18" width="8.7265625" customWidth="1"/>
    <col min="20" max="20" width="7.7265625" customWidth="1"/>
    <col min="21" max="21" width="9" bestFit="1" customWidth="1"/>
    <col min="22" max="22" width="8.453125" style="3" customWidth="1"/>
    <col min="23" max="23" width="7.26953125" style="3" customWidth="1"/>
    <col min="24" max="24" width="8.81640625" style="2"/>
    <col min="25" max="25" width="7" customWidth="1"/>
    <col min="26" max="26" width="9" bestFit="1" customWidth="1"/>
    <col min="27" max="27" width="13.81640625" style="1" customWidth="1"/>
    <col min="28" max="29" width="5.7265625" customWidth="1"/>
    <col min="30" max="30" width="10.453125" customWidth="1"/>
    <col min="31" max="31" width="8.7265625" customWidth="1"/>
    <col min="33" max="33" width="7.7265625" customWidth="1"/>
    <col min="34" max="34" width="9" bestFit="1" customWidth="1"/>
    <col min="35" max="35" width="8.453125" style="3" customWidth="1"/>
    <col min="36" max="36" width="8" style="3" customWidth="1"/>
    <col min="37" max="37" width="8.81640625" style="2"/>
    <col min="38" max="38" width="7" customWidth="1"/>
    <col min="39" max="39" width="9" bestFit="1" customWidth="1"/>
    <col min="40" max="40" width="13.81640625" style="1" customWidth="1"/>
    <col min="41" max="41" width="7.7265625" customWidth="1"/>
    <col min="42" max="43" width="5.7265625" customWidth="1"/>
    <col min="44" max="44" width="10" customWidth="1"/>
    <col min="45" max="45" width="8.7265625" customWidth="1"/>
    <col min="47" max="47" width="7.7265625" customWidth="1"/>
    <col min="48" max="48" width="9" bestFit="1" customWidth="1"/>
    <col min="49" max="49" width="8.453125" style="3" customWidth="1"/>
    <col min="50" max="50" width="7.54296875" style="3" customWidth="1"/>
    <col min="51" max="51" width="8.81640625" style="2"/>
    <col min="52" max="52" width="9.81640625" customWidth="1"/>
    <col min="53" max="53" width="9" bestFit="1" customWidth="1"/>
    <col min="54" max="54" width="13.81640625" style="1" customWidth="1"/>
    <col min="55" max="56" width="5.7265625" customWidth="1"/>
    <col min="57" max="57" width="9.26953125" customWidth="1"/>
    <col min="58" max="58" width="8.7265625" customWidth="1"/>
    <col min="60" max="60" width="7.7265625" customWidth="1"/>
    <col min="61" max="61" width="9" bestFit="1" customWidth="1"/>
    <col min="62" max="62" width="8.453125" style="3" customWidth="1"/>
    <col min="63" max="63" width="7.453125" style="3" customWidth="1"/>
    <col min="64" max="64" width="8.81640625" style="2"/>
    <col min="65" max="65" width="7" customWidth="1"/>
    <col min="66" max="66" width="9" bestFit="1" customWidth="1"/>
    <col min="67" max="67" width="13.81640625" style="1" customWidth="1"/>
    <col min="68" max="68" width="7.7265625" customWidth="1"/>
    <col min="69" max="70" width="5.7265625" customWidth="1"/>
    <col min="71" max="71" width="9.26953125" customWidth="1"/>
    <col min="72" max="72" width="9.7265625" customWidth="1"/>
    <col min="74" max="74" width="7.7265625" customWidth="1"/>
    <col min="75" max="75" width="9" bestFit="1" customWidth="1"/>
    <col min="76" max="76" width="8.453125" style="3" customWidth="1"/>
    <col min="77" max="77" width="8.1796875" style="3" customWidth="1"/>
    <col min="78" max="78" width="8.81640625" style="2"/>
    <col min="79" max="79" width="7" customWidth="1"/>
    <col min="80" max="80" width="9" bestFit="1" customWidth="1"/>
    <col min="81" max="81" width="13.81640625" style="1" customWidth="1"/>
    <col min="82" max="83" width="5.7265625" customWidth="1"/>
    <col min="84" max="84" width="9" bestFit="1" customWidth="1"/>
    <col min="85" max="85" width="8.7265625" customWidth="1"/>
    <col min="87" max="87" width="7.7265625" customWidth="1"/>
    <col min="88" max="88" width="9" bestFit="1" customWidth="1"/>
    <col min="89" max="89" width="8.453125" style="3" customWidth="1"/>
    <col min="90" max="90" width="7.54296875" style="3" customWidth="1"/>
    <col min="91" max="91" width="8.81640625" style="2"/>
    <col min="92" max="92" width="7" customWidth="1"/>
    <col min="93" max="93" width="9" bestFit="1" customWidth="1"/>
    <col min="94" max="94" width="13.81640625" style="1" customWidth="1"/>
    <col min="95" max="95" width="4.81640625" customWidth="1"/>
    <col min="96" max="97" width="5.7265625" customWidth="1"/>
    <col min="98" max="98" width="9.453125" bestFit="1" customWidth="1"/>
    <col min="99" max="99" width="8.7265625" customWidth="1"/>
    <col min="101" max="101" width="7.7265625" customWidth="1"/>
    <col min="102" max="102" width="9" bestFit="1" customWidth="1"/>
    <col min="103" max="103" width="8.453125" style="3" customWidth="1"/>
    <col min="104" max="104" width="7" style="3" customWidth="1"/>
    <col min="105" max="105" width="8.81640625" style="2"/>
    <col min="106" max="106" width="7" customWidth="1"/>
    <col min="107" max="107" width="9" bestFit="1" customWidth="1"/>
    <col min="108" max="108" width="13.81640625" style="1" customWidth="1"/>
    <col min="109" max="109" width="2.81640625" customWidth="1"/>
  </cols>
  <sheetData>
    <row r="1" spans="1:109" s="51" customFormat="1" ht="36" x14ac:dyDescent="0.8">
      <c r="A1" s="164" t="s">
        <v>223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50"/>
      <c r="O1" s="164" t="str">
        <f>A1</f>
        <v>WORKER WAGES -JUNE 26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 t="str">
        <f>A1</f>
        <v>WORKER WAGES -JUNE 26</v>
      </c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50"/>
      <c r="AP1" s="164" t="s">
        <v>68</v>
      </c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 t="str">
        <f>$A$1</f>
        <v>WORKER WAGES -JUNE 26</v>
      </c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50"/>
      <c r="BQ1" s="164" t="str">
        <f>$A$1</f>
        <v>WORKER WAGES -JUNE 26</v>
      </c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 t="str">
        <f>$A$1</f>
        <v>WORKER WAGES -JUNE 26</v>
      </c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50"/>
      <c r="CR1" s="164" t="str">
        <f>$A$1</f>
        <v>WORKER WAGES -JUNE 26</v>
      </c>
      <c r="CS1" s="164"/>
      <c r="CT1" s="164"/>
      <c r="CU1" s="164"/>
      <c r="CV1" s="164"/>
      <c r="CW1" s="164"/>
      <c r="CX1" s="164"/>
      <c r="CY1" s="164"/>
      <c r="CZ1" s="164"/>
      <c r="DA1" s="164"/>
      <c r="DB1" s="164"/>
      <c r="DC1" s="164"/>
      <c r="DD1" s="164"/>
      <c r="DE1" s="50"/>
    </row>
    <row r="2" spans="1:109" s="78" customFormat="1" ht="39.75" customHeight="1" x14ac:dyDescent="0.35">
      <c r="A2" s="78" t="s">
        <v>20</v>
      </c>
      <c r="C2" s="79" t="s">
        <v>62</v>
      </c>
      <c r="D2" s="79"/>
      <c r="E2" s="79"/>
      <c r="F2" s="79"/>
      <c r="G2" s="79" t="s">
        <v>63</v>
      </c>
      <c r="H2" s="80"/>
      <c r="I2" s="80"/>
      <c r="J2" s="80"/>
      <c r="K2" s="80"/>
      <c r="L2" s="80"/>
      <c r="M2" s="80"/>
      <c r="O2" s="78" t="s">
        <v>20</v>
      </c>
      <c r="Q2" s="79" t="s">
        <v>64</v>
      </c>
      <c r="R2" s="79"/>
      <c r="S2" s="79"/>
      <c r="T2" s="79"/>
      <c r="U2" s="79" t="s">
        <v>65</v>
      </c>
      <c r="V2" s="80"/>
      <c r="W2" s="80"/>
      <c r="X2" s="79"/>
      <c r="Y2" s="79"/>
      <c r="Z2" s="79"/>
      <c r="AA2" s="79"/>
      <c r="AB2" s="78" t="s">
        <v>20</v>
      </c>
      <c r="AD2" s="79" t="s">
        <v>66</v>
      </c>
      <c r="AE2" s="79"/>
      <c r="AF2" s="79"/>
      <c r="AG2" s="79"/>
      <c r="AH2" s="79" t="s">
        <v>67</v>
      </c>
      <c r="AI2" s="80"/>
      <c r="AJ2" s="80"/>
      <c r="AK2" s="79"/>
      <c r="AL2" s="79"/>
      <c r="AM2" s="79"/>
      <c r="AN2" s="79"/>
      <c r="AP2" s="78" t="s">
        <v>20</v>
      </c>
      <c r="AR2" s="79" t="s">
        <v>69</v>
      </c>
      <c r="AS2" s="79"/>
      <c r="AT2" s="79"/>
      <c r="AU2" s="79"/>
      <c r="AV2" s="79" t="s">
        <v>70</v>
      </c>
      <c r="AW2" s="80"/>
      <c r="AX2" s="80"/>
      <c r="AY2" s="79"/>
      <c r="AZ2" s="79"/>
      <c r="BA2" s="180"/>
      <c r="BB2" s="180"/>
      <c r="BC2" s="78" t="s">
        <v>20</v>
      </c>
      <c r="BE2" s="79" t="s">
        <v>71</v>
      </c>
      <c r="BF2" s="79"/>
      <c r="BG2" s="79"/>
      <c r="BH2" s="79"/>
      <c r="BI2" s="79" t="s">
        <v>72</v>
      </c>
      <c r="BJ2" s="80"/>
      <c r="BK2" s="80"/>
      <c r="BL2" s="79"/>
      <c r="BM2" s="79"/>
      <c r="BN2" s="79"/>
      <c r="BO2" s="79"/>
      <c r="BQ2" s="78" t="s">
        <v>20</v>
      </c>
      <c r="BS2" s="79" t="s">
        <v>73</v>
      </c>
      <c r="BT2" s="79"/>
      <c r="BU2" s="79"/>
      <c r="BV2" s="79"/>
      <c r="BW2" s="79" t="s">
        <v>74</v>
      </c>
      <c r="BX2" s="80"/>
      <c r="BY2" s="80"/>
      <c r="BZ2" s="79"/>
      <c r="CA2" s="79"/>
      <c r="CB2" s="79"/>
      <c r="CC2" s="79"/>
      <c r="CD2" s="78" t="s">
        <v>20</v>
      </c>
      <c r="CF2" s="81" t="s">
        <v>75</v>
      </c>
      <c r="CG2" s="81"/>
      <c r="CH2" s="81"/>
      <c r="CI2" s="81"/>
      <c r="CJ2" s="79" t="s">
        <v>76</v>
      </c>
      <c r="CK2" s="80"/>
      <c r="CL2" s="80"/>
      <c r="CM2" s="79"/>
      <c r="CN2" s="180" t="s">
        <v>226</v>
      </c>
      <c r="CO2" s="180"/>
      <c r="CP2" s="180"/>
      <c r="CR2" s="78" t="s">
        <v>20</v>
      </c>
      <c r="CT2" s="79" t="s">
        <v>107</v>
      </c>
      <c r="CU2" s="79"/>
      <c r="CV2" s="79"/>
      <c r="CW2" s="79"/>
      <c r="CX2" s="79" t="s">
        <v>108</v>
      </c>
      <c r="CY2" s="80"/>
      <c r="CZ2" s="80"/>
      <c r="DA2" s="79"/>
      <c r="DB2" s="79"/>
      <c r="DC2" s="79"/>
      <c r="DD2" s="79"/>
    </row>
    <row r="3" spans="1:109" ht="3" customHeight="1" x14ac:dyDescent="0.35">
      <c r="CT3" t="s">
        <v>109</v>
      </c>
    </row>
    <row r="4" spans="1:109" x14ac:dyDescent="0.35">
      <c r="H4" s="6"/>
      <c r="I4" s="6"/>
      <c r="V4" s="6"/>
      <c r="W4" s="6"/>
      <c r="AI4" s="6"/>
      <c r="AJ4" s="6"/>
      <c r="AW4" s="6"/>
      <c r="AX4" s="6"/>
      <c r="BJ4" s="6"/>
      <c r="BK4" s="6"/>
      <c r="BX4" s="6"/>
      <c r="BY4" s="6"/>
      <c r="CK4" s="6"/>
      <c r="CL4" s="6"/>
      <c r="CY4" s="6"/>
      <c r="CZ4" s="6"/>
    </row>
    <row r="5" spans="1:109" s="74" customFormat="1" ht="20.149999999999999" customHeight="1" x14ac:dyDescent="0.35">
      <c r="A5" s="69" t="s">
        <v>49</v>
      </c>
      <c r="B5" s="69"/>
      <c r="C5" s="70">
        <f>SUM(C47)</f>
        <v>25</v>
      </c>
      <c r="D5" s="69" t="s">
        <v>22</v>
      </c>
      <c r="E5" s="69"/>
      <c r="F5" s="69" t="s">
        <v>23</v>
      </c>
      <c r="G5" s="70">
        <f>SUM(G47)</f>
        <v>0</v>
      </c>
      <c r="H5" s="71" t="s">
        <v>12</v>
      </c>
      <c r="I5" s="71"/>
      <c r="J5" s="72"/>
      <c r="K5" s="69" t="s">
        <v>37</v>
      </c>
      <c r="L5" s="70">
        <f>SUM(J47)</f>
        <v>1</v>
      </c>
      <c r="M5" s="73" t="s">
        <v>22</v>
      </c>
      <c r="O5" s="69" t="s">
        <v>49</v>
      </c>
      <c r="P5" s="69"/>
      <c r="Q5" s="70">
        <f>SUM(Q47)</f>
        <v>25</v>
      </c>
      <c r="R5" s="69" t="s">
        <v>22</v>
      </c>
      <c r="S5" s="69"/>
      <c r="T5" s="69" t="s">
        <v>23</v>
      </c>
      <c r="U5" s="70">
        <f>SUM(U47)</f>
        <v>10.916666666666668</v>
      </c>
      <c r="V5" s="71" t="s">
        <v>12</v>
      </c>
      <c r="W5" s="71"/>
      <c r="X5" s="72"/>
      <c r="Y5" s="69" t="s">
        <v>37</v>
      </c>
      <c r="Z5" s="70">
        <f>SUM(X47)</f>
        <v>1</v>
      </c>
      <c r="AA5" s="73" t="s">
        <v>22</v>
      </c>
      <c r="AB5" s="69" t="s">
        <v>49</v>
      </c>
      <c r="AC5" s="69"/>
      <c r="AD5" s="70">
        <f>SUM(AD47)</f>
        <v>23</v>
      </c>
      <c r="AE5" s="69" t="s">
        <v>22</v>
      </c>
      <c r="AF5" s="69"/>
      <c r="AG5" s="69" t="s">
        <v>23</v>
      </c>
      <c r="AH5" s="70">
        <f>SUM(AH47)</f>
        <v>3.15</v>
      </c>
      <c r="AI5" s="71" t="s">
        <v>12</v>
      </c>
      <c r="AJ5" s="71"/>
      <c r="AK5" s="72"/>
      <c r="AL5" s="69" t="s">
        <v>37</v>
      </c>
      <c r="AM5" s="70">
        <f>SUM(AK47)</f>
        <v>1</v>
      </c>
      <c r="AN5" s="73" t="s">
        <v>22</v>
      </c>
      <c r="AP5" s="69" t="s">
        <v>49</v>
      </c>
      <c r="AQ5" s="69"/>
      <c r="AR5" s="70">
        <f>SUM(AR47)</f>
        <v>25</v>
      </c>
      <c r="AS5" s="69" t="s">
        <v>22</v>
      </c>
      <c r="AT5" s="69"/>
      <c r="AU5" s="69" t="s">
        <v>23</v>
      </c>
      <c r="AV5" s="70">
        <f>SUM(AV47)</f>
        <v>0</v>
      </c>
      <c r="AW5" s="71" t="s">
        <v>12</v>
      </c>
      <c r="AX5" s="71"/>
      <c r="AY5" s="72"/>
      <c r="AZ5" s="69" t="s">
        <v>37</v>
      </c>
      <c r="BA5" s="70">
        <f>SUM(AY47)</f>
        <v>1</v>
      </c>
      <c r="BB5" s="73" t="s">
        <v>22</v>
      </c>
      <c r="BC5" s="69" t="s">
        <v>49</v>
      </c>
      <c r="BD5" s="69"/>
      <c r="BE5" s="70">
        <f>SUM(BE47)</f>
        <v>25</v>
      </c>
      <c r="BF5" s="69" t="s">
        <v>22</v>
      </c>
      <c r="BG5" s="69"/>
      <c r="BH5" s="69" t="s">
        <v>23</v>
      </c>
      <c r="BI5" s="70">
        <f>SUM(BI47)</f>
        <v>0</v>
      </c>
      <c r="BJ5" s="71" t="s">
        <v>12</v>
      </c>
      <c r="BK5" s="71"/>
      <c r="BL5" s="72"/>
      <c r="BM5" s="69" t="s">
        <v>37</v>
      </c>
      <c r="BN5" s="70">
        <f>SUM(BL47)</f>
        <v>1</v>
      </c>
      <c r="BO5" s="73" t="s">
        <v>22</v>
      </c>
      <c r="BQ5" s="69" t="s">
        <v>49</v>
      </c>
      <c r="BR5" s="69"/>
      <c r="BS5" s="70">
        <f>SUM(BS47)</f>
        <v>25</v>
      </c>
      <c r="BT5" s="69" t="s">
        <v>22</v>
      </c>
      <c r="BU5" s="69"/>
      <c r="BV5" s="69" t="s">
        <v>23</v>
      </c>
      <c r="BW5" s="70">
        <f>SUM(BW47)</f>
        <v>7.0000000000000027</v>
      </c>
      <c r="BX5" s="71" t="s">
        <v>12</v>
      </c>
      <c r="BY5" s="71"/>
      <c r="BZ5" s="72"/>
      <c r="CA5" s="69" t="s">
        <v>37</v>
      </c>
      <c r="CB5" s="70">
        <f>SUM(BZ47)</f>
        <v>1</v>
      </c>
      <c r="CC5" s="73" t="s">
        <v>22</v>
      </c>
      <c r="CD5" s="69" t="s">
        <v>49</v>
      </c>
      <c r="CE5" s="69"/>
      <c r="CF5" s="70">
        <f>SUM(CF47)</f>
        <v>0</v>
      </c>
      <c r="CG5" s="69" t="s">
        <v>22</v>
      </c>
      <c r="CH5" s="69"/>
      <c r="CI5" s="69" t="s">
        <v>23</v>
      </c>
      <c r="CJ5" s="70">
        <f>SUM(CJ47)</f>
        <v>0</v>
      </c>
      <c r="CK5" s="71" t="s">
        <v>12</v>
      </c>
      <c r="CL5" s="71"/>
      <c r="CM5" s="72"/>
      <c r="CN5" s="69" t="s">
        <v>37</v>
      </c>
      <c r="CO5" s="70">
        <f>SUM(CM47)</f>
        <v>0</v>
      </c>
      <c r="CP5" s="73" t="s">
        <v>22</v>
      </c>
      <c r="CR5" s="69" t="s">
        <v>49</v>
      </c>
      <c r="CS5" s="69"/>
      <c r="CT5" s="70">
        <f>SUM(CT47)</f>
        <v>25</v>
      </c>
      <c r="CU5" s="69" t="s">
        <v>22</v>
      </c>
      <c r="CV5" s="69"/>
      <c r="CW5" s="69" t="s">
        <v>23</v>
      </c>
      <c r="CX5" s="70">
        <f>SUM(CX47)</f>
        <v>5.7</v>
      </c>
      <c r="CY5" s="71" t="s">
        <v>12</v>
      </c>
      <c r="CZ5" s="71"/>
      <c r="DA5" s="72"/>
      <c r="DB5" s="69" t="s">
        <v>37</v>
      </c>
      <c r="DC5" s="70">
        <f>SUM(DA47)</f>
        <v>1</v>
      </c>
      <c r="DD5" s="73" t="s">
        <v>22</v>
      </c>
    </row>
    <row r="6" spans="1:109" s="74" customFormat="1" ht="20.149999999999999" customHeight="1" x14ac:dyDescent="0.35">
      <c r="A6" s="69" t="s">
        <v>21</v>
      </c>
      <c r="B6" s="69"/>
      <c r="C6" s="75">
        <f>SUM(E47)</f>
        <v>73.483333333333348</v>
      </c>
      <c r="D6" s="69" t="s">
        <v>12</v>
      </c>
      <c r="E6" s="69"/>
      <c r="F6" s="69"/>
      <c r="G6" s="69"/>
      <c r="H6" s="76"/>
      <c r="I6" s="76"/>
      <c r="J6" s="72"/>
      <c r="K6" s="69" t="s">
        <v>36</v>
      </c>
      <c r="L6" s="77">
        <f>SUM(L47)</f>
        <v>7.7333333333333325</v>
      </c>
      <c r="M6" s="73" t="s">
        <v>12</v>
      </c>
      <c r="O6" s="69" t="s">
        <v>21</v>
      </c>
      <c r="P6" s="69"/>
      <c r="Q6" s="75">
        <f>SUM(S47)</f>
        <v>85.983333333333334</v>
      </c>
      <c r="R6" s="69" t="s">
        <v>12</v>
      </c>
      <c r="S6" s="69"/>
      <c r="T6" s="69"/>
      <c r="U6" s="69"/>
      <c r="V6" s="76"/>
      <c r="W6" s="76"/>
      <c r="X6" s="72"/>
      <c r="Y6" s="69" t="s">
        <v>36</v>
      </c>
      <c r="Z6" s="77">
        <f>SUM(Z47)</f>
        <v>8.8999999999999986</v>
      </c>
      <c r="AA6" s="73" t="s">
        <v>12</v>
      </c>
      <c r="AB6" s="69" t="s">
        <v>21</v>
      </c>
      <c r="AC6" s="69"/>
      <c r="AD6" s="75">
        <f>SUM(AF47)</f>
        <v>77.36666666666666</v>
      </c>
      <c r="AE6" s="69" t="s">
        <v>12</v>
      </c>
      <c r="AF6" s="69"/>
      <c r="AG6" s="69"/>
      <c r="AH6" s="69"/>
      <c r="AI6" s="76"/>
      <c r="AJ6" s="76"/>
      <c r="AK6" s="72"/>
      <c r="AL6" s="69" t="s">
        <v>36</v>
      </c>
      <c r="AM6" s="77">
        <f>SUM(AM47)</f>
        <v>8.8999999999999986</v>
      </c>
      <c r="AN6" s="73" t="s">
        <v>12</v>
      </c>
      <c r="AP6" s="69" t="s">
        <v>21</v>
      </c>
      <c r="AQ6" s="69"/>
      <c r="AR6" s="75">
        <f>SUM(AT47)</f>
        <v>73.483333333333348</v>
      </c>
      <c r="AS6" s="69" t="s">
        <v>12</v>
      </c>
      <c r="AT6" s="69"/>
      <c r="AU6" s="69"/>
      <c r="AV6" s="69"/>
      <c r="AW6" s="76"/>
      <c r="AX6" s="76"/>
      <c r="AY6" s="72"/>
      <c r="AZ6" s="69" t="s">
        <v>36</v>
      </c>
      <c r="BA6" s="77">
        <f>SUM(BA47)</f>
        <v>3.3333333333333321</v>
      </c>
      <c r="BB6" s="73" t="s">
        <v>12</v>
      </c>
      <c r="BC6" s="69" t="s">
        <v>21</v>
      </c>
      <c r="BD6" s="69"/>
      <c r="BE6" s="75">
        <f>SUM(BG47)</f>
        <v>73.483333333333348</v>
      </c>
      <c r="BF6" s="69" t="s">
        <v>12</v>
      </c>
      <c r="BG6" s="69"/>
      <c r="BH6" s="69"/>
      <c r="BI6" s="69"/>
      <c r="BJ6" s="76"/>
      <c r="BK6" s="76"/>
      <c r="BL6" s="72"/>
      <c r="BM6" s="69" t="s">
        <v>36</v>
      </c>
      <c r="BN6" s="77">
        <f>SUM(BN47)</f>
        <v>9.4166666666666661</v>
      </c>
      <c r="BO6" s="73" t="s">
        <v>12</v>
      </c>
      <c r="BQ6" s="69" t="s">
        <v>21</v>
      </c>
      <c r="BR6" s="69"/>
      <c r="BS6" s="75">
        <f>SUM(BU47)</f>
        <v>73.483333333333348</v>
      </c>
      <c r="BT6" s="69" t="s">
        <v>12</v>
      </c>
      <c r="BU6" s="69"/>
      <c r="BV6" s="69"/>
      <c r="BW6" s="69"/>
      <c r="BX6" s="76"/>
      <c r="BY6" s="76"/>
      <c r="BZ6" s="72"/>
      <c r="CA6" s="69" t="s">
        <v>36</v>
      </c>
      <c r="CB6" s="77">
        <f>SUM(CB47)</f>
        <v>7.7333333333333325</v>
      </c>
      <c r="CC6" s="73" t="s">
        <v>12</v>
      </c>
      <c r="CD6" s="69" t="s">
        <v>21</v>
      </c>
      <c r="CE6" s="69"/>
      <c r="CF6" s="75">
        <f>SUM(CH47)</f>
        <v>0</v>
      </c>
      <c r="CG6" s="69" t="s">
        <v>12</v>
      </c>
      <c r="CH6" s="69"/>
      <c r="CI6" s="69"/>
      <c r="CJ6" s="69"/>
      <c r="CK6" s="76"/>
      <c r="CL6" s="76"/>
      <c r="CM6" s="72"/>
      <c r="CN6" s="69" t="s">
        <v>36</v>
      </c>
      <c r="CO6" s="77">
        <f>SUM(CO47)</f>
        <v>0</v>
      </c>
      <c r="CP6" s="73" t="s">
        <v>12</v>
      </c>
      <c r="CR6" s="69" t="s">
        <v>21</v>
      </c>
      <c r="CS6" s="69"/>
      <c r="CT6" s="75">
        <f>SUM(CV47)</f>
        <v>85.983333333333334</v>
      </c>
      <c r="CU6" s="69" t="s">
        <v>12</v>
      </c>
      <c r="CV6" s="69"/>
      <c r="CW6" s="69"/>
      <c r="CX6" s="69"/>
      <c r="CY6" s="76"/>
      <c r="CZ6" s="76"/>
      <c r="DA6" s="72"/>
      <c r="DB6" s="69" t="s">
        <v>36</v>
      </c>
      <c r="DC6" s="77">
        <f>SUM(DC47)</f>
        <v>8.8999999999999986</v>
      </c>
      <c r="DD6" s="73" t="s">
        <v>12</v>
      </c>
    </row>
    <row r="7" spans="1:109" s="12" customFormat="1" x14ac:dyDescent="0.35">
      <c r="A7" s="21"/>
      <c r="B7" s="21"/>
      <c r="C7" s="21"/>
      <c r="D7" s="21"/>
      <c r="E7" s="21"/>
      <c r="F7" s="39" t="s">
        <v>59</v>
      </c>
      <c r="G7" s="21"/>
      <c r="H7" s="22"/>
      <c r="I7" s="33" t="s">
        <v>35</v>
      </c>
      <c r="J7" s="38"/>
      <c r="K7" s="21"/>
      <c r="L7" s="39" t="s">
        <v>60</v>
      </c>
      <c r="M7" s="38"/>
      <c r="O7" s="21"/>
      <c r="P7" s="21"/>
      <c r="Q7" s="21"/>
      <c r="R7" s="21"/>
      <c r="S7" s="21"/>
      <c r="T7" s="39" t="s">
        <v>59</v>
      </c>
      <c r="U7" s="21"/>
      <c r="V7" s="22"/>
      <c r="W7" s="33" t="s">
        <v>35</v>
      </c>
      <c r="X7" s="38"/>
      <c r="Y7" s="21"/>
      <c r="Z7" s="39" t="s">
        <v>60</v>
      </c>
      <c r="AA7" s="38"/>
      <c r="AB7" s="21"/>
      <c r="AC7" s="21"/>
      <c r="AD7" s="21"/>
      <c r="AE7" s="21"/>
      <c r="AF7" s="21"/>
      <c r="AG7" s="39" t="s">
        <v>59</v>
      </c>
      <c r="AH7" s="21"/>
      <c r="AI7" s="22"/>
      <c r="AJ7" s="33" t="s">
        <v>35</v>
      </c>
      <c r="AK7" s="38"/>
      <c r="AL7" s="21"/>
      <c r="AM7" s="39" t="s">
        <v>60</v>
      </c>
      <c r="AN7" s="38"/>
      <c r="AP7" s="21"/>
      <c r="AQ7" s="21"/>
      <c r="AR7" s="21"/>
      <c r="AS7" s="21"/>
      <c r="AT7" s="21"/>
      <c r="AU7" s="39" t="s">
        <v>59</v>
      </c>
      <c r="AV7" s="21"/>
      <c r="AW7" s="22"/>
      <c r="AX7" s="33" t="s">
        <v>35</v>
      </c>
      <c r="AY7" s="38"/>
      <c r="AZ7" s="21"/>
      <c r="BA7" s="39" t="s">
        <v>60</v>
      </c>
      <c r="BB7" s="38"/>
      <c r="BC7" s="21"/>
      <c r="BD7" s="21"/>
      <c r="BE7" s="21"/>
      <c r="BF7" s="21"/>
      <c r="BG7" s="21"/>
      <c r="BH7" s="39" t="s">
        <v>59</v>
      </c>
      <c r="BI7" s="21"/>
      <c r="BJ7" s="22"/>
      <c r="BK7" s="33" t="s">
        <v>35</v>
      </c>
      <c r="BL7" s="38"/>
      <c r="BM7" s="21"/>
      <c r="BN7" s="39" t="s">
        <v>60</v>
      </c>
      <c r="BO7" s="38"/>
      <c r="BQ7" s="21"/>
      <c r="BR7" s="21"/>
      <c r="BS7" s="21"/>
      <c r="BT7" s="21"/>
      <c r="BU7" s="21"/>
      <c r="BV7" s="39" t="s">
        <v>59</v>
      </c>
      <c r="BW7" s="21"/>
      <c r="BX7" s="22"/>
      <c r="BY7" s="33" t="s">
        <v>35</v>
      </c>
      <c r="BZ7" s="38"/>
      <c r="CA7" s="21"/>
      <c r="CB7" s="39" t="s">
        <v>60</v>
      </c>
      <c r="CC7" s="38"/>
      <c r="CD7" s="21"/>
      <c r="CE7" s="21"/>
      <c r="CF7" s="21"/>
      <c r="CG7" s="21"/>
      <c r="CH7" s="21"/>
      <c r="CI7" s="39" t="s">
        <v>59</v>
      </c>
      <c r="CJ7" s="21"/>
      <c r="CK7" s="22"/>
      <c r="CL7" s="33" t="s">
        <v>35</v>
      </c>
      <c r="CM7" s="38"/>
      <c r="CN7" s="21"/>
      <c r="CO7" s="39" t="s">
        <v>60</v>
      </c>
      <c r="CP7" s="38"/>
      <c r="CR7" s="21"/>
      <c r="CS7" s="21"/>
      <c r="CT7" s="21"/>
      <c r="CU7" s="21"/>
      <c r="CV7" s="21"/>
      <c r="CW7" s="39" t="s">
        <v>59</v>
      </c>
      <c r="CX7" s="21"/>
      <c r="CY7" s="22"/>
      <c r="CZ7" s="33" t="s">
        <v>35</v>
      </c>
      <c r="DA7" s="38"/>
      <c r="DB7" s="21"/>
      <c r="DC7" s="39" t="s">
        <v>60</v>
      </c>
      <c r="DD7" s="38"/>
    </row>
    <row r="8" spans="1:109" s="9" customFormat="1" ht="26" x14ac:dyDescent="0.35">
      <c r="A8" s="165" t="s">
        <v>0</v>
      </c>
      <c r="B8" s="166"/>
      <c r="C8" s="42" t="s">
        <v>7</v>
      </c>
      <c r="D8" s="42" t="s">
        <v>8</v>
      </c>
      <c r="E8" s="42" t="s">
        <v>7</v>
      </c>
      <c r="F8" s="42" t="s">
        <v>8</v>
      </c>
      <c r="G8" s="83" t="s">
        <v>9</v>
      </c>
      <c r="H8" s="23" t="s">
        <v>10</v>
      </c>
      <c r="I8" s="34" t="s">
        <v>34</v>
      </c>
      <c r="J8" s="83" t="s">
        <v>11</v>
      </c>
      <c r="K8" s="42" t="s">
        <v>13</v>
      </c>
      <c r="L8" s="83" t="s">
        <v>14</v>
      </c>
      <c r="M8" s="42" t="s">
        <v>15</v>
      </c>
      <c r="O8" s="165" t="s">
        <v>0</v>
      </c>
      <c r="P8" s="166"/>
      <c r="Q8" s="42" t="s">
        <v>7</v>
      </c>
      <c r="R8" s="42" t="s">
        <v>8</v>
      </c>
      <c r="S8" s="42" t="s">
        <v>7</v>
      </c>
      <c r="T8" s="42" t="s">
        <v>8</v>
      </c>
      <c r="U8" s="83" t="s">
        <v>9</v>
      </c>
      <c r="V8" s="23" t="s">
        <v>10</v>
      </c>
      <c r="W8" s="34" t="s">
        <v>34</v>
      </c>
      <c r="X8" s="83" t="s">
        <v>11</v>
      </c>
      <c r="Y8" s="42" t="s">
        <v>13</v>
      </c>
      <c r="Z8" s="83" t="s">
        <v>14</v>
      </c>
      <c r="AA8" s="42" t="s">
        <v>15</v>
      </c>
      <c r="AB8" s="165" t="s">
        <v>0</v>
      </c>
      <c r="AC8" s="166"/>
      <c r="AD8" s="42" t="s">
        <v>7</v>
      </c>
      <c r="AE8" s="42" t="s">
        <v>8</v>
      </c>
      <c r="AF8" s="42" t="s">
        <v>7</v>
      </c>
      <c r="AG8" s="42" t="s">
        <v>8</v>
      </c>
      <c r="AH8" s="83" t="s">
        <v>9</v>
      </c>
      <c r="AI8" s="23" t="s">
        <v>10</v>
      </c>
      <c r="AJ8" s="34" t="s">
        <v>34</v>
      </c>
      <c r="AK8" s="83" t="s">
        <v>11</v>
      </c>
      <c r="AL8" s="42" t="s">
        <v>13</v>
      </c>
      <c r="AM8" s="83" t="s">
        <v>14</v>
      </c>
      <c r="AN8" s="42" t="s">
        <v>15</v>
      </c>
      <c r="AP8" s="165" t="s">
        <v>0</v>
      </c>
      <c r="AQ8" s="166"/>
      <c r="AR8" s="42" t="s">
        <v>7</v>
      </c>
      <c r="AS8" s="42" t="s">
        <v>8</v>
      </c>
      <c r="AT8" s="42" t="s">
        <v>7</v>
      </c>
      <c r="AU8" s="42" t="s">
        <v>8</v>
      </c>
      <c r="AV8" s="83" t="s">
        <v>9</v>
      </c>
      <c r="AW8" s="23" t="s">
        <v>10</v>
      </c>
      <c r="AX8" s="34" t="s">
        <v>34</v>
      </c>
      <c r="AY8" s="83" t="s">
        <v>11</v>
      </c>
      <c r="AZ8" s="42" t="s">
        <v>13</v>
      </c>
      <c r="BA8" s="83" t="s">
        <v>14</v>
      </c>
      <c r="BB8" s="42" t="s">
        <v>15</v>
      </c>
      <c r="BC8" s="165" t="s">
        <v>0</v>
      </c>
      <c r="BD8" s="166"/>
      <c r="BE8" s="42" t="s">
        <v>7</v>
      </c>
      <c r="BF8" s="42" t="s">
        <v>8</v>
      </c>
      <c r="BG8" s="42" t="s">
        <v>7</v>
      </c>
      <c r="BH8" s="42" t="s">
        <v>8</v>
      </c>
      <c r="BI8" s="83" t="s">
        <v>9</v>
      </c>
      <c r="BJ8" s="23" t="s">
        <v>10</v>
      </c>
      <c r="BK8" s="34" t="s">
        <v>34</v>
      </c>
      <c r="BL8" s="83" t="s">
        <v>11</v>
      </c>
      <c r="BM8" s="42" t="s">
        <v>13</v>
      </c>
      <c r="BN8" s="83" t="s">
        <v>14</v>
      </c>
      <c r="BO8" s="42" t="s">
        <v>15</v>
      </c>
      <c r="BQ8" s="165" t="s">
        <v>0</v>
      </c>
      <c r="BR8" s="166"/>
      <c r="BS8" s="42" t="s">
        <v>7</v>
      </c>
      <c r="BT8" s="42" t="s">
        <v>8</v>
      </c>
      <c r="BU8" s="42" t="s">
        <v>7</v>
      </c>
      <c r="BV8" s="42" t="s">
        <v>8</v>
      </c>
      <c r="BW8" s="83" t="s">
        <v>9</v>
      </c>
      <c r="BX8" s="23" t="s">
        <v>10</v>
      </c>
      <c r="BY8" s="34" t="s">
        <v>34</v>
      </c>
      <c r="BZ8" s="83" t="s">
        <v>11</v>
      </c>
      <c r="CA8" s="42" t="s">
        <v>13</v>
      </c>
      <c r="CB8" s="83" t="s">
        <v>14</v>
      </c>
      <c r="CC8" s="42" t="s">
        <v>15</v>
      </c>
      <c r="CD8" s="165" t="s">
        <v>0</v>
      </c>
      <c r="CE8" s="166"/>
      <c r="CF8" s="42" t="s">
        <v>7</v>
      </c>
      <c r="CG8" s="42" t="s">
        <v>8</v>
      </c>
      <c r="CH8" s="42" t="s">
        <v>7</v>
      </c>
      <c r="CI8" s="42" t="s">
        <v>8</v>
      </c>
      <c r="CJ8" s="83" t="s">
        <v>9</v>
      </c>
      <c r="CK8" s="23" t="s">
        <v>10</v>
      </c>
      <c r="CL8" s="34" t="s">
        <v>34</v>
      </c>
      <c r="CM8" s="83" t="s">
        <v>11</v>
      </c>
      <c r="CN8" s="42" t="s">
        <v>13</v>
      </c>
      <c r="CO8" s="83" t="s">
        <v>14</v>
      </c>
      <c r="CP8" s="42" t="s">
        <v>15</v>
      </c>
      <c r="CR8" s="165" t="s">
        <v>0</v>
      </c>
      <c r="CS8" s="166"/>
      <c r="CT8" s="42" t="s">
        <v>7</v>
      </c>
      <c r="CU8" s="42" t="s">
        <v>8</v>
      </c>
      <c r="CV8" s="42" t="s">
        <v>7</v>
      </c>
      <c r="CW8" s="42" t="s">
        <v>8</v>
      </c>
      <c r="CX8" s="83" t="s">
        <v>9</v>
      </c>
      <c r="CY8" s="23" t="s">
        <v>10</v>
      </c>
      <c r="CZ8" s="34" t="s">
        <v>34</v>
      </c>
      <c r="DA8" s="83" t="s">
        <v>11</v>
      </c>
      <c r="DB8" s="42" t="s">
        <v>13</v>
      </c>
      <c r="DC8" s="83" t="s">
        <v>14</v>
      </c>
      <c r="DD8" s="42" t="s">
        <v>15</v>
      </c>
    </row>
    <row r="9" spans="1:109" ht="17.149999999999999" customHeight="1" x14ac:dyDescent="0.35">
      <c r="A9" s="88" t="s">
        <v>216</v>
      </c>
      <c r="B9" s="88">
        <v>1</v>
      </c>
      <c r="C9" s="89">
        <v>5.0999999999999996</v>
      </c>
      <c r="D9" s="138"/>
      <c r="E9" s="138">
        <v>0</v>
      </c>
      <c r="F9" s="89">
        <v>13.94</v>
      </c>
      <c r="G9" s="89">
        <f t="shared" ref="G9" si="0">SUM(D9-C9)+(F9-E9)</f>
        <v>8.84</v>
      </c>
      <c r="H9" s="90"/>
      <c r="I9" s="89">
        <v>1.4</v>
      </c>
      <c r="J9" s="91">
        <f t="shared" ref="J9" si="1">SUM((G9-H9)-I9)</f>
        <v>7.4399999999999995</v>
      </c>
      <c r="K9" s="88">
        <v>7</v>
      </c>
      <c r="L9" s="88">
        <f t="shared" ref="L9" si="2">SUM(J9-K9)*100</f>
        <v>43.99999999999995</v>
      </c>
      <c r="M9" s="134"/>
      <c r="O9" s="88" t="s">
        <v>216</v>
      </c>
      <c r="P9" s="88">
        <v>1</v>
      </c>
      <c r="Q9" s="89">
        <v>4.4000000000000004</v>
      </c>
      <c r="R9" s="138"/>
      <c r="S9" s="138">
        <v>0</v>
      </c>
      <c r="T9" s="89">
        <v>13.94</v>
      </c>
      <c r="U9" s="89">
        <f t="shared" ref="U9:U14" si="3">SUM(R9-Q9)+(T9-S9)</f>
        <v>9.5399999999999991</v>
      </c>
      <c r="V9" s="90"/>
      <c r="W9" s="89">
        <v>1</v>
      </c>
      <c r="X9" s="91">
        <f t="shared" ref="X9:X13" si="4">SUM((U9-V9)-W9)</f>
        <v>8.5399999999999991</v>
      </c>
      <c r="Y9" s="88">
        <v>8</v>
      </c>
      <c r="Z9" s="88">
        <f t="shared" ref="Z9:Z13" si="5">SUM(X9-Y9)*100</f>
        <v>53.999999999999915</v>
      </c>
      <c r="AA9" s="134"/>
      <c r="AB9" s="88" t="s">
        <v>216</v>
      </c>
      <c r="AC9" s="88">
        <v>1</v>
      </c>
      <c r="AD9" s="89">
        <v>4.4000000000000004</v>
      </c>
      <c r="AE9" s="138"/>
      <c r="AF9" s="138">
        <v>0</v>
      </c>
      <c r="AG9" s="89">
        <v>13.94</v>
      </c>
      <c r="AH9" s="89">
        <f t="shared" ref="AH9:AH38" si="6">SUM(AE9-AD9)+(AG9-AF9)</f>
        <v>9.5399999999999991</v>
      </c>
      <c r="AI9" s="90"/>
      <c r="AJ9" s="89">
        <v>1</v>
      </c>
      <c r="AK9" s="91">
        <f t="shared" ref="AK9:AK38" si="7">SUM((AH9-AI9)-AJ9)</f>
        <v>8.5399999999999991</v>
      </c>
      <c r="AL9" s="88">
        <v>8</v>
      </c>
      <c r="AM9" s="88">
        <f t="shared" ref="AM9:AM38" si="8">SUM(AK9-AL9)*100</f>
        <v>53.999999999999915</v>
      </c>
      <c r="AN9" s="134"/>
      <c r="AP9" s="88" t="s">
        <v>216</v>
      </c>
      <c r="AQ9" s="88">
        <v>1</v>
      </c>
      <c r="AR9" s="89">
        <v>11.15</v>
      </c>
      <c r="AS9" s="138"/>
      <c r="AT9" s="138">
        <v>0</v>
      </c>
      <c r="AU9" s="89">
        <v>14.35</v>
      </c>
      <c r="AV9" s="89">
        <f t="shared" ref="AV9:AV14" si="9">SUM(AS9-AR9)+(AU9-AT9)</f>
        <v>3.1999999999999993</v>
      </c>
      <c r="AW9" s="90"/>
      <c r="AX9" s="89"/>
      <c r="AY9" s="91">
        <f t="shared" ref="AY9:AY14" si="10">SUM((AV9-AW9)-AX9)</f>
        <v>3.1999999999999993</v>
      </c>
      <c r="AZ9" s="88">
        <v>3</v>
      </c>
      <c r="BA9" s="88">
        <f t="shared" ref="BA9:BA14" si="11">SUM(AY9-AZ9)*100</f>
        <v>19.999999999999929</v>
      </c>
      <c r="BB9" s="134"/>
      <c r="BC9" s="88" t="s">
        <v>216</v>
      </c>
      <c r="BD9" s="88">
        <v>1</v>
      </c>
      <c r="BE9" s="89">
        <v>5.0999999999999996</v>
      </c>
      <c r="BF9" s="138"/>
      <c r="BG9" s="138">
        <v>0</v>
      </c>
      <c r="BH9" s="89">
        <v>14.35</v>
      </c>
      <c r="BI9" s="89">
        <f t="shared" ref="BI9" si="12">SUM(BF9-BE9)+(BH9-BG9)</f>
        <v>9.25</v>
      </c>
      <c r="BJ9" s="90"/>
      <c r="BK9" s="89"/>
      <c r="BL9" s="91">
        <f t="shared" ref="BL9" si="13">SUM((BI9-BJ9)-BK9)</f>
        <v>9.25</v>
      </c>
      <c r="BM9" s="88">
        <v>9</v>
      </c>
      <c r="BN9" s="88">
        <f t="shared" ref="BN9" si="14">SUM(BL9-BM9)*100</f>
        <v>25</v>
      </c>
      <c r="BO9" s="134"/>
      <c r="BQ9" s="88" t="s">
        <v>216</v>
      </c>
      <c r="BR9" s="88">
        <v>1</v>
      </c>
      <c r="BS9" s="89">
        <v>5.0999999999999996</v>
      </c>
      <c r="BT9" s="138"/>
      <c r="BU9" s="138">
        <v>0</v>
      </c>
      <c r="BV9" s="89">
        <v>13.94</v>
      </c>
      <c r="BW9" s="89">
        <f t="shared" ref="BW9:BW14" si="15">SUM(BT9-BS9)+(BV9-BU9)</f>
        <v>8.84</v>
      </c>
      <c r="BX9" s="90"/>
      <c r="BY9" s="89">
        <v>1.4</v>
      </c>
      <c r="BZ9" s="91">
        <f t="shared" ref="BZ9:BZ14" si="16">SUM((BW9-BX9)-BY9)</f>
        <v>7.4399999999999995</v>
      </c>
      <c r="CA9" s="88">
        <v>7</v>
      </c>
      <c r="CB9" s="88">
        <f t="shared" ref="CB9:CB14" si="17">SUM(BZ9-CA9)*100</f>
        <v>43.99999999999995</v>
      </c>
      <c r="CC9" s="134"/>
      <c r="CD9" s="88" t="s">
        <v>216</v>
      </c>
      <c r="CE9" s="88">
        <v>1</v>
      </c>
      <c r="CF9" s="89"/>
      <c r="CG9" s="138"/>
      <c r="CH9" s="138"/>
      <c r="CI9" s="89"/>
      <c r="CJ9" s="89"/>
      <c r="CK9" s="90"/>
      <c r="CL9" s="89"/>
      <c r="CM9" s="91"/>
      <c r="CN9" s="88"/>
      <c r="CO9" s="88"/>
      <c r="CP9" s="134"/>
      <c r="CR9" s="88" t="s">
        <v>216</v>
      </c>
      <c r="CS9" s="88">
        <v>1</v>
      </c>
      <c r="CT9" s="89">
        <v>4.4000000000000004</v>
      </c>
      <c r="CU9" s="138"/>
      <c r="CV9" s="138">
        <v>0</v>
      </c>
      <c r="CW9" s="89">
        <v>13.94</v>
      </c>
      <c r="CX9" s="89">
        <f t="shared" ref="CX9:CX38" si="18">SUM(CU9-CT9)+(CW9-CV9)</f>
        <v>9.5399999999999991</v>
      </c>
      <c r="CY9" s="90"/>
      <c r="CZ9" s="89">
        <v>1</v>
      </c>
      <c r="DA9" s="91">
        <f t="shared" ref="DA9:DA38" si="19">SUM((CX9-CY9)-CZ9)</f>
        <v>8.5399999999999991</v>
      </c>
      <c r="DB9" s="88">
        <v>8</v>
      </c>
      <c r="DC9" s="88">
        <f t="shared" ref="DC9:DC38" si="20">SUM(DA9-DB9)*100</f>
        <v>53.999999999999915</v>
      </c>
      <c r="DD9" s="134"/>
    </row>
    <row r="10" spans="1:109" s="54" customFormat="1" ht="17.149999999999999" customHeight="1" x14ac:dyDescent="0.35">
      <c r="A10" s="86" t="s">
        <v>2</v>
      </c>
      <c r="B10" s="86">
        <v>2</v>
      </c>
      <c r="C10" s="58">
        <v>5.0999999999999996</v>
      </c>
      <c r="D10" s="96"/>
      <c r="E10" s="96"/>
      <c r="F10" s="53">
        <v>15.94</v>
      </c>
      <c r="G10" s="58">
        <f t="shared" ref="G10:G14" si="21">SUM(D10-C10)+(F10-E10)</f>
        <v>10.84</v>
      </c>
      <c r="H10" s="97">
        <v>7.3</v>
      </c>
      <c r="I10" s="58">
        <v>1</v>
      </c>
      <c r="J10" s="59">
        <f t="shared" ref="J10:J14" si="22">SUM((G10-H10)-I10)</f>
        <v>2.54</v>
      </c>
      <c r="K10" s="86">
        <v>2</v>
      </c>
      <c r="L10" s="86">
        <f t="shared" ref="L10:L14" si="23">SUM(J10-K10)*100</f>
        <v>54</v>
      </c>
      <c r="M10" s="98"/>
      <c r="N10"/>
      <c r="O10" s="86" t="s">
        <v>2</v>
      </c>
      <c r="P10" s="86">
        <v>2</v>
      </c>
      <c r="Q10" s="58">
        <v>4.4000000000000004</v>
      </c>
      <c r="R10" s="96"/>
      <c r="S10" s="96"/>
      <c r="T10" s="53">
        <v>15.94</v>
      </c>
      <c r="U10" s="58">
        <f t="shared" si="3"/>
        <v>11.54</v>
      </c>
      <c r="V10" s="97">
        <v>7.3</v>
      </c>
      <c r="W10" s="58">
        <v>1</v>
      </c>
      <c r="X10" s="59">
        <f t="shared" si="4"/>
        <v>3.2399999999999993</v>
      </c>
      <c r="Y10" s="86">
        <v>3</v>
      </c>
      <c r="Z10" s="86">
        <f t="shared" si="5"/>
        <v>23.999999999999932</v>
      </c>
      <c r="AA10" s="98"/>
      <c r="AB10" s="86" t="s">
        <v>2</v>
      </c>
      <c r="AC10" s="86">
        <v>2</v>
      </c>
      <c r="AD10" s="58">
        <v>4.4000000000000004</v>
      </c>
      <c r="AE10" s="96"/>
      <c r="AF10" s="96"/>
      <c r="AG10" s="53">
        <v>15.94</v>
      </c>
      <c r="AH10" s="58">
        <f t="shared" si="6"/>
        <v>11.54</v>
      </c>
      <c r="AI10" s="97">
        <v>7.3</v>
      </c>
      <c r="AJ10" s="58">
        <v>1</v>
      </c>
      <c r="AK10" s="59">
        <f t="shared" si="7"/>
        <v>3.2399999999999993</v>
      </c>
      <c r="AL10" s="86">
        <v>3</v>
      </c>
      <c r="AM10" s="86">
        <f t="shared" si="8"/>
        <v>23.999999999999932</v>
      </c>
      <c r="AN10" s="98"/>
      <c r="AO10"/>
      <c r="AP10" s="86" t="s">
        <v>2</v>
      </c>
      <c r="AQ10" s="86">
        <v>2</v>
      </c>
      <c r="AR10" s="58">
        <v>5.0999999999999996</v>
      </c>
      <c r="AS10" s="96"/>
      <c r="AT10" s="96"/>
      <c r="AU10" s="53">
        <v>15.94</v>
      </c>
      <c r="AV10" s="58">
        <f t="shared" si="9"/>
        <v>10.84</v>
      </c>
      <c r="AW10" s="97">
        <v>7.3</v>
      </c>
      <c r="AX10" s="58">
        <v>1</v>
      </c>
      <c r="AY10" s="59">
        <f t="shared" si="10"/>
        <v>2.54</v>
      </c>
      <c r="AZ10" s="86">
        <v>2</v>
      </c>
      <c r="BA10" s="86">
        <f t="shared" si="11"/>
        <v>54</v>
      </c>
      <c r="BB10" s="98"/>
      <c r="BC10" s="86" t="s">
        <v>2</v>
      </c>
      <c r="BD10" s="86">
        <v>2</v>
      </c>
      <c r="BE10" s="58">
        <v>5.0999999999999996</v>
      </c>
      <c r="BF10" s="96"/>
      <c r="BG10" s="96"/>
      <c r="BH10" s="53">
        <v>15.94</v>
      </c>
      <c r="BI10" s="58">
        <f t="shared" ref="BI10:BI14" si="24">SUM(BF10-BE10)+(BH10-BG10)</f>
        <v>10.84</v>
      </c>
      <c r="BJ10" s="97">
        <v>7.3</v>
      </c>
      <c r="BK10" s="58">
        <v>1</v>
      </c>
      <c r="BL10" s="59">
        <f t="shared" ref="BL10:BL14" si="25">SUM((BI10-BJ10)-BK10)</f>
        <v>2.54</v>
      </c>
      <c r="BM10" s="86">
        <v>2</v>
      </c>
      <c r="BN10" s="86">
        <f t="shared" ref="BN10:BN14" si="26">SUM(BL10-BM10)*100</f>
        <v>54</v>
      </c>
      <c r="BO10" s="98"/>
      <c r="BP10"/>
      <c r="BQ10" s="86" t="s">
        <v>2</v>
      </c>
      <c r="BR10" s="86">
        <v>2</v>
      </c>
      <c r="BS10" s="58">
        <v>5.0999999999999996</v>
      </c>
      <c r="BT10" s="96"/>
      <c r="BU10" s="96"/>
      <c r="BV10" s="53">
        <v>15.94</v>
      </c>
      <c r="BW10" s="58">
        <f t="shared" si="15"/>
        <v>10.84</v>
      </c>
      <c r="BX10" s="97">
        <v>7.3</v>
      </c>
      <c r="BY10" s="58">
        <v>1</v>
      </c>
      <c r="BZ10" s="59">
        <f t="shared" si="16"/>
        <v>2.54</v>
      </c>
      <c r="CA10" s="86">
        <v>2</v>
      </c>
      <c r="CB10" s="86">
        <f t="shared" si="17"/>
        <v>54</v>
      </c>
      <c r="CC10" s="98"/>
      <c r="CD10" s="86" t="s">
        <v>2</v>
      </c>
      <c r="CE10" s="86">
        <v>2</v>
      </c>
      <c r="CF10" s="58"/>
      <c r="CG10" s="96"/>
      <c r="CH10" s="96"/>
      <c r="CI10" s="53"/>
      <c r="CJ10" s="58"/>
      <c r="CK10" s="97"/>
      <c r="CL10" s="58"/>
      <c r="CM10" s="59"/>
      <c r="CN10" s="86"/>
      <c r="CO10" s="86"/>
      <c r="CP10" s="98"/>
      <c r="CQ10"/>
      <c r="CR10" s="86" t="s">
        <v>2</v>
      </c>
      <c r="CS10" s="86">
        <v>2</v>
      </c>
      <c r="CT10" s="58">
        <v>4.4000000000000004</v>
      </c>
      <c r="CU10" s="96"/>
      <c r="CV10" s="96"/>
      <c r="CW10" s="53">
        <v>15.94</v>
      </c>
      <c r="CX10" s="58">
        <f t="shared" si="18"/>
        <v>11.54</v>
      </c>
      <c r="CY10" s="97">
        <v>7.3</v>
      </c>
      <c r="CZ10" s="58">
        <v>1</v>
      </c>
      <c r="DA10" s="59">
        <f t="shared" si="19"/>
        <v>3.2399999999999993</v>
      </c>
      <c r="DB10" s="86">
        <v>3</v>
      </c>
      <c r="DC10" s="86">
        <f t="shared" si="20"/>
        <v>23.999999999999932</v>
      </c>
      <c r="DD10" s="98"/>
      <c r="DE10"/>
    </row>
    <row r="11" spans="1:109" s="54" customFormat="1" ht="17.149999999999999" customHeight="1" x14ac:dyDescent="0.35">
      <c r="A11" s="86" t="s">
        <v>225</v>
      </c>
      <c r="B11" s="86">
        <v>3</v>
      </c>
      <c r="C11" s="58">
        <v>5.0999999999999996</v>
      </c>
      <c r="D11" s="96"/>
      <c r="E11" s="96"/>
      <c r="F11" s="53">
        <v>16.98</v>
      </c>
      <c r="G11" s="58">
        <f t="shared" si="21"/>
        <v>11.88</v>
      </c>
      <c r="H11" s="97">
        <v>7.3</v>
      </c>
      <c r="I11" s="58">
        <v>1</v>
      </c>
      <c r="J11" s="59">
        <f t="shared" si="22"/>
        <v>3.580000000000001</v>
      </c>
      <c r="K11" s="86">
        <v>3</v>
      </c>
      <c r="L11" s="86">
        <f t="shared" si="23"/>
        <v>58.000000000000099</v>
      </c>
      <c r="M11" s="87"/>
      <c r="N11"/>
      <c r="O11" s="86" t="s">
        <v>225</v>
      </c>
      <c r="P11" s="86">
        <v>3</v>
      </c>
      <c r="Q11" s="58">
        <v>4.4000000000000004</v>
      </c>
      <c r="R11" s="96"/>
      <c r="S11" s="96"/>
      <c r="T11" s="53">
        <v>16.98</v>
      </c>
      <c r="U11" s="58">
        <f t="shared" si="3"/>
        <v>12.58</v>
      </c>
      <c r="V11" s="97">
        <v>7.3</v>
      </c>
      <c r="W11" s="58">
        <v>1</v>
      </c>
      <c r="X11" s="59">
        <f t="shared" si="4"/>
        <v>4.28</v>
      </c>
      <c r="Y11" s="86">
        <v>4</v>
      </c>
      <c r="Z11" s="86">
        <f t="shared" si="5"/>
        <v>28.000000000000025</v>
      </c>
      <c r="AA11" s="87"/>
      <c r="AB11" s="86" t="s">
        <v>225</v>
      </c>
      <c r="AC11" s="86">
        <v>3</v>
      </c>
      <c r="AD11" s="58">
        <v>4.4000000000000004</v>
      </c>
      <c r="AE11" s="96"/>
      <c r="AF11" s="96"/>
      <c r="AG11" s="53">
        <v>16.98</v>
      </c>
      <c r="AH11" s="58">
        <f t="shared" si="6"/>
        <v>12.58</v>
      </c>
      <c r="AI11" s="97">
        <v>7.3</v>
      </c>
      <c r="AJ11" s="58">
        <v>1</v>
      </c>
      <c r="AK11" s="59">
        <f t="shared" si="7"/>
        <v>4.28</v>
      </c>
      <c r="AL11" s="86">
        <v>4</v>
      </c>
      <c r="AM11" s="86">
        <f t="shared" si="8"/>
        <v>28.000000000000025</v>
      </c>
      <c r="AN11" s="87"/>
      <c r="AO11"/>
      <c r="AP11" s="86" t="s">
        <v>225</v>
      </c>
      <c r="AQ11" s="86">
        <v>3</v>
      </c>
      <c r="AR11" s="58">
        <v>5.0999999999999996</v>
      </c>
      <c r="AS11" s="96"/>
      <c r="AT11" s="96"/>
      <c r="AU11" s="53">
        <v>16.98</v>
      </c>
      <c r="AV11" s="58">
        <f t="shared" si="9"/>
        <v>11.88</v>
      </c>
      <c r="AW11" s="97">
        <v>7.3</v>
      </c>
      <c r="AX11" s="58">
        <v>1</v>
      </c>
      <c r="AY11" s="59">
        <f t="shared" si="10"/>
        <v>3.580000000000001</v>
      </c>
      <c r="AZ11" s="86">
        <v>3</v>
      </c>
      <c r="BA11" s="86">
        <f t="shared" si="11"/>
        <v>58.000000000000099</v>
      </c>
      <c r="BB11" s="87"/>
      <c r="BC11" s="86" t="s">
        <v>225</v>
      </c>
      <c r="BD11" s="86">
        <v>3</v>
      </c>
      <c r="BE11" s="58">
        <v>5.0999999999999996</v>
      </c>
      <c r="BF11" s="96"/>
      <c r="BG11" s="96"/>
      <c r="BH11" s="53">
        <v>16.98</v>
      </c>
      <c r="BI11" s="58">
        <f t="shared" si="24"/>
        <v>11.88</v>
      </c>
      <c r="BJ11" s="97">
        <v>7.3</v>
      </c>
      <c r="BK11" s="58">
        <v>1</v>
      </c>
      <c r="BL11" s="59">
        <f t="shared" si="25"/>
        <v>3.580000000000001</v>
      </c>
      <c r="BM11" s="86">
        <v>3</v>
      </c>
      <c r="BN11" s="86">
        <f t="shared" si="26"/>
        <v>58.000000000000099</v>
      </c>
      <c r="BO11" s="87"/>
      <c r="BP11"/>
      <c r="BQ11" s="86" t="s">
        <v>225</v>
      </c>
      <c r="BR11" s="86">
        <v>3</v>
      </c>
      <c r="BS11" s="58">
        <v>5.0999999999999996</v>
      </c>
      <c r="BT11" s="96"/>
      <c r="BU11" s="96"/>
      <c r="BV11" s="53">
        <v>16.98</v>
      </c>
      <c r="BW11" s="58">
        <f t="shared" si="15"/>
        <v>11.88</v>
      </c>
      <c r="BX11" s="97">
        <v>7.3</v>
      </c>
      <c r="BY11" s="58">
        <v>1</v>
      </c>
      <c r="BZ11" s="59">
        <f t="shared" si="16"/>
        <v>3.580000000000001</v>
      </c>
      <c r="CA11" s="86">
        <v>3</v>
      </c>
      <c r="CB11" s="86">
        <f t="shared" si="17"/>
        <v>58.000000000000099</v>
      </c>
      <c r="CC11" s="87"/>
      <c r="CD11" s="86" t="s">
        <v>225</v>
      </c>
      <c r="CE11" s="86">
        <v>3</v>
      </c>
      <c r="CF11" s="58"/>
      <c r="CG11" s="96"/>
      <c r="CH11" s="96"/>
      <c r="CI11" s="53"/>
      <c r="CJ11" s="58"/>
      <c r="CK11" s="97"/>
      <c r="CL11" s="58"/>
      <c r="CM11" s="59"/>
      <c r="CN11" s="86"/>
      <c r="CO11" s="86"/>
      <c r="CP11" s="87"/>
      <c r="CQ11"/>
      <c r="CR11" s="86" t="s">
        <v>225</v>
      </c>
      <c r="CS11" s="86">
        <v>3</v>
      </c>
      <c r="CT11" s="58">
        <v>4.4000000000000004</v>
      </c>
      <c r="CU11" s="96"/>
      <c r="CV11" s="96"/>
      <c r="CW11" s="53">
        <v>16.98</v>
      </c>
      <c r="CX11" s="58">
        <f t="shared" si="18"/>
        <v>12.58</v>
      </c>
      <c r="CY11" s="97">
        <v>7.3</v>
      </c>
      <c r="CZ11" s="58">
        <v>1</v>
      </c>
      <c r="DA11" s="59">
        <f t="shared" si="19"/>
        <v>4.28</v>
      </c>
      <c r="DB11" s="86">
        <v>4</v>
      </c>
      <c r="DC11" s="86">
        <f t="shared" si="20"/>
        <v>28.000000000000025</v>
      </c>
      <c r="DD11" s="87"/>
      <c r="DE11"/>
    </row>
    <row r="12" spans="1:109" ht="17.149999999999999" customHeight="1" x14ac:dyDescent="0.35">
      <c r="A12" s="86" t="s">
        <v>4</v>
      </c>
      <c r="B12" s="86">
        <v>4</v>
      </c>
      <c r="C12" s="58">
        <v>5.0999999999999996</v>
      </c>
      <c r="D12" s="96"/>
      <c r="E12" s="96"/>
      <c r="F12" s="53">
        <v>15.95</v>
      </c>
      <c r="G12" s="58">
        <f t="shared" si="21"/>
        <v>10.85</v>
      </c>
      <c r="H12" s="97">
        <v>7.3</v>
      </c>
      <c r="I12" s="58">
        <v>1</v>
      </c>
      <c r="J12" s="59">
        <f t="shared" si="22"/>
        <v>2.5499999999999998</v>
      </c>
      <c r="K12" s="86">
        <v>2</v>
      </c>
      <c r="L12" s="86">
        <f t="shared" si="23"/>
        <v>54.999999999999986</v>
      </c>
      <c r="M12" s="98"/>
      <c r="O12" s="86" t="s">
        <v>4</v>
      </c>
      <c r="P12" s="86">
        <v>4</v>
      </c>
      <c r="Q12" s="58">
        <v>4.4000000000000004</v>
      </c>
      <c r="R12" s="96"/>
      <c r="S12" s="96"/>
      <c r="T12" s="53">
        <v>15.95</v>
      </c>
      <c r="U12" s="58">
        <f t="shared" si="3"/>
        <v>11.549999999999999</v>
      </c>
      <c r="V12" s="97">
        <v>7.3</v>
      </c>
      <c r="W12" s="58">
        <v>1</v>
      </c>
      <c r="X12" s="59">
        <f t="shared" si="4"/>
        <v>3.2499999999999991</v>
      </c>
      <c r="Y12" s="86">
        <v>3</v>
      </c>
      <c r="Z12" s="86">
        <f t="shared" si="5"/>
        <v>24.999999999999911</v>
      </c>
      <c r="AA12" s="98"/>
      <c r="AB12" s="86" t="s">
        <v>4</v>
      </c>
      <c r="AC12" s="86">
        <v>4</v>
      </c>
      <c r="AD12" s="58">
        <v>4.4000000000000004</v>
      </c>
      <c r="AE12" s="96"/>
      <c r="AF12" s="96"/>
      <c r="AG12" s="53">
        <v>15.95</v>
      </c>
      <c r="AH12" s="58">
        <f t="shared" si="6"/>
        <v>11.549999999999999</v>
      </c>
      <c r="AI12" s="97">
        <v>7.3</v>
      </c>
      <c r="AJ12" s="58">
        <v>1</v>
      </c>
      <c r="AK12" s="59">
        <f t="shared" si="7"/>
        <v>3.2499999999999991</v>
      </c>
      <c r="AL12" s="86">
        <v>3</v>
      </c>
      <c r="AM12" s="86">
        <f t="shared" si="8"/>
        <v>24.999999999999911</v>
      </c>
      <c r="AN12" s="98"/>
      <c r="AP12" s="86" t="s">
        <v>4</v>
      </c>
      <c r="AQ12" s="86">
        <v>4</v>
      </c>
      <c r="AR12" s="58">
        <v>5.0999999999999996</v>
      </c>
      <c r="AS12" s="96"/>
      <c r="AT12" s="96"/>
      <c r="AU12" s="53">
        <v>15.95</v>
      </c>
      <c r="AV12" s="58">
        <f t="shared" si="9"/>
        <v>10.85</v>
      </c>
      <c r="AW12" s="97">
        <v>7.3</v>
      </c>
      <c r="AX12" s="58">
        <v>1</v>
      </c>
      <c r="AY12" s="59">
        <f t="shared" si="10"/>
        <v>2.5499999999999998</v>
      </c>
      <c r="AZ12" s="86">
        <v>2</v>
      </c>
      <c r="BA12" s="86">
        <f t="shared" si="11"/>
        <v>54.999999999999986</v>
      </c>
      <c r="BB12" s="98"/>
      <c r="BC12" s="86" t="s">
        <v>4</v>
      </c>
      <c r="BD12" s="86">
        <v>4</v>
      </c>
      <c r="BE12" s="58">
        <v>5.0999999999999996</v>
      </c>
      <c r="BF12" s="96"/>
      <c r="BG12" s="96"/>
      <c r="BH12" s="53">
        <v>15.95</v>
      </c>
      <c r="BI12" s="58">
        <f t="shared" si="24"/>
        <v>10.85</v>
      </c>
      <c r="BJ12" s="97">
        <v>7.3</v>
      </c>
      <c r="BK12" s="58">
        <v>1</v>
      </c>
      <c r="BL12" s="59">
        <f t="shared" si="25"/>
        <v>2.5499999999999998</v>
      </c>
      <c r="BM12" s="86">
        <v>2</v>
      </c>
      <c r="BN12" s="86">
        <f t="shared" si="26"/>
        <v>54.999999999999986</v>
      </c>
      <c r="BO12" s="98"/>
      <c r="BQ12" s="86" t="s">
        <v>4</v>
      </c>
      <c r="BR12" s="86">
        <v>4</v>
      </c>
      <c r="BS12" s="58">
        <v>5.0999999999999996</v>
      </c>
      <c r="BT12" s="96"/>
      <c r="BU12" s="96"/>
      <c r="BV12" s="53">
        <v>15.95</v>
      </c>
      <c r="BW12" s="58">
        <f t="shared" si="15"/>
        <v>10.85</v>
      </c>
      <c r="BX12" s="97">
        <v>7.3</v>
      </c>
      <c r="BY12" s="58">
        <v>1</v>
      </c>
      <c r="BZ12" s="59">
        <f t="shared" si="16"/>
        <v>2.5499999999999998</v>
      </c>
      <c r="CA12" s="86">
        <v>2</v>
      </c>
      <c r="CB12" s="86">
        <f t="shared" si="17"/>
        <v>54.999999999999986</v>
      </c>
      <c r="CC12" s="98"/>
      <c r="CD12" s="86" t="s">
        <v>4</v>
      </c>
      <c r="CE12" s="86">
        <v>4</v>
      </c>
      <c r="CF12" s="58"/>
      <c r="CG12" s="96"/>
      <c r="CH12" s="96"/>
      <c r="CI12" s="53"/>
      <c r="CJ12" s="58"/>
      <c r="CK12" s="97"/>
      <c r="CL12" s="58"/>
      <c r="CM12" s="59"/>
      <c r="CN12" s="86"/>
      <c r="CO12" s="86"/>
      <c r="CP12" s="98"/>
      <c r="CR12" s="86" t="s">
        <v>4</v>
      </c>
      <c r="CS12" s="86">
        <v>4</v>
      </c>
      <c r="CT12" s="58">
        <v>4.4000000000000004</v>
      </c>
      <c r="CU12" s="96"/>
      <c r="CV12" s="96"/>
      <c r="CW12" s="53">
        <v>15.95</v>
      </c>
      <c r="CX12" s="58">
        <f t="shared" si="18"/>
        <v>11.549999999999999</v>
      </c>
      <c r="CY12" s="97">
        <v>7.3</v>
      </c>
      <c r="CZ12" s="58">
        <v>1</v>
      </c>
      <c r="DA12" s="59">
        <f t="shared" si="19"/>
        <v>3.2499999999999991</v>
      </c>
      <c r="DB12" s="86">
        <v>3</v>
      </c>
      <c r="DC12" s="86">
        <f t="shared" si="20"/>
        <v>24.999999999999911</v>
      </c>
      <c r="DD12" s="98"/>
    </row>
    <row r="13" spans="1:109" ht="17.149999999999999" customHeight="1" x14ac:dyDescent="0.35">
      <c r="A13" s="86" t="s">
        <v>5</v>
      </c>
      <c r="B13" s="86">
        <v>5</v>
      </c>
      <c r="C13" s="58">
        <v>5.0999999999999996</v>
      </c>
      <c r="D13" s="96"/>
      <c r="E13" s="96"/>
      <c r="F13" s="53">
        <v>17.91</v>
      </c>
      <c r="G13" s="58">
        <f t="shared" si="21"/>
        <v>12.81</v>
      </c>
      <c r="H13" s="97">
        <v>7.3</v>
      </c>
      <c r="I13" s="58">
        <v>1</v>
      </c>
      <c r="J13" s="59">
        <f t="shared" si="22"/>
        <v>4.5100000000000007</v>
      </c>
      <c r="K13" s="86">
        <v>4</v>
      </c>
      <c r="L13" s="86">
        <f t="shared" si="23"/>
        <v>51.000000000000071</v>
      </c>
      <c r="M13" s="98"/>
      <c r="O13" s="86" t="s">
        <v>5</v>
      </c>
      <c r="P13" s="86">
        <v>5</v>
      </c>
      <c r="Q13" s="58">
        <v>4.4000000000000004</v>
      </c>
      <c r="R13" s="96"/>
      <c r="S13" s="96"/>
      <c r="T13" s="53">
        <v>17.91</v>
      </c>
      <c r="U13" s="58">
        <f t="shared" si="3"/>
        <v>13.51</v>
      </c>
      <c r="V13" s="97">
        <v>7.3</v>
      </c>
      <c r="W13" s="58">
        <v>1</v>
      </c>
      <c r="X13" s="59">
        <f t="shared" si="4"/>
        <v>5.21</v>
      </c>
      <c r="Y13" s="86">
        <v>5</v>
      </c>
      <c r="Z13" s="86">
        <f t="shared" si="5"/>
        <v>20.999999999999996</v>
      </c>
      <c r="AA13" s="98"/>
      <c r="AB13" s="86" t="s">
        <v>5</v>
      </c>
      <c r="AC13" s="86">
        <v>5</v>
      </c>
      <c r="AD13" s="58">
        <v>4.4000000000000004</v>
      </c>
      <c r="AE13" s="96"/>
      <c r="AF13" s="96"/>
      <c r="AG13" s="53">
        <v>17.91</v>
      </c>
      <c r="AH13" s="58">
        <f t="shared" si="6"/>
        <v>13.51</v>
      </c>
      <c r="AI13" s="97">
        <v>7.3</v>
      </c>
      <c r="AJ13" s="58">
        <v>1</v>
      </c>
      <c r="AK13" s="59">
        <f t="shared" si="7"/>
        <v>5.21</v>
      </c>
      <c r="AL13" s="86">
        <v>5</v>
      </c>
      <c r="AM13" s="86">
        <f t="shared" si="8"/>
        <v>20.999999999999996</v>
      </c>
      <c r="AN13" s="98"/>
      <c r="AP13" s="86" t="s">
        <v>5</v>
      </c>
      <c r="AQ13" s="86">
        <v>5</v>
      </c>
      <c r="AR13" s="58">
        <v>5.0999999999999996</v>
      </c>
      <c r="AS13" s="96"/>
      <c r="AT13" s="96"/>
      <c r="AU13" s="53">
        <v>17.91</v>
      </c>
      <c r="AV13" s="58">
        <f t="shared" si="9"/>
        <v>12.81</v>
      </c>
      <c r="AW13" s="97">
        <v>7.3</v>
      </c>
      <c r="AX13" s="58">
        <v>1</v>
      </c>
      <c r="AY13" s="59">
        <f t="shared" si="10"/>
        <v>4.5100000000000007</v>
      </c>
      <c r="AZ13" s="86">
        <v>4</v>
      </c>
      <c r="BA13" s="86">
        <f t="shared" si="11"/>
        <v>51.000000000000071</v>
      </c>
      <c r="BB13" s="98"/>
      <c r="BC13" s="86" t="s">
        <v>5</v>
      </c>
      <c r="BD13" s="86">
        <v>5</v>
      </c>
      <c r="BE13" s="58">
        <v>5.0999999999999996</v>
      </c>
      <c r="BF13" s="96"/>
      <c r="BG13" s="96"/>
      <c r="BH13" s="53">
        <v>17.91</v>
      </c>
      <c r="BI13" s="58">
        <f t="shared" si="24"/>
        <v>12.81</v>
      </c>
      <c r="BJ13" s="97">
        <v>7.3</v>
      </c>
      <c r="BK13" s="58">
        <v>1</v>
      </c>
      <c r="BL13" s="59">
        <f t="shared" si="25"/>
        <v>4.5100000000000007</v>
      </c>
      <c r="BM13" s="86">
        <v>4</v>
      </c>
      <c r="BN13" s="86">
        <f t="shared" si="26"/>
        <v>51.000000000000071</v>
      </c>
      <c r="BO13" s="98"/>
      <c r="BQ13" s="86" t="s">
        <v>5</v>
      </c>
      <c r="BR13" s="86">
        <v>5</v>
      </c>
      <c r="BS13" s="58">
        <v>5.0999999999999996</v>
      </c>
      <c r="BT13" s="96"/>
      <c r="BU13" s="96"/>
      <c r="BV13" s="53">
        <v>17.91</v>
      </c>
      <c r="BW13" s="58">
        <f t="shared" si="15"/>
        <v>12.81</v>
      </c>
      <c r="BX13" s="97">
        <v>7.3</v>
      </c>
      <c r="BY13" s="58">
        <v>1</v>
      </c>
      <c r="BZ13" s="59">
        <f t="shared" si="16"/>
        <v>4.5100000000000007</v>
      </c>
      <c r="CA13" s="86">
        <v>4</v>
      </c>
      <c r="CB13" s="86">
        <f t="shared" si="17"/>
        <v>51.000000000000071</v>
      </c>
      <c r="CC13" s="98"/>
      <c r="CD13" s="86" t="s">
        <v>5</v>
      </c>
      <c r="CE13" s="86">
        <v>5</v>
      </c>
      <c r="CF13" s="58"/>
      <c r="CG13" s="96"/>
      <c r="CH13" s="96"/>
      <c r="CI13" s="53"/>
      <c r="CJ13" s="58"/>
      <c r="CK13" s="97"/>
      <c r="CL13" s="58"/>
      <c r="CM13" s="59"/>
      <c r="CN13" s="86"/>
      <c r="CO13" s="86"/>
      <c r="CP13" s="98"/>
      <c r="CR13" s="86" t="s">
        <v>5</v>
      </c>
      <c r="CS13" s="86">
        <v>5</v>
      </c>
      <c r="CT13" s="58">
        <v>4.4000000000000004</v>
      </c>
      <c r="CU13" s="96"/>
      <c r="CV13" s="96"/>
      <c r="CW13" s="53">
        <v>17.91</v>
      </c>
      <c r="CX13" s="58">
        <f t="shared" si="18"/>
        <v>13.51</v>
      </c>
      <c r="CY13" s="97">
        <v>7.3</v>
      </c>
      <c r="CZ13" s="58">
        <v>1</v>
      </c>
      <c r="DA13" s="59">
        <f t="shared" si="19"/>
        <v>5.21</v>
      </c>
      <c r="DB13" s="86">
        <v>5</v>
      </c>
      <c r="DC13" s="86">
        <f t="shared" si="20"/>
        <v>20.999999999999996</v>
      </c>
      <c r="DD13" s="98"/>
    </row>
    <row r="14" spans="1:109" ht="17.149999999999999" customHeight="1" x14ac:dyDescent="0.35">
      <c r="A14" s="55" t="s">
        <v>6</v>
      </c>
      <c r="B14" s="55">
        <v>6</v>
      </c>
      <c r="C14" s="52"/>
      <c r="D14" s="52"/>
      <c r="E14" s="52"/>
      <c r="F14" s="52"/>
      <c r="G14" s="52">
        <f t="shared" si="21"/>
        <v>0</v>
      </c>
      <c r="H14" s="56"/>
      <c r="I14" s="52"/>
      <c r="J14" s="57">
        <f t="shared" si="22"/>
        <v>0</v>
      </c>
      <c r="K14" s="55">
        <v>0</v>
      </c>
      <c r="L14" s="55">
        <f t="shared" si="23"/>
        <v>0</v>
      </c>
      <c r="M14" s="95"/>
      <c r="O14" s="55" t="s">
        <v>6</v>
      </c>
      <c r="P14" s="55">
        <v>6</v>
      </c>
      <c r="Q14" s="52"/>
      <c r="R14" s="52"/>
      <c r="S14" s="52">
        <v>9</v>
      </c>
      <c r="T14" s="52">
        <v>12.09</v>
      </c>
      <c r="U14" s="52">
        <f t="shared" si="3"/>
        <v>3.09</v>
      </c>
      <c r="V14" s="56"/>
      <c r="W14" s="52"/>
      <c r="X14" s="57">
        <f t="shared" ref="X14" si="27">SUM((U14-V14)-W14)</f>
        <v>3.09</v>
      </c>
      <c r="Y14" s="55">
        <v>3</v>
      </c>
      <c r="Z14" s="55">
        <f t="shared" ref="Z14" si="28">SUM(X14-Y14)*100</f>
        <v>8.9999999999999858</v>
      </c>
      <c r="AA14" s="95"/>
      <c r="AB14" s="55" t="s">
        <v>6</v>
      </c>
      <c r="AC14" s="55">
        <v>6</v>
      </c>
      <c r="AD14" s="52"/>
      <c r="AE14" s="52"/>
      <c r="AF14" s="52">
        <v>9</v>
      </c>
      <c r="AG14" s="52">
        <v>12.09</v>
      </c>
      <c r="AH14" s="52">
        <f t="shared" si="6"/>
        <v>3.09</v>
      </c>
      <c r="AI14" s="56"/>
      <c r="AJ14" s="52"/>
      <c r="AK14" s="57">
        <f t="shared" si="7"/>
        <v>3.09</v>
      </c>
      <c r="AL14" s="55">
        <v>3</v>
      </c>
      <c r="AM14" s="55">
        <f t="shared" si="8"/>
        <v>8.9999999999999858</v>
      </c>
      <c r="AN14" s="95"/>
      <c r="AP14" s="55" t="s">
        <v>6</v>
      </c>
      <c r="AQ14" s="55">
        <v>6</v>
      </c>
      <c r="AR14" s="52"/>
      <c r="AS14" s="52"/>
      <c r="AT14" s="52"/>
      <c r="AU14" s="52"/>
      <c r="AV14" s="52">
        <f t="shared" si="9"/>
        <v>0</v>
      </c>
      <c r="AW14" s="56"/>
      <c r="AX14" s="52"/>
      <c r="AY14" s="57">
        <f t="shared" si="10"/>
        <v>0</v>
      </c>
      <c r="AZ14" s="55">
        <v>0</v>
      </c>
      <c r="BA14" s="55">
        <f t="shared" si="11"/>
        <v>0</v>
      </c>
      <c r="BB14" s="95"/>
      <c r="BC14" s="55" t="s">
        <v>6</v>
      </c>
      <c r="BD14" s="55">
        <v>6</v>
      </c>
      <c r="BE14" s="52"/>
      <c r="BF14" s="52"/>
      <c r="BG14" s="52"/>
      <c r="BH14" s="52"/>
      <c r="BI14" s="52">
        <f t="shared" si="24"/>
        <v>0</v>
      </c>
      <c r="BJ14" s="56"/>
      <c r="BK14" s="52"/>
      <c r="BL14" s="57">
        <f t="shared" si="25"/>
        <v>0</v>
      </c>
      <c r="BM14" s="55">
        <v>0</v>
      </c>
      <c r="BN14" s="55">
        <f t="shared" si="26"/>
        <v>0</v>
      </c>
      <c r="BO14" s="95"/>
      <c r="BQ14" s="55" t="s">
        <v>6</v>
      </c>
      <c r="BR14" s="55">
        <v>6</v>
      </c>
      <c r="BS14" s="52"/>
      <c r="BT14" s="52"/>
      <c r="BU14" s="52"/>
      <c r="BV14" s="52"/>
      <c r="BW14" s="52">
        <f t="shared" si="15"/>
        <v>0</v>
      </c>
      <c r="BX14" s="56"/>
      <c r="BY14" s="52"/>
      <c r="BZ14" s="57">
        <f t="shared" si="16"/>
        <v>0</v>
      </c>
      <c r="CA14" s="55">
        <v>0</v>
      </c>
      <c r="CB14" s="55">
        <f t="shared" si="17"/>
        <v>0</v>
      </c>
      <c r="CC14" s="95"/>
      <c r="CD14" s="55" t="s">
        <v>6</v>
      </c>
      <c r="CE14" s="55">
        <v>6</v>
      </c>
      <c r="CF14" s="52"/>
      <c r="CG14" s="52"/>
      <c r="CH14" s="52"/>
      <c r="CI14" s="52"/>
      <c r="CJ14" s="52"/>
      <c r="CK14" s="56"/>
      <c r="CL14" s="52"/>
      <c r="CM14" s="57"/>
      <c r="CN14" s="55"/>
      <c r="CO14" s="55"/>
      <c r="CP14" s="95"/>
      <c r="CR14" s="55" t="s">
        <v>6</v>
      </c>
      <c r="CS14" s="55">
        <v>6</v>
      </c>
      <c r="CT14" s="52"/>
      <c r="CU14" s="52"/>
      <c r="CV14" s="52">
        <v>9</v>
      </c>
      <c r="CW14" s="52">
        <v>12.09</v>
      </c>
      <c r="CX14" s="52">
        <f t="shared" si="18"/>
        <v>3.09</v>
      </c>
      <c r="CY14" s="56"/>
      <c r="CZ14" s="52"/>
      <c r="DA14" s="57">
        <f t="shared" si="19"/>
        <v>3.09</v>
      </c>
      <c r="DB14" s="55">
        <v>3</v>
      </c>
      <c r="DC14" s="55">
        <f t="shared" si="20"/>
        <v>8.9999999999999858</v>
      </c>
      <c r="DD14" s="95"/>
    </row>
    <row r="15" spans="1:109" ht="17.149999999999999" customHeight="1" x14ac:dyDescent="0.35">
      <c r="A15" s="86" t="s">
        <v>1</v>
      </c>
      <c r="B15" s="94">
        <v>7</v>
      </c>
      <c r="C15" s="58">
        <v>5.0999999999999996</v>
      </c>
      <c r="D15" s="96"/>
      <c r="E15" s="96"/>
      <c r="F15" s="53">
        <v>17.66</v>
      </c>
      <c r="G15" s="58">
        <f t="shared" ref="G15:G21" si="29">SUM(D15-C15)+(F15-E15)</f>
        <v>12.56</v>
      </c>
      <c r="H15" s="97">
        <v>7.3</v>
      </c>
      <c r="I15" s="58">
        <v>1</v>
      </c>
      <c r="J15" s="59">
        <f t="shared" ref="J15:J21" si="30">SUM((G15-H15)-I15)</f>
        <v>4.2600000000000007</v>
      </c>
      <c r="K15" s="86">
        <v>4</v>
      </c>
      <c r="L15" s="86">
        <f t="shared" ref="L15:L21" si="31">SUM(J15-K15)*100</f>
        <v>26.000000000000068</v>
      </c>
      <c r="M15" s="98"/>
      <c r="O15" s="86" t="s">
        <v>1</v>
      </c>
      <c r="P15" s="94">
        <v>7</v>
      </c>
      <c r="Q15" s="58">
        <v>4.4000000000000004</v>
      </c>
      <c r="R15" s="96"/>
      <c r="S15" s="96"/>
      <c r="T15" s="53">
        <v>17.66</v>
      </c>
      <c r="U15" s="58">
        <f t="shared" ref="U15:U21" si="32">SUM(R15-Q15)+(T15-S15)</f>
        <v>13.26</v>
      </c>
      <c r="V15" s="97">
        <v>7.3</v>
      </c>
      <c r="W15" s="58">
        <v>1.4</v>
      </c>
      <c r="X15" s="59">
        <f t="shared" ref="X15:X21" si="33">SUM((U15-V15)-W15)</f>
        <v>4.5600000000000005</v>
      </c>
      <c r="Y15" s="86">
        <v>4</v>
      </c>
      <c r="Z15" s="86">
        <f t="shared" ref="Z15:Z21" si="34">SUM(X15-Y15)*100</f>
        <v>56.00000000000005</v>
      </c>
      <c r="AA15" s="98"/>
      <c r="AB15" s="86" t="s">
        <v>1</v>
      </c>
      <c r="AC15" s="94">
        <v>7</v>
      </c>
      <c r="AD15" s="58"/>
      <c r="AE15" s="96"/>
      <c r="AF15" s="96"/>
      <c r="AG15" s="53"/>
      <c r="AH15" s="58"/>
      <c r="AI15" s="97"/>
      <c r="AJ15" s="58"/>
      <c r="AK15" s="59"/>
      <c r="AL15" s="86"/>
      <c r="AM15" s="86"/>
      <c r="AN15" s="98" t="s">
        <v>227</v>
      </c>
      <c r="AP15" s="86" t="s">
        <v>1</v>
      </c>
      <c r="AQ15" s="94">
        <v>7</v>
      </c>
      <c r="AR15" s="58">
        <v>5.0999999999999996</v>
      </c>
      <c r="AS15" s="96"/>
      <c r="AT15" s="96"/>
      <c r="AU15" s="53">
        <v>17.66</v>
      </c>
      <c r="AV15" s="58">
        <f t="shared" ref="AV15:AV21" si="35">SUM(AS15-AR15)+(AU15-AT15)</f>
        <v>12.56</v>
      </c>
      <c r="AW15" s="97">
        <v>7.3</v>
      </c>
      <c r="AX15" s="58">
        <v>1</v>
      </c>
      <c r="AY15" s="59">
        <f t="shared" ref="AY15:AY21" si="36">SUM((AV15-AW15)-AX15)</f>
        <v>4.2600000000000007</v>
      </c>
      <c r="AZ15" s="86">
        <v>4</v>
      </c>
      <c r="BA15" s="86">
        <f t="shared" ref="BA15:BA21" si="37">SUM(AY15-AZ15)*100</f>
        <v>26.000000000000068</v>
      </c>
      <c r="BB15" s="98"/>
      <c r="BC15" s="86" t="s">
        <v>1</v>
      </c>
      <c r="BD15" s="94">
        <v>7</v>
      </c>
      <c r="BE15" s="58">
        <v>5.0999999999999996</v>
      </c>
      <c r="BF15" s="96"/>
      <c r="BG15" s="96"/>
      <c r="BH15" s="53">
        <v>17.66</v>
      </c>
      <c r="BI15" s="58">
        <f t="shared" ref="BI15:BI21" si="38">SUM(BF15-BE15)+(BH15-BG15)</f>
        <v>12.56</v>
      </c>
      <c r="BJ15" s="97">
        <v>7.3</v>
      </c>
      <c r="BK15" s="58">
        <v>1</v>
      </c>
      <c r="BL15" s="59">
        <f t="shared" ref="BL15:BL21" si="39">SUM((BI15-BJ15)-BK15)</f>
        <v>4.2600000000000007</v>
      </c>
      <c r="BM15" s="86">
        <v>4</v>
      </c>
      <c r="BN15" s="86">
        <f t="shared" ref="BN15:BN21" si="40">SUM(BL15-BM15)*100</f>
        <v>26.000000000000068</v>
      </c>
      <c r="BO15" s="98"/>
      <c r="BQ15" s="86" t="s">
        <v>1</v>
      </c>
      <c r="BR15" s="94">
        <v>7</v>
      </c>
      <c r="BS15" s="58">
        <v>5.0999999999999996</v>
      </c>
      <c r="BT15" s="96"/>
      <c r="BU15" s="96"/>
      <c r="BV15" s="53">
        <v>17.66</v>
      </c>
      <c r="BW15" s="58">
        <f t="shared" ref="BW15:BW19" si="41">SUM(BT15-BS15)+(BV15-BU15)</f>
        <v>12.56</v>
      </c>
      <c r="BX15" s="97">
        <v>7.3</v>
      </c>
      <c r="BY15" s="58">
        <v>1</v>
      </c>
      <c r="BZ15" s="59">
        <f t="shared" ref="BZ15:BZ19" si="42">SUM((BW15-BX15)-BY15)</f>
        <v>4.2600000000000007</v>
      </c>
      <c r="CA15" s="86">
        <v>4</v>
      </c>
      <c r="CB15" s="86">
        <f t="shared" ref="CB15:CB21" si="43">SUM(BZ15-CA15)*100</f>
        <v>26.000000000000068</v>
      </c>
      <c r="CC15" s="98"/>
      <c r="CD15" s="86" t="s">
        <v>1</v>
      </c>
      <c r="CE15" s="94">
        <v>7</v>
      </c>
      <c r="CF15" s="58"/>
      <c r="CG15" s="96"/>
      <c r="CH15" s="96"/>
      <c r="CI15" s="53"/>
      <c r="CJ15" s="58"/>
      <c r="CK15" s="97"/>
      <c r="CL15" s="58"/>
      <c r="CM15" s="59"/>
      <c r="CN15" s="86"/>
      <c r="CO15" s="86"/>
      <c r="CP15" s="98"/>
      <c r="CR15" s="86" t="s">
        <v>1</v>
      </c>
      <c r="CS15" s="94">
        <v>7</v>
      </c>
      <c r="CT15" s="58">
        <v>4.4000000000000004</v>
      </c>
      <c r="CU15" s="96"/>
      <c r="CV15" s="96"/>
      <c r="CW15" s="53">
        <v>17.66</v>
      </c>
      <c r="CX15" s="58">
        <f t="shared" si="18"/>
        <v>13.26</v>
      </c>
      <c r="CY15" s="97">
        <v>7.3</v>
      </c>
      <c r="CZ15" s="58">
        <v>1.4</v>
      </c>
      <c r="DA15" s="59">
        <f t="shared" si="19"/>
        <v>4.5600000000000005</v>
      </c>
      <c r="DB15" s="86">
        <v>4</v>
      </c>
      <c r="DC15" s="86">
        <f t="shared" si="20"/>
        <v>56.00000000000005</v>
      </c>
      <c r="DD15" s="98"/>
    </row>
    <row r="16" spans="1:109" ht="17.149999999999999" customHeight="1" x14ac:dyDescent="0.35">
      <c r="A16" s="86" t="s">
        <v>216</v>
      </c>
      <c r="B16" s="86">
        <v>8</v>
      </c>
      <c r="C16" s="58">
        <v>5.0999999999999996</v>
      </c>
      <c r="D16" s="96"/>
      <c r="E16" s="96"/>
      <c r="F16" s="53">
        <v>15.63</v>
      </c>
      <c r="G16" s="58">
        <f t="shared" si="29"/>
        <v>10.530000000000001</v>
      </c>
      <c r="H16" s="97">
        <v>7.3</v>
      </c>
      <c r="I16" s="58">
        <v>1</v>
      </c>
      <c r="J16" s="59">
        <f t="shared" si="30"/>
        <v>2.2300000000000013</v>
      </c>
      <c r="K16" s="86">
        <v>2</v>
      </c>
      <c r="L16" s="86">
        <f t="shared" si="31"/>
        <v>23.000000000000131</v>
      </c>
      <c r="M16" s="87"/>
      <c r="O16" s="86" t="s">
        <v>216</v>
      </c>
      <c r="P16" s="86">
        <v>8</v>
      </c>
      <c r="Q16" s="58">
        <v>4.4000000000000004</v>
      </c>
      <c r="R16" s="96"/>
      <c r="S16" s="96"/>
      <c r="T16" s="53">
        <v>15.63</v>
      </c>
      <c r="U16" s="58">
        <f t="shared" si="32"/>
        <v>11.23</v>
      </c>
      <c r="V16" s="97">
        <v>7.3</v>
      </c>
      <c r="W16" s="58">
        <v>1.4</v>
      </c>
      <c r="X16" s="59">
        <f t="shared" si="33"/>
        <v>2.5300000000000007</v>
      </c>
      <c r="Y16" s="86">
        <v>2</v>
      </c>
      <c r="Z16" s="86">
        <f t="shared" si="34"/>
        <v>53.000000000000071</v>
      </c>
      <c r="AA16" s="87"/>
      <c r="AB16" s="86" t="s">
        <v>216</v>
      </c>
      <c r="AC16" s="86">
        <v>8</v>
      </c>
      <c r="AD16" s="58">
        <v>4.4000000000000004</v>
      </c>
      <c r="AE16" s="96"/>
      <c r="AF16" s="96"/>
      <c r="AG16" s="53">
        <v>15.63</v>
      </c>
      <c r="AH16" s="58">
        <f t="shared" si="6"/>
        <v>11.23</v>
      </c>
      <c r="AI16" s="97">
        <v>7.3</v>
      </c>
      <c r="AJ16" s="58">
        <v>1.4</v>
      </c>
      <c r="AK16" s="59">
        <f t="shared" si="7"/>
        <v>2.5300000000000007</v>
      </c>
      <c r="AL16" s="86">
        <v>2</v>
      </c>
      <c r="AM16" s="86">
        <f t="shared" si="8"/>
        <v>53.000000000000071</v>
      </c>
      <c r="AN16" s="87"/>
      <c r="AP16" s="86" t="s">
        <v>216</v>
      </c>
      <c r="AQ16" s="86">
        <v>8</v>
      </c>
      <c r="AR16" s="58">
        <v>5.0999999999999996</v>
      </c>
      <c r="AS16" s="96"/>
      <c r="AT16" s="96"/>
      <c r="AU16" s="53">
        <v>15.63</v>
      </c>
      <c r="AV16" s="58">
        <f t="shared" si="35"/>
        <v>10.530000000000001</v>
      </c>
      <c r="AW16" s="97">
        <v>7.3</v>
      </c>
      <c r="AX16" s="58">
        <v>1</v>
      </c>
      <c r="AY16" s="59">
        <f t="shared" si="36"/>
        <v>2.2300000000000013</v>
      </c>
      <c r="AZ16" s="86">
        <v>2</v>
      </c>
      <c r="BA16" s="86">
        <f t="shared" si="37"/>
        <v>23.000000000000131</v>
      </c>
      <c r="BB16" s="87"/>
      <c r="BC16" s="86" t="s">
        <v>216</v>
      </c>
      <c r="BD16" s="86">
        <v>8</v>
      </c>
      <c r="BE16" s="58">
        <v>5.0999999999999996</v>
      </c>
      <c r="BF16" s="96"/>
      <c r="BG16" s="96"/>
      <c r="BH16" s="53">
        <v>15.63</v>
      </c>
      <c r="BI16" s="58">
        <f t="shared" si="38"/>
        <v>10.530000000000001</v>
      </c>
      <c r="BJ16" s="97">
        <v>7.3</v>
      </c>
      <c r="BK16" s="58">
        <v>1</v>
      </c>
      <c r="BL16" s="59">
        <f t="shared" si="39"/>
        <v>2.2300000000000013</v>
      </c>
      <c r="BM16" s="86">
        <v>2</v>
      </c>
      <c r="BN16" s="86">
        <f t="shared" si="40"/>
        <v>23.000000000000131</v>
      </c>
      <c r="BO16" s="87"/>
      <c r="BQ16" s="86" t="s">
        <v>216</v>
      </c>
      <c r="BR16" s="86">
        <v>8</v>
      </c>
      <c r="BS16" s="58">
        <v>5.0999999999999996</v>
      </c>
      <c r="BT16" s="96"/>
      <c r="BU16" s="96"/>
      <c r="BV16" s="53">
        <v>15.63</v>
      </c>
      <c r="BW16" s="58">
        <f t="shared" si="41"/>
        <v>10.530000000000001</v>
      </c>
      <c r="BX16" s="97">
        <v>7.3</v>
      </c>
      <c r="BY16" s="58">
        <v>1</v>
      </c>
      <c r="BZ16" s="59">
        <f t="shared" si="42"/>
        <v>2.2300000000000013</v>
      </c>
      <c r="CA16" s="86">
        <v>2</v>
      </c>
      <c r="CB16" s="86">
        <f t="shared" si="43"/>
        <v>23.000000000000131</v>
      </c>
      <c r="CC16" s="87"/>
      <c r="CD16" s="86" t="s">
        <v>216</v>
      </c>
      <c r="CE16" s="86">
        <v>8</v>
      </c>
      <c r="CF16" s="58"/>
      <c r="CG16" s="96"/>
      <c r="CH16" s="96"/>
      <c r="CI16" s="53"/>
      <c r="CJ16" s="58"/>
      <c r="CK16" s="97"/>
      <c r="CL16" s="58"/>
      <c r="CM16" s="59"/>
      <c r="CN16" s="86"/>
      <c r="CO16" s="86"/>
      <c r="CP16" s="87"/>
      <c r="CR16" s="86" t="s">
        <v>216</v>
      </c>
      <c r="CS16" s="86">
        <v>8</v>
      </c>
      <c r="CT16" s="58">
        <v>4.4000000000000004</v>
      </c>
      <c r="CU16" s="96"/>
      <c r="CV16" s="96"/>
      <c r="CW16" s="53">
        <v>15.63</v>
      </c>
      <c r="CX16" s="58">
        <f t="shared" si="18"/>
        <v>11.23</v>
      </c>
      <c r="CY16" s="97">
        <v>7.3</v>
      </c>
      <c r="CZ16" s="58">
        <v>1.4</v>
      </c>
      <c r="DA16" s="59">
        <f t="shared" si="19"/>
        <v>2.5300000000000007</v>
      </c>
      <c r="DB16" s="86">
        <v>2</v>
      </c>
      <c r="DC16" s="86">
        <f t="shared" si="20"/>
        <v>53.000000000000071</v>
      </c>
      <c r="DD16" s="87"/>
    </row>
    <row r="17" spans="1:109" ht="17.149999999999999" customHeight="1" x14ac:dyDescent="0.35">
      <c r="A17" s="86" t="s">
        <v>2</v>
      </c>
      <c r="B17" s="86">
        <v>9</v>
      </c>
      <c r="C17" s="58">
        <v>5.0999999999999996</v>
      </c>
      <c r="D17" s="96"/>
      <c r="E17" s="96"/>
      <c r="F17" s="53">
        <v>15.97</v>
      </c>
      <c r="G17" s="58">
        <f t="shared" si="29"/>
        <v>10.870000000000001</v>
      </c>
      <c r="H17" s="97">
        <v>7.3</v>
      </c>
      <c r="I17" s="58">
        <v>1</v>
      </c>
      <c r="J17" s="59">
        <f t="shared" si="30"/>
        <v>2.5700000000000012</v>
      </c>
      <c r="K17" s="86">
        <v>2</v>
      </c>
      <c r="L17" s="86">
        <f t="shared" si="31"/>
        <v>57.000000000000114</v>
      </c>
      <c r="M17" s="98"/>
      <c r="O17" s="86" t="s">
        <v>2</v>
      </c>
      <c r="P17" s="86">
        <v>9</v>
      </c>
      <c r="Q17" s="58">
        <v>4.4000000000000004</v>
      </c>
      <c r="R17" s="96"/>
      <c r="S17" s="96"/>
      <c r="T17" s="53">
        <v>15.97</v>
      </c>
      <c r="U17" s="58">
        <f t="shared" si="32"/>
        <v>11.57</v>
      </c>
      <c r="V17" s="97">
        <v>7.3</v>
      </c>
      <c r="W17" s="58">
        <v>1</v>
      </c>
      <c r="X17" s="59">
        <f t="shared" si="33"/>
        <v>3.2700000000000005</v>
      </c>
      <c r="Y17" s="86">
        <v>3</v>
      </c>
      <c r="Z17" s="86">
        <f t="shared" si="34"/>
        <v>27.000000000000046</v>
      </c>
      <c r="AA17" s="98"/>
      <c r="AB17" s="86" t="s">
        <v>2</v>
      </c>
      <c r="AC17" s="86">
        <v>9</v>
      </c>
      <c r="AD17" s="58">
        <v>4.4000000000000004</v>
      </c>
      <c r="AE17" s="96"/>
      <c r="AF17" s="96"/>
      <c r="AG17" s="53">
        <v>15.97</v>
      </c>
      <c r="AH17" s="58">
        <f t="shared" si="6"/>
        <v>11.57</v>
      </c>
      <c r="AI17" s="97">
        <v>7.3</v>
      </c>
      <c r="AJ17" s="58">
        <v>1</v>
      </c>
      <c r="AK17" s="59">
        <f t="shared" si="7"/>
        <v>3.2700000000000005</v>
      </c>
      <c r="AL17" s="86">
        <v>3</v>
      </c>
      <c r="AM17" s="86">
        <f t="shared" si="8"/>
        <v>27.000000000000046</v>
      </c>
      <c r="AN17" s="98"/>
      <c r="AP17" s="86" t="s">
        <v>2</v>
      </c>
      <c r="AQ17" s="86">
        <v>9</v>
      </c>
      <c r="AR17" s="58">
        <v>5.0999999999999996</v>
      </c>
      <c r="AS17" s="96"/>
      <c r="AT17" s="96"/>
      <c r="AU17" s="53">
        <v>15.97</v>
      </c>
      <c r="AV17" s="58">
        <f t="shared" si="35"/>
        <v>10.870000000000001</v>
      </c>
      <c r="AW17" s="97">
        <v>7.3</v>
      </c>
      <c r="AX17" s="58">
        <v>1</v>
      </c>
      <c r="AY17" s="59">
        <f t="shared" si="36"/>
        <v>2.5700000000000012</v>
      </c>
      <c r="AZ17" s="86">
        <v>2</v>
      </c>
      <c r="BA17" s="86">
        <f t="shared" si="37"/>
        <v>57.000000000000114</v>
      </c>
      <c r="BB17" s="98"/>
      <c r="BC17" s="86" t="s">
        <v>2</v>
      </c>
      <c r="BD17" s="86">
        <v>9</v>
      </c>
      <c r="BE17" s="58">
        <v>5.0999999999999996</v>
      </c>
      <c r="BF17" s="96"/>
      <c r="BG17" s="96"/>
      <c r="BH17" s="53">
        <v>15.97</v>
      </c>
      <c r="BI17" s="58">
        <f t="shared" si="38"/>
        <v>10.870000000000001</v>
      </c>
      <c r="BJ17" s="97">
        <v>7.3</v>
      </c>
      <c r="BK17" s="58">
        <v>1</v>
      </c>
      <c r="BL17" s="59">
        <f t="shared" si="39"/>
        <v>2.5700000000000012</v>
      </c>
      <c r="BM17" s="86">
        <v>2</v>
      </c>
      <c r="BN17" s="86">
        <f t="shared" si="40"/>
        <v>57.000000000000114</v>
      </c>
      <c r="BO17" s="98"/>
      <c r="BQ17" s="86" t="s">
        <v>2</v>
      </c>
      <c r="BR17" s="86">
        <v>9</v>
      </c>
      <c r="BS17" s="58">
        <v>5.0999999999999996</v>
      </c>
      <c r="BT17" s="96"/>
      <c r="BU17" s="96"/>
      <c r="BV17" s="53">
        <v>15.97</v>
      </c>
      <c r="BW17" s="58">
        <f t="shared" si="41"/>
        <v>10.870000000000001</v>
      </c>
      <c r="BX17" s="97">
        <v>7.3</v>
      </c>
      <c r="BY17" s="58">
        <v>1</v>
      </c>
      <c r="BZ17" s="59">
        <f t="shared" si="42"/>
        <v>2.5700000000000012</v>
      </c>
      <c r="CA17" s="86">
        <v>2</v>
      </c>
      <c r="CB17" s="86">
        <f t="shared" si="43"/>
        <v>57.000000000000114</v>
      </c>
      <c r="CC17" s="98"/>
      <c r="CD17" s="86" t="s">
        <v>2</v>
      </c>
      <c r="CE17" s="86">
        <v>9</v>
      </c>
      <c r="CF17" s="58"/>
      <c r="CG17" s="96"/>
      <c r="CH17" s="96"/>
      <c r="CI17" s="53"/>
      <c r="CJ17" s="58"/>
      <c r="CK17" s="97"/>
      <c r="CL17" s="58"/>
      <c r="CM17" s="59"/>
      <c r="CN17" s="86"/>
      <c r="CO17" s="86"/>
      <c r="CP17" s="98"/>
      <c r="CR17" s="86" t="s">
        <v>2</v>
      </c>
      <c r="CS17" s="86">
        <v>9</v>
      </c>
      <c r="CT17" s="58">
        <v>4.4000000000000004</v>
      </c>
      <c r="CU17" s="96"/>
      <c r="CV17" s="96"/>
      <c r="CW17" s="53">
        <v>15.97</v>
      </c>
      <c r="CX17" s="58">
        <f t="shared" si="18"/>
        <v>11.57</v>
      </c>
      <c r="CY17" s="97">
        <v>7.3</v>
      </c>
      <c r="CZ17" s="58">
        <v>1</v>
      </c>
      <c r="DA17" s="59">
        <f t="shared" si="19"/>
        <v>3.2700000000000005</v>
      </c>
      <c r="DB17" s="86">
        <v>3</v>
      </c>
      <c r="DC17" s="86">
        <f t="shared" si="20"/>
        <v>27.000000000000046</v>
      </c>
      <c r="DD17" s="98"/>
    </row>
    <row r="18" spans="1:109" s="54" customFormat="1" ht="17.149999999999999" customHeight="1" x14ac:dyDescent="0.35">
      <c r="A18" s="86" t="s">
        <v>225</v>
      </c>
      <c r="B18" s="86">
        <v>10</v>
      </c>
      <c r="C18" s="58">
        <v>5.0999999999999996</v>
      </c>
      <c r="D18" s="96"/>
      <c r="E18" s="96"/>
      <c r="F18" s="53">
        <v>15.64</v>
      </c>
      <c r="G18" s="58">
        <f t="shared" si="29"/>
        <v>10.540000000000001</v>
      </c>
      <c r="H18" s="97">
        <v>7.3</v>
      </c>
      <c r="I18" s="58">
        <v>1</v>
      </c>
      <c r="J18" s="59">
        <f t="shared" si="30"/>
        <v>2.2400000000000011</v>
      </c>
      <c r="K18" s="86">
        <v>2</v>
      </c>
      <c r="L18" s="86">
        <f t="shared" si="31"/>
        <v>24.00000000000011</v>
      </c>
      <c r="M18" s="98"/>
      <c r="N18"/>
      <c r="O18" s="86" t="s">
        <v>225</v>
      </c>
      <c r="P18" s="86">
        <v>10</v>
      </c>
      <c r="Q18" s="58">
        <v>4.4000000000000004</v>
      </c>
      <c r="R18" s="96"/>
      <c r="S18" s="96"/>
      <c r="T18" s="53">
        <v>15.64</v>
      </c>
      <c r="U18" s="58">
        <f t="shared" si="32"/>
        <v>11.24</v>
      </c>
      <c r="V18" s="97">
        <v>7.3</v>
      </c>
      <c r="W18" s="58">
        <v>1.4</v>
      </c>
      <c r="X18" s="59">
        <f t="shared" si="33"/>
        <v>2.5400000000000005</v>
      </c>
      <c r="Y18" s="86">
        <v>2</v>
      </c>
      <c r="Z18" s="86">
        <f t="shared" si="34"/>
        <v>54.00000000000005</v>
      </c>
      <c r="AA18" s="98"/>
      <c r="AB18" s="86" t="s">
        <v>225</v>
      </c>
      <c r="AC18" s="86">
        <v>10</v>
      </c>
      <c r="AD18" s="58">
        <v>4.4000000000000004</v>
      </c>
      <c r="AE18" s="96"/>
      <c r="AF18" s="96"/>
      <c r="AG18" s="53">
        <v>15.64</v>
      </c>
      <c r="AH18" s="58">
        <f t="shared" si="6"/>
        <v>11.24</v>
      </c>
      <c r="AI18" s="97">
        <v>7.3</v>
      </c>
      <c r="AJ18" s="58">
        <v>1.4</v>
      </c>
      <c r="AK18" s="59">
        <f t="shared" si="7"/>
        <v>2.5400000000000005</v>
      </c>
      <c r="AL18" s="86">
        <v>2</v>
      </c>
      <c r="AM18" s="86">
        <f t="shared" si="8"/>
        <v>54.00000000000005</v>
      </c>
      <c r="AN18" s="98"/>
      <c r="AO18"/>
      <c r="AP18" s="86" t="s">
        <v>225</v>
      </c>
      <c r="AQ18" s="86">
        <v>10</v>
      </c>
      <c r="AR18" s="58">
        <v>5.0999999999999996</v>
      </c>
      <c r="AS18" s="96"/>
      <c r="AT18" s="96"/>
      <c r="AU18" s="53">
        <v>15.64</v>
      </c>
      <c r="AV18" s="58">
        <f t="shared" si="35"/>
        <v>10.540000000000001</v>
      </c>
      <c r="AW18" s="97">
        <v>7.3</v>
      </c>
      <c r="AX18" s="58">
        <v>1</v>
      </c>
      <c r="AY18" s="59">
        <f t="shared" si="36"/>
        <v>2.2400000000000011</v>
      </c>
      <c r="AZ18" s="86">
        <v>2</v>
      </c>
      <c r="BA18" s="86">
        <f t="shared" si="37"/>
        <v>24.00000000000011</v>
      </c>
      <c r="BB18" s="98"/>
      <c r="BC18" s="86" t="s">
        <v>225</v>
      </c>
      <c r="BD18" s="86">
        <v>10</v>
      </c>
      <c r="BE18" s="58">
        <v>5.0999999999999996</v>
      </c>
      <c r="BF18" s="96"/>
      <c r="BG18" s="96"/>
      <c r="BH18" s="53">
        <v>15.64</v>
      </c>
      <c r="BI18" s="58">
        <f t="shared" si="38"/>
        <v>10.540000000000001</v>
      </c>
      <c r="BJ18" s="97">
        <v>7.3</v>
      </c>
      <c r="BK18" s="58">
        <v>1</v>
      </c>
      <c r="BL18" s="59">
        <f t="shared" si="39"/>
        <v>2.2400000000000011</v>
      </c>
      <c r="BM18" s="86">
        <v>2</v>
      </c>
      <c r="BN18" s="86">
        <f t="shared" si="40"/>
        <v>24.00000000000011</v>
      </c>
      <c r="BO18" s="98"/>
      <c r="BP18"/>
      <c r="BQ18" s="86" t="s">
        <v>225</v>
      </c>
      <c r="BR18" s="86">
        <v>10</v>
      </c>
      <c r="BS18" s="58">
        <v>5.0999999999999996</v>
      </c>
      <c r="BT18" s="96"/>
      <c r="BU18" s="96"/>
      <c r="BV18" s="53">
        <v>15.64</v>
      </c>
      <c r="BW18" s="58">
        <f t="shared" si="41"/>
        <v>10.540000000000001</v>
      </c>
      <c r="BX18" s="97">
        <v>7.3</v>
      </c>
      <c r="BY18" s="58">
        <v>1</v>
      </c>
      <c r="BZ18" s="59">
        <f t="shared" si="42"/>
        <v>2.2400000000000011</v>
      </c>
      <c r="CA18" s="86">
        <v>2</v>
      </c>
      <c r="CB18" s="86">
        <f t="shared" si="43"/>
        <v>24.00000000000011</v>
      </c>
      <c r="CC18" s="98"/>
      <c r="CD18" s="86" t="s">
        <v>225</v>
      </c>
      <c r="CE18" s="86">
        <v>10</v>
      </c>
      <c r="CF18" s="58"/>
      <c r="CG18" s="96"/>
      <c r="CH18" s="96"/>
      <c r="CI18" s="53"/>
      <c r="CJ18" s="58"/>
      <c r="CK18" s="97"/>
      <c r="CL18" s="58"/>
      <c r="CM18" s="59"/>
      <c r="CN18" s="86"/>
      <c r="CO18" s="86"/>
      <c r="CP18" s="98"/>
      <c r="CQ18"/>
      <c r="CR18" s="86" t="s">
        <v>225</v>
      </c>
      <c r="CS18" s="86">
        <v>10</v>
      </c>
      <c r="CT18" s="58">
        <v>4.4000000000000004</v>
      </c>
      <c r="CU18" s="96"/>
      <c r="CV18" s="96"/>
      <c r="CW18" s="53">
        <v>15.64</v>
      </c>
      <c r="CX18" s="58">
        <f t="shared" si="18"/>
        <v>11.24</v>
      </c>
      <c r="CY18" s="97">
        <v>7.3</v>
      </c>
      <c r="CZ18" s="58">
        <v>1.4</v>
      </c>
      <c r="DA18" s="59">
        <f t="shared" si="19"/>
        <v>2.5400000000000005</v>
      </c>
      <c r="DB18" s="86">
        <v>2</v>
      </c>
      <c r="DC18" s="86">
        <f t="shared" si="20"/>
        <v>54.00000000000005</v>
      </c>
      <c r="DD18" s="98"/>
      <c r="DE18"/>
    </row>
    <row r="19" spans="1:109" ht="17.149999999999999" customHeight="1" x14ac:dyDescent="0.35">
      <c r="A19" s="86" t="s">
        <v>4</v>
      </c>
      <c r="B19" s="86">
        <v>11</v>
      </c>
      <c r="C19" s="58">
        <v>5.0999999999999996</v>
      </c>
      <c r="D19" s="96"/>
      <c r="E19" s="96"/>
      <c r="F19" s="53">
        <v>15.69</v>
      </c>
      <c r="G19" s="58">
        <f t="shared" si="29"/>
        <v>10.59</v>
      </c>
      <c r="H19" s="97">
        <v>7.3</v>
      </c>
      <c r="I19" s="58">
        <v>1</v>
      </c>
      <c r="J19" s="59">
        <f t="shared" si="30"/>
        <v>2.29</v>
      </c>
      <c r="K19" s="86">
        <v>2</v>
      </c>
      <c r="L19" s="86">
        <f t="shared" si="31"/>
        <v>29.000000000000004</v>
      </c>
      <c r="M19" s="98"/>
      <c r="O19" s="86" t="s">
        <v>4</v>
      </c>
      <c r="P19" s="86">
        <v>11</v>
      </c>
      <c r="Q19" s="58">
        <v>4.4000000000000004</v>
      </c>
      <c r="R19" s="96"/>
      <c r="S19" s="96"/>
      <c r="T19" s="53">
        <v>15.69</v>
      </c>
      <c r="U19" s="58">
        <f t="shared" si="32"/>
        <v>11.29</v>
      </c>
      <c r="V19" s="97">
        <v>7.3</v>
      </c>
      <c r="W19" s="58">
        <v>1.4</v>
      </c>
      <c r="X19" s="59">
        <f t="shared" si="33"/>
        <v>2.5899999999999994</v>
      </c>
      <c r="Y19" s="86">
        <v>2</v>
      </c>
      <c r="Z19" s="86">
        <f t="shared" si="34"/>
        <v>58.999999999999943</v>
      </c>
      <c r="AA19" s="98"/>
      <c r="AB19" s="86" t="s">
        <v>4</v>
      </c>
      <c r="AC19" s="86">
        <v>11</v>
      </c>
      <c r="AD19" s="58">
        <v>4.4000000000000004</v>
      </c>
      <c r="AE19" s="96"/>
      <c r="AF19" s="96"/>
      <c r="AG19" s="53">
        <v>15.69</v>
      </c>
      <c r="AH19" s="58">
        <f t="shared" si="6"/>
        <v>11.29</v>
      </c>
      <c r="AI19" s="97">
        <v>7.3</v>
      </c>
      <c r="AJ19" s="58">
        <v>1.4</v>
      </c>
      <c r="AK19" s="59">
        <f t="shared" si="7"/>
        <v>2.5899999999999994</v>
      </c>
      <c r="AL19" s="86">
        <v>2</v>
      </c>
      <c r="AM19" s="86">
        <f t="shared" si="8"/>
        <v>58.999999999999943</v>
      </c>
      <c r="AN19" s="98"/>
      <c r="AP19" s="86" t="s">
        <v>4</v>
      </c>
      <c r="AQ19" s="86">
        <v>11</v>
      </c>
      <c r="AR19" s="58">
        <v>5.0999999999999996</v>
      </c>
      <c r="AS19" s="96"/>
      <c r="AT19" s="96"/>
      <c r="AU19" s="53">
        <v>15.69</v>
      </c>
      <c r="AV19" s="58">
        <f t="shared" si="35"/>
        <v>10.59</v>
      </c>
      <c r="AW19" s="97">
        <v>7.3</v>
      </c>
      <c r="AX19" s="58">
        <v>1</v>
      </c>
      <c r="AY19" s="59">
        <f t="shared" si="36"/>
        <v>2.29</v>
      </c>
      <c r="AZ19" s="86">
        <v>2</v>
      </c>
      <c r="BA19" s="86">
        <f t="shared" si="37"/>
        <v>29.000000000000004</v>
      </c>
      <c r="BB19" s="98"/>
      <c r="BC19" s="86" t="s">
        <v>4</v>
      </c>
      <c r="BD19" s="86">
        <v>11</v>
      </c>
      <c r="BE19" s="58">
        <v>5.0999999999999996</v>
      </c>
      <c r="BF19" s="96"/>
      <c r="BG19" s="96"/>
      <c r="BH19" s="53">
        <v>15.69</v>
      </c>
      <c r="BI19" s="58">
        <f t="shared" si="38"/>
        <v>10.59</v>
      </c>
      <c r="BJ19" s="97">
        <v>7.3</v>
      </c>
      <c r="BK19" s="58">
        <v>1</v>
      </c>
      <c r="BL19" s="59">
        <f t="shared" si="39"/>
        <v>2.29</v>
      </c>
      <c r="BM19" s="86">
        <v>2</v>
      </c>
      <c r="BN19" s="86">
        <f t="shared" si="40"/>
        <v>29.000000000000004</v>
      </c>
      <c r="BO19" s="98"/>
      <c r="BQ19" s="86" t="s">
        <v>4</v>
      </c>
      <c r="BR19" s="86">
        <v>11</v>
      </c>
      <c r="BS19" s="58">
        <v>5.0999999999999996</v>
      </c>
      <c r="BT19" s="96"/>
      <c r="BU19" s="96"/>
      <c r="BV19" s="53">
        <v>15.69</v>
      </c>
      <c r="BW19" s="58">
        <f t="shared" si="41"/>
        <v>10.59</v>
      </c>
      <c r="BX19" s="97">
        <v>7.3</v>
      </c>
      <c r="BY19" s="58">
        <v>1</v>
      </c>
      <c r="BZ19" s="59">
        <f t="shared" si="42"/>
        <v>2.29</v>
      </c>
      <c r="CA19" s="86">
        <v>2</v>
      </c>
      <c r="CB19" s="86">
        <f t="shared" si="43"/>
        <v>29.000000000000004</v>
      </c>
      <c r="CC19" s="98"/>
      <c r="CD19" s="86" t="s">
        <v>4</v>
      </c>
      <c r="CE19" s="86">
        <v>11</v>
      </c>
      <c r="CF19" s="58"/>
      <c r="CG19" s="96"/>
      <c r="CH19" s="96"/>
      <c r="CI19" s="53"/>
      <c r="CJ19" s="58"/>
      <c r="CK19" s="97"/>
      <c r="CL19" s="58"/>
      <c r="CM19" s="59"/>
      <c r="CN19" s="86"/>
      <c r="CO19" s="86"/>
      <c r="CP19" s="98"/>
      <c r="CR19" s="86" t="s">
        <v>4</v>
      </c>
      <c r="CS19" s="86">
        <v>11</v>
      </c>
      <c r="CT19" s="58">
        <v>4.4000000000000004</v>
      </c>
      <c r="CU19" s="96"/>
      <c r="CV19" s="96"/>
      <c r="CW19" s="53">
        <v>15.69</v>
      </c>
      <c r="CX19" s="58">
        <f t="shared" si="18"/>
        <v>11.29</v>
      </c>
      <c r="CY19" s="97">
        <v>7.3</v>
      </c>
      <c r="CZ19" s="58">
        <v>1.4</v>
      </c>
      <c r="DA19" s="59">
        <f t="shared" si="19"/>
        <v>2.5899999999999994</v>
      </c>
      <c r="DB19" s="86">
        <v>2</v>
      </c>
      <c r="DC19" s="86">
        <f t="shared" si="20"/>
        <v>58.999999999999943</v>
      </c>
      <c r="DD19" s="98"/>
    </row>
    <row r="20" spans="1:109" ht="17.149999999999999" customHeight="1" x14ac:dyDescent="0.35">
      <c r="A20" s="86" t="s">
        <v>5</v>
      </c>
      <c r="B20" s="86">
        <v>12</v>
      </c>
      <c r="C20" s="58">
        <v>5.0999999999999996</v>
      </c>
      <c r="D20" s="96"/>
      <c r="E20" s="96"/>
      <c r="F20" s="53">
        <v>15.93</v>
      </c>
      <c r="G20" s="58">
        <f t="shared" si="29"/>
        <v>10.83</v>
      </c>
      <c r="H20" s="97">
        <v>7.3</v>
      </c>
      <c r="I20" s="58">
        <v>1</v>
      </c>
      <c r="J20" s="59">
        <f t="shared" si="30"/>
        <v>2.5300000000000002</v>
      </c>
      <c r="K20" s="86">
        <v>2</v>
      </c>
      <c r="L20" s="86">
        <f t="shared" si="31"/>
        <v>53.000000000000028</v>
      </c>
      <c r="M20" s="98"/>
      <c r="O20" s="86" t="s">
        <v>5</v>
      </c>
      <c r="P20" s="86">
        <v>12</v>
      </c>
      <c r="Q20" s="58">
        <v>4.4000000000000004</v>
      </c>
      <c r="R20" s="96"/>
      <c r="S20" s="96"/>
      <c r="T20" s="53">
        <v>15.93</v>
      </c>
      <c r="U20" s="58">
        <f t="shared" si="32"/>
        <v>11.53</v>
      </c>
      <c r="V20" s="97">
        <v>7.3</v>
      </c>
      <c r="W20" s="58">
        <v>1</v>
      </c>
      <c r="X20" s="59">
        <f t="shared" si="33"/>
        <v>3.2299999999999995</v>
      </c>
      <c r="Y20" s="86">
        <v>3</v>
      </c>
      <c r="Z20" s="86">
        <f t="shared" si="34"/>
        <v>22.999999999999954</v>
      </c>
      <c r="AA20" s="98"/>
      <c r="AB20" s="86" t="s">
        <v>5</v>
      </c>
      <c r="AC20" s="86">
        <v>12</v>
      </c>
      <c r="AD20" s="58">
        <v>4.4000000000000004</v>
      </c>
      <c r="AE20" s="96"/>
      <c r="AF20" s="96"/>
      <c r="AG20" s="53">
        <v>15.93</v>
      </c>
      <c r="AH20" s="58">
        <f t="shared" si="6"/>
        <v>11.53</v>
      </c>
      <c r="AI20" s="97">
        <v>7.3</v>
      </c>
      <c r="AJ20" s="58">
        <v>1</v>
      </c>
      <c r="AK20" s="59">
        <f t="shared" si="7"/>
        <v>3.2299999999999995</v>
      </c>
      <c r="AL20" s="86">
        <v>3</v>
      </c>
      <c r="AM20" s="86">
        <f t="shared" si="8"/>
        <v>22.999999999999954</v>
      </c>
      <c r="AN20" s="98"/>
      <c r="AP20" s="86" t="s">
        <v>5</v>
      </c>
      <c r="AQ20" s="86">
        <v>12</v>
      </c>
      <c r="AR20" s="58">
        <v>5.0999999999999996</v>
      </c>
      <c r="AS20" s="96"/>
      <c r="AT20" s="96"/>
      <c r="AU20" s="53">
        <v>15.93</v>
      </c>
      <c r="AV20" s="58">
        <f t="shared" si="35"/>
        <v>10.83</v>
      </c>
      <c r="AW20" s="97">
        <v>7.3</v>
      </c>
      <c r="AX20" s="58">
        <v>1</v>
      </c>
      <c r="AY20" s="59">
        <f t="shared" si="36"/>
        <v>2.5300000000000002</v>
      </c>
      <c r="AZ20" s="86">
        <v>2</v>
      </c>
      <c r="BA20" s="86">
        <f t="shared" si="37"/>
        <v>53.000000000000028</v>
      </c>
      <c r="BB20" s="98"/>
      <c r="BC20" s="86" t="s">
        <v>5</v>
      </c>
      <c r="BD20" s="86">
        <v>12</v>
      </c>
      <c r="BE20" s="58">
        <v>5.0999999999999996</v>
      </c>
      <c r="BF20" s="96"/>
      <c r="BG20" s="96"/>
      <c r="BH20" s="53">
        <v>15.93</v>
      </c>
      <c r="BI20" s="58">
        <f t="shared" si="38"/>
        <v>10.83</v>
      </c>
      <c r="BJ20" s="97">
        <v>7.3</v>
      </c>
      <c r="BK20" s="58">
        <v>1</v>
      </c>
      <c r="BL20" s="59">
        <f t="shared" si="39"/>
        <v>2.5300000000000002</v>
      </c>
      <c r="BM20" s="86">
        <v>2</v>
      </c>
      <c r="BN20" s="86">
        <f t="shared" si="40"/>
        <v>53.000000000000028</v>
      </c>
      <c r="BO20" s="98"/>
      <c r="BQ20" s="86" t="s">
        <v>5</v>
      </c>
      <c r="BR20" s="86">
        <v>12</v>
      </c>
      <c r="BS20" s="58">
        <v>5.0999999999999996</v>
      </c>
      <c r="BT20" s="96"/>
      <c r="BU20" s="96"/>
      <c r="BV20" s="53">
        <v>15.93</v>
      </c>
      <c r="BW20" s="58">
        <f>SUM(BT20-BS20)+(BV20-BU20)</f>
        <v>10.83</v>
      </c>
      <c r="BX20" s="97">
        <v>7.3</v>
      </c>
      <c r="BY20" s="58">
        <v>1</v>
      </c>
      <c r="BZ20" s="59">
        <f>SUM((BW20-BX20)-BY20)</f>
        <v>2.5300000000000002</v>
      </c>
      <c r="CA20" s="86">
        <v>2</v>
      </c>
      <c r="CB20" s="86">
        <f t="shared" si="43"/>
        <v>53.000000000000028</v>
      </c>
      <c r="CC20" s="98"/>
      <c r="CD20" s="86" t="s">
        <v>5</v>
      </c>
      <c r="CE20" s="86">
        <v>12</v>
      </c>
      <c r="CF20" s="58"/>
      <c r="CG20" s="96"/>
      <c r="CH20" s="96"/>
      <c r="CI20" s="53"/>
      <c r="CJ20" s="58"/>
      <c r="CK20" s="97"/>
      <c r="CL20" s="58"/>
      <c r="CM20" s="59"/>
      <c r="CN20" s="86"/>
      <c r="CO20" s="86"/>
      <c r="CP20" s="98"/>
      <c r="CR20" s="86" t="s">
        <v>5</v>
      </c>
      <c r="CS20" s="86">
        <v>12</v>
      </c>
      <c r="CT20" s="58">
        <v>4.4000000000000004</v>
      </c>
      <c r="CU20" s="96"/>
      <c r="CV20" s="96"/>
      <c r="CW20" s="53">
        <v>15.93</v>
      </c>
      <c r="CX20" s="58">
        <f t="shared" si="18"/>
        <v>11.53</v>
      </c>
      <c r="CY20" s="97">
        <v>7.3</v>
      </c>
      <c r="CZ20" s="58">
        <v>1</v>
      </c>
      <c r="DA20" s="59">
        <f t="shared" si="19"/>
        <v>3.2299999999999995</v>
      </c>
      <c r="DB20" s="86">
        <v>3</v>
      </c>
      <c r="DC20" s="86">
        <f t="shared" si="20"/>
        <v>22.999999999999954</v>
      </c>
      <c r="DD20" s="98"/>
    </row>
    <row r="21" spans="1:109" ht="17.149999999999999" customHeight="1" x14ac:dyDescent="0.35">
      <c r="A21" s="55" t="s">
        <v>6</v>
      </c>
      <c r="B21" s="55">
        <v>13</v>
      </c>
      <c r="C21" s="136"/>
      <c r="D21" s="52"/>
      <c r="E21" s="52"/>
      <c r="F21" s="52"/>
      <c r="G21" s="52">
        <f t="shared" si="29"/>
        <v>0</v>
      </c>
      <c r="H21" s="56"/>
      <c r="I21" s="52"/>
      <c r="J21" s="57">
        <f t="shared" si="30"/>
        <v>0</v>
      </c>
      <c r="K21" s="55">
        <v>0</v>
      </c>
      <c r="L21" s="55">
        <f t="shared" si="31"/>
        <v>0</v>
      </c>
      <c r="M21" s="137"/>
      <c r="O21" s="55" t="s">
        <v>6</v>
      </c>
      <c r="P21" s="55">
        <v>13</v>
      </c>
      <c r="Q21" s="136"/>
      <c r="R21" s="52"/>
      <c r="S21" s="52">
        <v>9</v>
      </c>
      <c r="T21" s="52">
        <v>11.31</v>
      </c>
      <c r="U21" s="52">
        <f t="shared" si="32"/>
        <v>2.3100000000000005</v>
      </c>
      <c r="V21" s="56"/>
      <c r="W21" s="52"/>
      <c r="X21" s="57">
        <f t="shared" si="33"/>
        <v>2.3100000000000005</v>
      </c>
      <c r="Y21" s="55">
        <v>2</v>
      </c>
      <c r="Z21" s="55">
        <f t="shared" si="34"/>
        <v>31.00000000000005</v>
      </c>
      <c r="AA21" s="137"/>
      <c r="AB21" s="55" t="s">
        <v>6</v>
      </c>
      <c r="AC21" s="55">
        <v>13</v>
      </c>
      <c r="AD21" s="136"/>
      <c r="AE21" s="52"/>
      <c r="AF21" s="52"/>
      <c r="AG21" s="52"/>
      <c r="AH21" s="52">
        <f t="shared" si="6"/>
        <v>0</v>
      </c>
      <c r="AI21" s="56"/>
      <c r="AJ21" s="52"/>
      <c r="AK21" s="57">
        <f t="shared" si="7"/>
        <v>0</v>
      </c>
      <c r="AL21" s="55">
        <v>0</v>
      </c>
      <c r="AM21" s="55">
        <f t="shared" si="8"/>
        <v>0</v>
      </c>
      <c r="AN21" s="137"/>
      <c r="AP21" s="55" t="s">
        <v>6</v>
      </c>
      <c r="AQ21" s="55">
        <v>13</v>
      </c>
      <c r="AR21" s="136"/>
      <c r="AS21" s="52"/>
      <c r="AT21" s="52"/>
      <c r="AU21" s="52"/>
      <c r="AV21" s="52">
        <f t="shared" si="35"/>
        <v>0</v>
      </c>
      <c r="AW21" s="56"/>
      <c r="AX21" s="52"/>
      <c r="AY21" s="57">
        <f t="shared" si="36"/>
        <v>0</v>
      </c>
      <c r="AZ21" s="55">
        <v>0</v>
      </c>
      <c r="BA21" s="55">
        <f t="shared" si="37"/>
        <v>0</v>
      </c>
      <c r="BB21" s="137"/>
      <c r="BC21" s="55" t="s">
        <v>6</v>
      </c>
      <c r="BD21" s="55">
        <v>13</v>
      </c>
      <c r="BE21" s="136"/>
      <c r="BF21" s="52"/>
      <c r="BG21" s="52"/>
      <c r="BH21" s="52"/>
      <c r="BI21" s="52">
        <f t="shared" si="38"/>
        <v>0</v>
      </c>
      <c r="BJ21" s="56"/>
      <c r="BK21" s="52"/>
      <c r="BL21" s="57">
        <f t="shared" si="39"/>
        <v>0</v>
      </c>
      <c r="BM21" s="55">
        <v>0</v>
      </c>
      <c r="BN21" s="55">
        <f t="shared" si="40"/>
        <v>0</v>
      </c>
      <c r="BO21" s="137"/>
      <c r="BQ21" s="55" t="s">
        <v>6</v>
      </c>
      <c r="BR21" s="55">
        <v>13</v>
      </c>
      <c r="BS21" s="136"/>
      <c r="BT21" s="52"/>
      <c r="BU21" s="52">
        <v>9.1</v>
      </c>
      <c r="BV21" s="52">
        <v>11.31</v>
      </c>
      <c r="BW21" s="52">
        <f t="shared" ref="BW21" si="44">SUM(BT21-BS21)+(BV21-BU21)</f>
        <v>2.2100000000000009</v>
      </c>
      <c r="BX21" s="56"/>
      <c r="BY21" s="52"/>
      <c r="BZ21" s="57">
        <f t="shared" ref="BZ21" si="45">SUM((BW21-BX21)-BY21)</f>
        <v>2.2100000000000009</v>
      </c>
      <c r="CA21" s="55">
        <v>2</v>
      </c>
      <c r="CB21" s="55">
        <f t="shared" si="43"/>
        <v>21.000000000000085</v>
      </c>
      <c r="CC21" s="137"/>
      <c r="CD21" s="55" t="s">
        <v>6</v>
      </c>
      <c r="CE21" s="55">
        <v>13</v>
      </c>
      <c r="CF21" s="136"/>
      <c r="CG21" s="52"/>
      <c r="CH21" s="52"/>
      <c r="CI21" s="52"/>
      <c r="CJ21" s="52"/>
      <c r="CK21" s="56"/>
      <c r="CL21" s="52"/>
      <c r="CM21" s="57"/>
      <c r="CN21" s="55"/>
      <c r="CO21" s="55"/>
      <c r="CP21" s="137"/>
      <c r="CR21" s="55" t="s">
        <v>6</v>
      </c>
      <c r="CS21" s="55">
        <v>13</v>
      </c>
      <c r="CT21" s="136"/>
      <c r="CU21" s="52"/>
      <c r="CV21" s="52"/>
      <c r="CW21" s="52"/>
      <c r="CX21" s="52">
        <f t="shared" si="18"/>
        <v>0</v>
      </c>
      <c r="CY21" s="56"/>
      <c r="CZ21" s="52"/>
      <c r="DA21" s="57">
        <f t="shared" si="19"/>
        <v>0</v>
      </c>
      <c r="DB21" s="55">
        <v>0</v>
      </c>
      <c r="DC21" s="55">
        <f t="shared" si="20"/>
        <v>0</v>
      </c>
      <c r="DD21" s="137"/>
    </row>
    <row r="22" spans="1:109" ht="17.149999999999999" customHeight="1" x14ac:dyDescent="0.35">
      <c r="A22" s="86" t="s">
        <v>1</v>
      </c>
      <c r="B22" s="94">
        <v>14</v>
      </c>
      <c r="C22" s="58">
        <v>5.0999999999999996</v>
      </c>
      <c r="D22" s="96"/>
      <c r="E22" s="96"/>
      <c r="F22" s="53">
        <v>15.7</v>
      </c>
      <c r="G22" s="58">
        <f t="shared" ref="G22:G28" si="46">SUM(D22-C22)+(F22-E22)</f>
        <v>10.6</v>
      </c>
      <c r="H22" s="97">
        <v>7.3</v>
      </c>
      <c r="I22" s="58">
        <v>1</v>
      </c>
      <c r="J22" s="59">
        <f t="shared" ref="J22:J28" si="47">SUM((G22-H22)-I22)</f>
        <v>2.2999999999999998</v>
      </c>
      <c r="K22" s="86">
        <v>2</v>
      </c>
      <c r="L22" s="86">
        <f t="shared" ref="L22:L28" si="48">SUM(J22-K22)*100</f>
        <v>29.999999999999982</v>
      </c>
      <c r="M22" s="98"/>
      <c r="O22" s="86" t="s">
        <v>1</v>
      </c>
      <c r="P22" s="94">
        <v>14</v>
      </c>
      <c r="Q22" s="58">
        <v>4.4000000000000004</v>
      </c>
      <c r="R22" s="96"/>
      <c r="S22" s="96"/>
      <c r="T22" s="53">
        <v>15.7</v>
      </c>
      <c r="U22" s="58">
        <f t="shared" ref="U22:U28" si="49">SUM(R22-Q22)+(T22-S22)</f>
        <v>11.299999999999999</v>
      </c>
      <c r="V22" s="97">
        <v>7.3</v>
      </c>
      <c r="W22" s="58">
        <v>1.4</v>
      </c>
      <c r="X22" s="59">
        <f t="shared" ref="X22:X28" si="50">SUM((U22-V22)-W22)</f>
        <v>2.5999999999999992</v>
      </c>
      <c r="Y22" s="86">
        <v>2</v>
      </c>
      <c r="Z22" s="86">
        <f t="shared" ref="Z22:Z28" si="51">SUM(X22-Y22)*100</f>
        <v>59.999999999999922</v>
      </c>
      <c r="AA22" s="98"/>
      <c r="AB22" s="86" t="s">
        <v>1</v>
      </c>
      <c r="AC22" s="94">
        <v>14</v>
      </c>
      <c r="AD22" s="58">
        <v>4.4000000000000004</v>
      </c>
      <c r="AE22" s="96"/>
      <c r="AF22" s="96"/>
      <c r="AG22" s="53">
        <v>15.7</v>
      </c>
      <c r="AH22" s="58">
        <f t="shared" si="6"/>
        <v>11.299999999999999</v>
      </c>
      <c r="AI22" s="97">
        <v>7.3</v>
      </c>
      <c r="AJ22" s="58">
        <v>1.4</v>
      </c>
      <c r="AK22" s="59">
        <f t="shared" si="7"/>
        <v>2.5999999999999992</v>
      </c>
      <c r="AL22" s="86">
        <v>2</v>
      </c>
      <c r="AM22" s="86">
        <f t="shared" si="8"/>
        <v>59.999999999999922</v>
      </c>
      <c r="AN22" s="98"/>
      <c r="AP22" s="86" t="s">
        <v>1</v>
      </c>
      <c r="AQ22" s="94">
        <v>14</v>
      </c>
      <c r="AR22" s="58">
        <v>5.0999999999999996</v>
      </c>
      <c r="AS22" s="96"/>
      <c r="AT22" s="96"/>
      <c r="AU22" s="53">
        <v>15.7</v>
      </c>
      <c r="AV22" s="58">
        <f t="shared" ref="AV22:AV28" si="52">SUM(AS22-AR22)+(AU22-AT22)</f>
        <v>10.6</v>
      </c>
      <c r="AW22" s="97">
        <v>7.3</v>
      </c>
      <c r="AX22" s="58">
        <v>1</v>
      </c>
      <c r="AY22" s="59">
        <f t="shared" ref="AY22:AY28" si="53">SUM((AV22-AW22)-AX22)</f>
        <v>2.2999999999999998</v>
      </c>
      <c r="AZ22" s="86">
        <v>2</v>
      </c>
      <c r="BA22" s="86">
        <f t="shared" ref="BA22:BA28" si="54">SUM(AY22-AZ22)*100</f>
        <v>29.999999999999982</v>
      </c>
      <c r="BB22" s="98"/>
      <c r="BC22" s="86" t="s">
        <v>1</v>
      </c>
      <c r="BD22" s="94">
        <v>14</v>
      </c>
      <c r="BE22" s="58">
        <v>5.0999999999999996</v>
      </c>
      <c r="BF22" s="96"/>
      <c r="BG22" s="96"/>
      <c r="BH22" s="53">
        <v>15.7</v>
      </c>
      <c r="BI22" s="58">
        <f t="shared" ref="BI22:BI28" si="55">SUM(BF22-BE22)+(BH22-BG22)</f>
        <v>10.6</v>
      </c>
      <c r="BJ22" s="97">
        <v>7.3</v>
      </c>
      <c r="BK22" s="58">
        <v>1</v>
      </c>
      <c r="BL22" s="59">
        <f t="shared" ref="BL22:BL28" si="56">SUM((BI22-BJ22)-BK22)</f>
        <v>2.2999999999999998</v>
      </c>
      <c r="BM22" s="86">
        <v>2</v>
      </c>
      <c r="BN22" s="86">
        <f t="shared" ref="BN22:BN28" si="57">SUM(BL22-BM22)*100</f>
        <v>29.999999999999982</v>
      </c>
      <c r="BO22" s="98"/>
      <c r="BQ22" s="86" t="s">
        <v>1</v>
      </c>
      <c r="BR22" s="94">
        <v>14</v>
      </c>
      <c r="BS22" s="58">
        <v>5.0999999999999996</v>
      </c>
      <c r="BT22" s="96"/>
      <c r="BU22" s="96"/>
      <c r="BV22" s="53">
        <v>15.7</v>
      </c>
      <c r="BW22" s="58">
        <f t="shared" ref="BW22:BW28" si="58">SUM(BT22-BS22)+(BV22-BU22)</f>
        <v>10.6</v>
      </c>
      <c r="BX22" s="97">
        <v>7.3</v>
      </c>
      <c r="BY22" s="58">
        <v>1</v>
      </c>
      <c r="BZ22" s="59">
        <f t="shared" ref="BZ22:BZ28" si="59">SUM((BW22-BX22)-BY22)</f>
        <v>2.2999999999999998</v>
      </c>
      <c r="CA22" s="86">
        <v>2</v>
      </c>
      <c r="CB22" s="86">
        <f t="shared" ref="CB22:CB28" si="60">SUM(BZ22-CA22)*100</f>
        <v>29.999999999999982</v>
      </c>
      <c r="CC22" s="98"/>
      <c r="CD22" s="86" t="s">
        <v>1</v>
      </c>
      <c r="CE22" s="94">
        <v>14</v>
      </c>
      <c r="CF22" s="58"/>
      <c r="CG22" s="96"/>
      <c r="CH22" s="96"/>
      <c r="CI22" s="53"/>
      <c r="CJ22" s="58"/>
      <c r="CK22" s="97"/>
      <c r="CL22" s="58"/>
      <c r="CM22" s="59"/>
      <c r="CN22" s="86"/>
      <c r="CO22" s="86"/>
      <c r="CP22" s="98"/>
      <c r="CR22" s="86" t="s">
        <v>1</v>
      </c>
      <c r="CS22" s="94">
        <v>14</v>
      </c>
      <c r="CT22" s="58">
        <v>4.4000000000000004</v>
      </c>
      <c r="CU22" s="96"/>
      <c r="CV22" s="96"/>
      <c r="CW22" s="53">
        <v>15.7</v>
      </c>
      <c r="CX22" s="58">
        <f t="shared" si="18"/>
        <v>11.299999999999999</v>
      </c>
      <c r="CY22" s="97">
        <v>7.3</v>
      </c>
      <c r="CZ22" s="58">
        <v>1.4</v>
      </c>
      <c r="DA22" s="59">
        <f t="shared" si="19"/>
        <v>2.5999999999999992</v>
      </c>
      <c r="DB22" s="86">
        <v>2</v>
      </c>
      <c r="DC22" s="86">
        <f t="shared" si="20"/>
        <v>59.999999999999922</v>
      </c>
      <c r="DD22" s="98"/>
    </row>
    <row r="23" spans="1:109" ht="15.5" x14ac:dyDescent="0.35">
      <c r="A23" s="86" t="s">
        <v>216</v>
      </c>
      <c r="B23" s="94">
        <v>15</v>
      </c>
      <c r="C23" s="58">
        <v>5.0999999999999996</v>
      </c>
      <c r="D23" s="96"/>
      <c r="E23" s="96"/>
      <c r="F23" s="53">
        <v>15.66</v>
      </c>
      <c r="G23" s="58">
        <f t="shared" si="46"/>
        <v>10.56</v>
      </c>
      <c r="H23" s="97">
        <v>7.3</v>
      </c>
      <c r="I23" s="58">
        <v>1</v>
      </c>
      <c r="J23" s="59">
        <f t="shared" si="47"/>
        <v>2.2600000000000007</v>
      </c>
      <c r="K23" s="86">
        <v>2</v>
      </c>
      <c r="L23" s="86">
        <f t="shared" si="48"/>
        <v>26.000000000000068</v>
      </c>
      <c r="M23" s="103"/>
      <c r="O23" s="86" t="s">
        <v>216</v>
      </c>
      <c r="P23" s="94">
        <v>15</v>
      </c>
      <c r="Q23" s="58">
        <v>4.4000000000000004</v>
      </c>
      <c r="R23" s="96"/>
      <c r="S23" s="96"/>
      <c r="T23" s="53">
        <v>15.66</v>
      </c>
      <c r="U23" s="58">
        <f t="shared" si="49"/>
        <v>11.26</v>
      </c>
      <c r="V23" s="97">
        <v>7.3</v>
      </c>
      <c r="W23" s="58">
        <v>1.4</v>
      </c>
      <c r="X23" s="59">
        <f t="shared" si="50"/>
        <v>2.56</v>
      </c>
      <c r="Y23" s="86">
        <v>2</v>
      </c>
      <c r="Z23" s="86">
        <f t="shared" si="51"/>
        <v>56.000000000000007</v>
      </c>
      <c r="AA23" s="103"/>
      <c r="AB23" s="86" t="s">
        <v>216</v>
      </c>
      <c r="AC23" s="94">
        <v>15</v>
      </c>
      <c r="AD23" s="58">
        <v>4.4000000000000004</v>
      </c>
      <c r="AE23" s="96"/>
      <c r="AF23" s="96"/>
      <c r="AG23" s="53">
        <v>15.66</v>
      </c>
      <c r="AH23" s="58">
        <f t="shared" si="6"/>
        <v>11.26</v>
      </c>
      <c r="AI23" s="97">
        <v>7.3</v>
      </c>
      <c r="AJ23" s="58">
        <v>1.4</v>
      </c>
      <c r="AK23" s="59">
        <f t="shared" si="7"/>
        <v>2.56</v>
      </c>
      <c r="AL23" s="86">
        <v>2</v>
      </c>
      <c r="AM23" s="86">
        <f t="shared" si="8"/>
        <v>56.000000000000007</v>
      </c>
      <c r="AN23" s="103"/>
      <c r="AP23" s="86" t="s">
        <v>216</v>
      </c>
      <c r="AQ23" s="94">
        <v>15</v>
      </c>
      <c r="AR23" s="58">
        <v>5.0999999999999996</v>
      </c>
      <c r="AS23" s="96"/>
      <c r="AT23" s="96"/>
      <c r="AU23" s="53">
        <v>15.66</v>
      </c>
      <c r="AV23" s="58">
        <f t="shared" si="52"/>
        <v>10.56</v>
      </c>
      <c r="AW23" s="97">
        <v>7.3</v>
      </c>
      <c r="AX23" s="58">
        <v>1</v>
      </c>
      <c r="AY23" s="59">
        <f t="shared" si="53"/>
        <v>2.2600000000000007</v>
      </c>
      <c r="AZ23" s="86">
        <v>2</v>
      </c>
      <c r="BA23" s="86">
        <f t="shared" si="54"/>
        <v>26.000000000000068</v>
      </c>
      <c r="BB23" s="103"/>
      <c r="BC23" s="86" t="s">
        <v>216</v>
      </c>
      <c r="BD23" s="94">
        <v>15</v>
      </c>
      <c r="BE23" s="58">
        <v>5.0999999999999996</v>
      </c>
      <c r="BF23" s="96"/>
      <c r="BG23" s="96"/>
      <c r="BH23" s="53">
        <v>15.66</v>
      </c>
      <c r="BI23" s="58">
        <f t="shared" si="55"/>
        <v>10.56</v>
      </c>
      <c r="BJ23" s="97">
        <v>7.3</v>
      </c>
      <c r="BK23" s="58">
        <v>1</v>
      </c>
      <c r="BL23" s="59">
        <f t="shared" si="56"/>
        <v>2.2600000000000007</v>
      </c>
      <c r="BM23" s="86">
        <v>2</v>
      </c>
      <c r="BN23" s="86">
        <f t="shared" si="57"/>
        <v>26.000000000000068</v>
      </c>
      <c r="BO23" s="103"/>
      <c r="BQ23" s="86" t="s">
        <v>216</v>
      </c>
      <c r="BR23" s="94">
        <v>15</v>
      </c>
      <c r="BS23" s="58">
        <v>5.0999999999999996</v>
      </c>
      <c r="BT23" s="96"/>
      <c r="BU23" s="96"/>
      <c r="BV23" s="53">
        <v>15.66</v>
      </c>
      <c r="BW23" s="58">
        <f t="shared" si="58"/>
        <v>10.56</v>
      </c>
      <c r="BX23" s="97">
        <v>7.3</v>
      </c>
      <c r="BY23" s="58">
        <v>1</v>
      </c>
      <c r="BZ23" s="59">
        <f t="shared" si="59"/>
        <v>2.2600000000000007</v>
      </c>
      <c r="CA23" s="86">
        <v>2</v>
      </c>
      <c r="CB23" s="86">
        <f t="shared" si="60"/>
        <v>26.000000000000068</v>
      </c>
      <c r="CC23" s="103"/>
      <c r="CD23" s="86" t="s">
        <v>216</v>
      </c>
      <c r="CE23" s="94">
        <v>15</v>
      </c>
      <c r="CF23" s="58"/>
      <c r="CG23" s="96"/>
      <c r="CH23" s="96"/>
      <c r="CI23" s="53"/>
      <c r="CJ23" s="58"/>
      <c r="CK23" s="97"/>
      <c r="CL23" s="58"/>
      <c r="CM23" s="59"/>
      <c r="CN23" s="86"/>
      <c r="CO23" s="86"/>
      <c r="CP23" s="103"/>
      <c r="CR23" s="86" t="s">
        <v>216</v>
      </c>
      <c r="CS23" s="94">
        <v>15</v>
      </c>
      <c r="CT23" s="58">
        <v>4.4000000000000004</v>
      </c>
      <c r="CU23" s="96"/>
      <c r="CV23" s="96"/>
      <c r="CW23" s="53">
        <v>15.66</v>
      </c>
      <c r="CX23" s="58">
        <f t="shared" si="18"/>
        <v>11.26</v>
      </c>
      <c r="CY23" s="97">
        <v>7.3</v>
      </c>
      <c r="CZ23" s="58">
        <v>1.4</v>
      </c>
      <c r="DA23" s="59">
        <f t="shared" si="19"/>
        <v>2.56</v>
      </c>
      <c r="DB23" s="86">
        <v>2</v>
      </c>
      <c r="DC23" s="86">
        <f t="shared" si="20"/>
        <v>56.000000000000007</v>
      </c>
      <c r="DD23" s="103"/>
    </row>
    <row r="24" spans="1:109" ht="17.149999999999999" customHeight="1" x14ac:dyDescent="0.35">
      <c r="A24" s="86" t="s">
        <v>2</v>
      </c>
      <c r="B24" s="94">
        <v>16</v>
      </c>
      <c r="C24" s="58">
        <v>5.0999999999999996</v>
      </c>
      <c r="D24" s="96"/>
      <c r="E24" s="96"/>
      <c r="F24" s="53">
        <v>15.67</v>
      </c>
      <c r="G24" s="58">
        <f t="shared" si="46"/>
        <v>10.57</v>
      </c>
      <c r="H24" s="97">
        <v>7.3</v>
      </c>
      <c r="I24" s="58">
        <v>1</v>
      </c>
      <c r="J24" s="59">
        <f t="shared" si="47"/>
        <v>2.2700000000000005</v>
      </c>
      <c r="K24" s="86">
        <v>2</v>
      </c>
      <c r="L24" s="86">
        <f t="shared" si="48"/>
        <v>27.000000000000046</v>
      </c>
      <c r="M24" s="98"/>
      <c r="O24" s="86" t="s">
        <v>2</v>
      </c>
      <c r="P24" s="94">
        <v>16</v>
      </c>
      <c r="Q24" s="58">
        <v>4.4000000000000004</v>
      </c>
      <c r="R24" s="96"/>
      <c r="S24" s="96"/>
      <c r="T24" s="53">
        <v>15.67</v>
      </c>
      <c r="U24" s="58">
        <f t="shared" si="49"/>
        <v>11.27</v>
      </c>
      <c r="V24" s="97">
        <v>7.3</v>
      </c>
      <c r="W24" s="58">
        <v>1.4</v>
      </c>
      <c r="X24" s="59">
        <f t="shared" si="50"/>
        <v>2.57</v>
      </c>
      <c r="Y24" s="86">
        <v>2</v>
      </c>
      <c r="Z24" s="86">
        <f t="shared" si="51"/>
        <v>56.999999999999986</v>
      </c>
      <c r="AA24" s="98"/>
      <c r="AB24" s="86" t="s">
        <v>2</v>
      </c>
      <c r="AC24" s="94">
        <v>16</v>
      </c>
      <c r="AD24" s="58">
        <v>4.4000000000000004</v>
      </c>
      <c r="AE24" s="96"/>
      <c r="AF24" s="96"/>
      <c r="AG24" s="53">
        <v>15.67</v>
      </c>
      <c r="AH24" s="58">
        <f t="shared" si="6"/>
        <v>11.27</v>
      </c>
      <c r="AI24" s="97">
        <v>7.3</v>
      </c>
      <c r="AJ24" s="58">
        <v>1.4</v>
      </c>
      <c r="AK24" s="59">
        <f t="shared" si="7"/>
        <v>2.57</v>
      </c>
      <c r="AL24" s="86">
        <v>2</v>
      </c>
      <c r="AM24" s="86">
        <f t="shared" si="8"/>
        <v>56.999999999999986</v>
      </c>
      <c r="AN24" s="98"/>
      <c r="AP24" s="86" t="s">
        <v>2</v>
      </c>
      <c r="AQ24" s="94">
        <v>16</v>
      </c>
      <c r="AR24" s="58">
        <v>5.0999999999999996</v>
      </c>
      <c r="AS24" s="96"/>
      <c r="AT24" s="96"/>
      <c r="AU24" s="53">
        <v>15.67</v>
      </c>
      <c r="AV24" s="58">
        <f t="shared" si="52"/>
        <v>10.57</v>
      </c>
      <c r="AW24" s="97">
        <v>7.3</v>
      </c>
      <c r="AX24" s="58">
        <v>1</v>
      </c>
      <c r="AY24" s="59">
        <f t="shared" si="53"/>
        <v>2.2700000000000005</v>
      </c>
      <c r="AZ24" s="86">
        <v>2</v>
      </c>
      <c r="BA24" s="86">
        <f t="shared" si="54"/>
        <v>27.000000000000046</v>
      </c>
      <c r="BB24" s="98"/>
      <c r="BC24" s="86" t="s">
        <v>2</v>
      </c>
      <c r="BD24" s="94">
        <v>16</v>
      </c>
      <c r="BE24" s="58">
        <v>5.0999999999999996</v>
      </c>
      <c r="BF24" s="96"/>
      <c r="BG24" s="96"/>
      <c r="BH24" s="53">
        <v>15.67</v>
      </c>
      <c r="BI24" s="58">
        <f t="shared" si="55"/>
        <v>10.57</v>
      </c>
      <c r="BJ24" s="97">
        <v>7.3</v>
      </c>
      <c r="BK24" s="58">
        <v>1</v>
      </c>
      <c r="BL24" s="59">
        <f t="shared" si="56"/>
        <v>2.2700000000000005</v>
      </c>
      <c r="BM24" s="86">
        <v>2</v>
      </c>
      <c r="BN24" s="86">
        <f t="shared" si="57"/>
        <v>27.000000000000046</v>
      </c>
      <c r="BO24" s="98"/>
      <c r="BQ24" s="86" t="s">
        <v>2</v>
      </c>
      <c r="BR24" s="94">
        <v>16</v>
      </c>
      <c r="BS24" s="58">
        <v>5.0999999999999996</v>
      </c>
      <c r="BT24" s="96"/>
      <c r="BU24" s="96"/>
      <c r="BV24" s="53">
        <v>15.67</v>
      </c>
      <c r="BW24" s="58">
        <f t="shared" si="58"/>
        <v>10.57</v>
      </c>
      <c r="BX24" s="97">
        <v>7.3</v>
      </c>
      <c r="BY24" s="58">
        <v>1</v>
      </c>
      <c r="BZ24" s="59">
        <f t="shared" si="59"/>
        <v>2.2700000000000005</v>
      </c>
      <c r="CA24" s="86">
        <v>2</v>
      </c>
      <c r="CB24" s="86">
        <f t="shared" si="60"/>
        <v>27.000000000000046</v>
      </c>
      <c r="CC24" s="98"/>
      <c r="CD24" s="86" t="s">
        <v>2</v>
      </c>
      <c r="CE24" s="94">
        <v>16</v>
      </c>
      <c r="CF24" s="58"/>
      <c r="CG24" s="96"/>
      <c r="CH24" s="96"/>
      <c r="CI24" s="53"/>
      <c r="CJ24" s="58"/>
      <c r="CK24" s="97"/>
      <c r="CL24" s="58"/>
      <c r="CM24" s="59"/>
      <c r="CN24" s="86"/>
      <c r="CO24" s="86"/>
      <c r="CP24" s="98"/>
      <c r="CR24" s="86" t="s">
        <v>2</v>
      </c>
      <c r="CS24" s="94">
        <v>16</v>
      </c>
      <c r="CT24" s="58">
        <v>4.4000000000000004</v>
      </c>
      <c r="CU24" s="96"/>
      <c r="CV24" s="96"/>
      <c r="CW24" s="53">
        <v>15.67</v>
      </c>
      <c r="CX24" s="58">
        <f t="shared" si="18"/>
        <v>11.27</v>
      </c>
      <c r="CY24" s="97">
        <v>7.3</v>
      </c>
      <c r="CZ24" s="58">
        <v>1.4</v>
      </c>
      <c r="DA24" s="59">
        <f t="shared" si="19"/>
        <v>2.57</v>
      </c>
      <c r="DB24" s="86">
        <v>2</v>
      </c>
      <c r="DC24" s="86">
        <f t="shared" si="20"/>
        <v>56.999999999999986</v>
      </c>
      <c r="DD24" s="98"/>
    </row>
    <row r="25" spans="1:109" s="54" customFormat="1" ht="17.149999999999999" customHeight="1" x14ac:dyDescent="0.35">
      <c r="A25" s="86" t="s">
        <v>225</v>
      </c>
      <c r="B25" s="94">
        <v>17</v>
      </c>
      <c r="C25" s="58">
        <v>5.0999999999999996</v>
      </c>
      <c r="D25" s="96"/>
      <c r="E25" s="96"/>
      <c r="F25" s="53">
        <v>16.649999999999999</v>
      </c>
      <c r="G25" s="58">
        <f t="shared" si="46"/>
        <v>11.549999999999999</v>
      </c>
      <c r="H25" s="97">
        <v>7.3</v>
      </c>
      <c r="I25" s="58">
        <v>1</v>
      </c>
      <c r="J25" s="59">
        <f t="shared" si="47"/>
        <v>3.2499999999999991</v>
      </c>
      <c r="K25" s="86">
        <v>3</v>
      </c>
      <c r="L25" s="86">
        <f t="shared" si="48"/>
        <v>24.999999999999911</v>
      </c>
      <c r="M25" s="86"/>
      <c r="N25"/>
      <c r="O25" s="86" t="s">
        <v>225</v>
      </c>
      <c r="P25" s="94">
        <v>17</v>
      </c>
      <c r="Q25" s="58">
        <v>4.4000000000000004</v>
      </c>
      <c r="R25" s="96"/>
      <c r="S25" s="96"/>
      <c r="T25" s="53">
        <v>16.649999999999999</v>
      </c>
      <c r="U25" s="58">
        <f t="shared" si="49"/>
        <v>12.249999999999998</v>
      </c>
      <c r="V25" s="97">
        <v>7.3</v>
      </c>
      <c r="W25" s="58">
        <v>1.4</v>
      </c>
      <c r="X25" s="59">
        <f t="shared" si="50"/>
        <v>3.5499999999999985</v>
      </c>
      <c r="Y25" s="86">
        <v>3</v>
      </c>
      <c r="Z25" s="86">
        <f t="shared" si="51"/>
        <v>54.999999999999851</v>
      </c>
      <c r="AA25" s="86"/>
      <c r="AB25" s="86" t="s">
        <v>225</v>
      </c>
      <c r="AC25" s="94">
        <v>17</v>
      </c>
      <c r="AD25" s="58">
        <v>4.4000000000000004</v>
      </c>
      <c r="AE25" s="96"/>
      <c r="AF25" s="96"/>
      <c r="AG25" s="53">
        <v>16.649999999999999</v>
      </c>
      <c r="AH25" s="58">
        <f t="shared" si="6"/>
        <v>12.249999999999998</v>
      </c>
      <c r="AI25" s="97">
        <v>7.3</v>
      </c>
      <c r="AJ25" s="58">
        <v>1.4</v>
      </c>
      <c r="AK25" s="59">
        <f t="shared" si="7"/>
        <v>3.5499999999999985</v>
      </c>
      <c r="AL25" s="86">
        <v>3</v>
      </c>
      <c r="AM25" s="86">
        <f t="shared" si="8"/>
        <v>54.999999999999851</v>
      </c>
      <c r="AN25" s="86"/>
      <c r="AO25"/>
      <c r="AP25" s="86" t="s">
        <v>225</v>
      </c>
      <c r="AQ25" s="94">
        <v>17</v>
      </c>
      <c r="AR25" s="58">
        <v>5.0999999999999996</v>
      </c>
      <c r="AS25" s="96"/>
      <c r="AT25" s="96"/>
      <c r="AU25" s="53">
        <v>16.649999999999999</v>
      </c>
      <c r="AV25" s="58">
        <f t="shared" si="52"/>
        <v>11.549999999999999</v>
      </c>
      <c r="AW25" s="97">
        <v>7.3</v>
      </c>
      <c r="AX25" s="58">
        <v>1</v>
      </c>
      <c r="AY25" s="59">
        <f t="shared" si="53"/>
        <v>3.2499999999999991</v>
      </c>
      <c r="AZ25" s="86">
        <v>3</v>
      </c>
      <c r="BA25" s="86">
        <f t="shared" si="54"/>
        <v>24.999999999999911</v>
      </c>
      <c r="BB25" s="86"/>
      <c r="BC25" s="86" t="s">
        <v>225</v>
      </c>
      <c r="BD25" s="94">
        <v>17</v>
      </c>
      <c r="BE25" s="58">
        <v>5.0999999999999996</v>
      </c>
      <c r="BF25" s="96"/>
      <c r="BG25" s="96"/>
      <c r="BH25" s="53">
        <v>16.649999999999999</v>
      </c>
      <c r="BI25" s="58">
        <f t="shared" si="55"/>
        <v>11.549999999999999</v>
      </c>
      <c r="BJ25" s="97">
        <v>7.3</v>
      </c>
      <c r="BK25" s="58">
        <v>1</v>
      </c>
      <c r="BL25" s="59">
        <f t="shared" si="56"/>
        <v>3.2499999999999991</v>
      </c>
      <c r="BM25" s="86">
        <v>3</v>
      </c>
      <c r="BN25" s="86">
        <f t="shared" si="57"/>
        <v>24.999999999999911</v>
      </c>
      <c r="BO25" s="86"/>
      <c r="BP25"/>
      <c r="BQ25" s="86" t="s">
        <v>225</v>
      </c>
      <c r="BR25" s="94">
        <v>17</v>
      </c>
      <c r="BS25" s="58">
        <v>5.0999999999999996</v>
      </c>
      <c r="BT25" s="96"/>
      <c r="BU25" s="96"/>
      <c r="BV25" s="53">
        <v>16.649999999999999</v>
      </c>
      <c r="BW25" s="58">
        <f t="shared" si="58"/>
        <v>11.549999999999999</v>
      </c>
      <c r="BX25" s="97">
        <v>7.3</v>
      </c>
      <c r="BY25" s="58">
        <v>1</v>
      </c>
      <c r="BZ25" s="59">
        <f t="shared" si="59"/>
        <v>3.2499999999999991</v>
      </c>
      <c r="CA25" s="86">
        <v>3</v>
      </c>
      <c r="CB25" s="86">
        <f t="shared" si="60"/>
        <v>24.999999999999911</v>
      </c>
      <c r="CC25" s="86"/>
      <c r="CD25" s="86" t="s">
        <v>225</v>
      </c>
      <c r="CE25" s="94">
        <v>17</v>
      </c>
      <c r="CF25" s="58"/>
      <c r="CG25" s="96"/>
      <c r="CH25" s="96"/>
      <c r="CI25" s="53"/>
      <c r="CJ25" s="58"/>
      <c r="CK25" s="97"/>
      <c r="CL25" s="58"/>
      <c r="CM25" s="59"/>
      <c r="CN25" s="86"/>
      <c r="CO25" s="86"/>
      <c r="CP25" s="86"/>
      <c r="CQ25"/>
      <c r="CR25" s="86" t="s">
        <v>225</v>
      </c>
      <c r="CS25" s="94">
        <v>17</v>
      </c>
      <c r="CT25" s="58">
        <v>4.4000000000000004</v>
      </c>
      <c r="CU25" s="96"/>
      <c r="CV25" s="96"/>
      <c r="CW25" s="53">
        <v>16.649999999999999</v>
      </c>
      <c r="CX25" s="58">
        <f t="shared" si="18"/>
        <v>12.249999999999998</v>
      </c>
      <c r="CY25" s="97">
        <v>7.3</v>
      </c>
      <c r="CZ25" s="58">
        <v>1.4</v>
      </c>
      <c r="DA25" s="59">
        <f t="shared" si="19"/>
        <v>3.5499999999999985</v>
      </c>
      <c r="DB25" s="86">
        <v>3</v>
      </c>
      <c r="DC25" s="86">
        <f t="shared" si="20"/>
        <v>54.999999999999851</v>
      </c>
      <c r="DD25" s="86"/>
      <c r="DE25"/>
    </row>
    <row r="26" spans="1:109" ht="17.149999999999999" customHeight="1" x14ac:dyDescent="0.35">
      <c r="A26" s="86" t="s">
        <v>4</v>
      </c>
      <c r="B26" s="94">
        <v>18</v>
      </c>
      <c r="C26" s="58">
        <v>5.0999999999999996</v>
      </c>
      <c r="D26" s="96"/>
      <c r="E26" s="96"/>
      <c r="F26" s="53">
        <v>15.69</v>
      </c>
      <c r="G26" s="58">
        <f t="shared" si="46"/>
        <v>10.59</v>
      </c>
      <c r="H26" s="97">
        <v>7.3</v>
      </c>
      <c r="I26" s="58">
        <v>1</v>
      </c>
      <c r="J26" s="59">
        <f t="shared" si="47"/>
        <v>2.29</v>
      </c>
      <c r="K26" s="86">
        <v>2</v>
      </c>
      <c r="L26" s="86">
        <f t="shared" si="48"/>
        <v>29.000000000000004</v>
      </c>
      <c r="M26" s="98"/>
      <c r="O26" s="86" t="s">
        <v>4</v>
      </c>
      <c r="P26" s="94">
        <v>18</v>
      </c>
      <c r="Q26" s="58">
        <v>4.4000000000000004</v>
      </c>
      <c r="R26" s="96"/>
      <c r="S26" s="96"/>
      <c r="T26" s="53">
        <v>15.69</v>
      </c>
      <c r="U26" s="58">
        <f t="shared" si="49"/>
        <v>11.29</v>
      </c>
      <c r="V26" s="97">
        <v>7.3</v>
      </c>
      <c r="W26" s="58">
        <v>1.4</v>
      </c>
      <c r="X26" s="59">
        <f t="shared" si="50"/>
        <v>2.5899999999999994</v>
      </c>
      <c r="Y26" s="86">
        <v>2</v>
      </c>
      <c r="Z26" s="86">
        <f t="shared" si="51"/>
        <v>58.999999999999943</v>
      </c>
      <c r="AA26" s="98"/>
      <c r="AB26" s="86" t="s">
        <v>4</v>
      </c>
      <c r="AC26" s="94">
        <v>18</v>
      </c>
      <c r="AD26" s="58">
        <v>4.4000000000000004</v>
      </c>
      <c r="AE26" s="96"/>
      <c r="AF26" s="96"/>
      <c r="AG26" s="53">
        <v>15.69</v>
      </c>
      <c r="AH26" s="58">
        <f t="shared" si="6"/>
        <v>11.29</v>
      </c>
      <c r="AI26" s="97">
        <v>7.3</v>
      </c>
      <c r="AJ26" s="58">
        <v>1.4</v>
      </c>
      <c r="AK26" s="59">
        <f t="shared" si="7"/>
        <v>2.5899999999999994</v>
      </c>
      <c r="AL26" s="86">
        <v>2</v>
      </c>
      <c r="AM26" s="86">
        <f t="shared" si="8"/>
        <v>58.999999999999943</v>
      </c>
      <c r="AN26" s="98"/>
      <c r="AP26" s="86" t="s">
        <v>4</v>
      </c>
      <c r="AQ26" s="94">
        <v>18</v>
      </c>
      <c r="AR26" s="58">
        <v>5.0999999999999996</v>
      </c>
      <c r="AS26" s="96"/>
      <c r="AT26" s="96"/>
      <c r="AU26" s="53">
        <v>15.69</v>
      </c>
      <c r="AV26" s="58">
        <f t="shared" si="52"/>
        <v>10.59</v>
      </c>
      <c r="AW26" s="97">
        <v>7.3</v>
      </c>
      <c r="AX26" s="58">
        <v>1</v>
      </c>
      <c r="AY26" s="59">
        <f t="shared" si="53"/>
        <v>2.29</v>
      </c>
      <c r="AZ26" s="86">
        <v>2</v>
      </c>
      <c r="BA26" s="86">
        <f t="shared" si="54"/>
        <v>29.000000000000004</v>
      </c>
      <c r="BB26" s="98"/>
      <c r="BC26" s="86" t="s">
        <v>4</v>
      </c>
      <c r="BD26" s="94">
        <v>18</v>
      </c>
      <c r="BE26" s="58">
        <v>5.0999999999999996</v>
      </c>
      <c r="BF26" s="96"/>
      <c r="BG26" s="96"/>
      <c r="BH26" s="53">
        <v>15.69</v>
      </c>
      <c r="BI26" s="58">
        <f t="shared" si="55"/>
        <v>10.59</v>
      </c>
      <c r="BJ26" s="97">
        <v>7.3</v>
      </c>
      <c r="BK26" s="58">
        <v>1</v>
      </c>
      <c r="BL26" s="59">
        <f t="shared" si="56"/>
        <v>2.29</v>
      </c>
      <c r="BM26" s="86">
        <v>2</v>
      </c>
      <c r="BN26" s="86">
        <f t="shared" si="57"/>
        <v>29.000000000000004</v>
      </c>
      <c r="BO26" s="98"/>
      <c r="BQ26" s="86" t="s">
        <v>4</v>
      </c>
      <c r="BR26" s="94">
        <v>18</v>
      </c>
      <c r="BS26" s="58">
        <v>5.0999999999999996</v>
      </c>
      <c r="BT26" s="96"/>
      <c r="BU26" s="96"/>
      <c r="BV26" s="53">
        <v>15.69</v>
      </c>
      <c r="BW26" s="58">
        <f t="shared" si="58"/>
        <v>10.59</v>
      </c>
      <c r="BX26" s="97">
        <v>7.3</v>
      </c>
      <c r="BY26" s="58">
        <v>1</v>
      </c>
      <c r="BZ26" s="59">
        <f t="shared" si="59"/>
        <v>2.29</v>
      </c>
      <c r="CA26" s="86">
        <v>2</v>
      </c>
      <c r="CB26" s="86">
        <f t="shared" si="60"/>
        <v>29.000000000000004</v>
      </c>
      <c r="CC26" s="98"/>
      <c r="CD26" s="86" t="s">
        <v>4</v>
      </c>
      <c r="CE26" s="94">
        <v>18</v>
      </c>
      <c r="CF26" s="58"/>
      <c r="CG26" s="96"/>
      <c r="CH26" s="96"/>
      <c r="CI26" s="53"/>
      <c r="CJ26" s="58"/>
      <c r="CK26" s="97"/>
      <c r="CL26" s="58"/>
      <c r="CM26" s="59"/>
      <c r="CN26" s="86"/>
      <c r="CO26" s="86"/>
      <c r="CP26" s="98"/>
      <c r="CR26" s="86" t="s">
        <v>4</v>
      </c>
      <c r="CS26" s="94">
        <v>18</v>
      </c>
      <c r="CT26" s="58">
        <v>4.4000000000000004</v>
      </c>
      <c r="CU26" s="96"/>
      <c r="CV26" s="96"/>
      <c r="CW26" s="53">
        <v>15.69</v>
      </c>
      <c r="CX26" s="58">
        <f t="shared" si="18"/>
        <v>11.29</v>
      </c>
      <c r="CY26" s="97">
        <v>7.3</v>
      </c>
      <c r="CZ26" s="58">
        <v>1.4</v>
      </c>
      <c r="DA26" s="59">
        <f t="shared" si="19"/>
        <v>2.5899999999999994</v>
      </c>
      <c r="DB26" s="86">
        <v>2</v>
      </c>
      <c r="DC26" s="86">
        <f t="shared" si="20"/>
        <v>58.999999999999943</v>
      </c>
      <c r="DD26" s="98"/>
    </row>
    <row r="27" spans="1:109" ht="17.149999999999999" customHeight="1" x14ac:dyDescent="0.35">
      <c r="A27" s="86" t="s">
        <v>5</v>
      </c>
      <c r="B27" s="86">
        <v>19</v>
      </c>
      <c r="C27" s="58">
        <v>5.0999999999999996</v>
      </c>
      <c r="D27" s="96"/>
      <c r="E27" s="96"/>
      <c r="F27" s="53">
        <v>15.92</v>
      </c>
      <c r="G27" s="58">
        <f t="shared" si="46"/>
        <v>10.82</v>
      </c>
      <c r="H27" s="97">
        <v>7.3</v>
      </c>
      <c r="I27" s="58">
        <v>1</v>
      </c>
      <c r="J27" s="59">
        <f t="shared" si="47"/>
        <v>2.5200000000000005</v>
      </c>
      <c r="K27" s="86">
        <v>2</v>
      </c>
      <c r="L27" s="86">
        <f t="shared" si="48"/>
        <v>52.000000000000043</v>
      </c>
      <c r="M27" s="98"/>
      <c r="O27" s="86" t="s">
        <v>5</v>
      </c>
      <c r="P27" s="86">
        <v>19</v>
      </c>
      <c r="Q27" s="58">
        <v>4.4000000000000004</v>
      </c>
      <c r="R27" s="96"/>
      <c r="S27" s="96"/>
      <c r="T27" s="53">
        <v>15.92</v>
      </c>
      <c r="U27" s="58">
        <f t="shared" si="49"/>
        <v>11.52</v>
      </c>
      <c r="V27" s="97">
        <v>7.3</v>
      </c>
      <c r="W27" s="58">
        <v>1</v>
      </c>
      <c r="X27" s="59">
        <f t="shared" si="50"/>
        <v>3.2199999999999998</v>
      </c>
      <c r="Y27" s="86">
        <v>3</v>
      </c>
      <c r="Z27" s="86">
        <f t="shared" si="51"/>
        <v>21.999999999999975</v>
      </c>
      <c r="AA27" s="98"/>
      <c r="AB27" s="86" t="s">
        <v>5</v>
      </c>
      <c r="AC27" s="86">
        <v>19</v>
      </c>
      <c r="AD27" s="58">
        <v>4.4000000000000004</v>
      </c>
      <c r="AE27" s="96"/>
      <c r="AF27" s="96"/>
      <c r="AG27" s="53">
        <v>15.92</v>
      </c>
      <c r="AH27" s="58">
        <f t="shared" si="6"/>
        <v>11.52</v>
      </c>
      <c r="AI27" s="97">
        <v>7.3</v>
      </c>
      <c r="AJ27" s="58">
        <v>1</v>
      </c>
      <c r="AK27" s="59">
        <f t="shared" si="7"/>
        <v>3.2199999999999998</v>
      </c>
      <c r="AL27" s="86">
        <v>3</v>
      </c>
      <c r="AM27" s="86">
        <f t="shared" si="8"/>
        <v>21.999999999999975</v>
      </c>
      <c r="AN27" s="98"/>
      <c r="AP27" s="86" t="s">
        <v>5</v>
      </c>
      <c r="AQ27" s="86">
        <v>19</v>
      </c>
      <c r="AR27" s="58">
        <v>5.0999999999999996</v>
      </c>
      <c r="AS27" s="96"/>
      <c r="AT27" s="96"/>
      <c r="AU27" s="53">
        <v>15.92</v>
      </c>
      <c r="AV27" s="58">
        <f t="shared" si="52"/>
        <v>10.82</v>
      </c>
      <c r="AW27" s="97">
        <v>7.3</v>
      </c>
      <c r="AX27" s="58">
        <v>1</v>
      </c>
      <c r="AY27" s="59">
        <f t="shared" si="53"/>
        <v>2.5200000000000005</v>
      </c>
      <c r="AZ27" s="86">
        <v>2</v>
      </c>
      <c r="BA27" s="86">
        <f t="shared" si="54"/>
        <v>52.000000000000043</v>
      </c>
      <c r="BB27" s="98"/>
      <c r="BC27" s="86" t="s">
        <v>5</v>
      </c>
      <c r="BD27" s="86">
        <v>19</v>
      </c>
      <c r="BE27" s="58">
        <v>5.0999999999999996</v>
      </c>
      <c r="BF27" s="96"/>
      <c r="BG27" s="96"/>
      <c r="BH27" s="53">
        <v>15.92</v>
      </c>
      <c r="BI27" s="58">
        <f t="shared" si="55"/>
        <v>10.82</v>
      </c>
      <c r="BJ27" s="97">
        <v>7.3</v>
      </c>
      <c r="BK27" s="58">
        <v>1</v>
      </c>
      <c r="BL27" s="59">
        <f t="shared" si="56"/>
        <v>2.5200000000000005</v>
      </c>
      <c r="BM27" s="86">
        <v>2</v>
      </c>
      <c r="BN27" s="86">
        <f t="shared" si="57"/>
        <v>52.000000000000043</v>
      </c>
      <c r="BO27" s="98"/>
      <c r="BQ27" s="86" t="s">
        <v>5</v>
      </c>
      <c r="BR27" s="86">
        <v>19</v>
      </c>
      <c r="BS27" s="58">
        <v>5.0999999999999996</v>
      </c>
      <c r="BT27" s="96"/>
      <c r="BU27" s="96"/>
      <c r="BV27" s="53">
        <v>15.92</v>
      </c>
      <c r="BW27" s="58">
        <f t="shared" si="58"/>
        <v>10.82</v>
      </c>
      <c r="BX27" s="97">
        <v>7.3</v>
      </c>
      <c r="BY27" s="58">
        <v>1</v>
      </c>
      <c r="BZ27" s="59">
        <f t="shared" si="59"/>
        <v>2.5200000000000005</v>
      </c>
      <c r="CA27" s="86">
        <v>2</v>
      </c>
      <c r="CB27" s="86">
        <f t="shared" si="60"/>
        <v>52.000000000000043</v>
      </c>
      <c r="CC27" s="98"/>
      <c r="CD27" s="86" t="s">
        <v>5</v>
      </c>
      <c r="CE27" s="86">
        <v>19</v>
      </c>
      <c r="CF27" s="58"/>
      <c r="CG27" s="96"/>
      <c r="CH27" s="96"/>
      <c r="CI27" s="53"/>
      <c r="CJ27" s="58"/>
      <c r="CK27" s="97"/>
      <c r="CL27" s="58"/>
      <c r="CM27" s="59"/>
      <c r="CN27" s="86"/>
      <c r="CO27" s="86"/>
      <c r="CP27" s="98"/>
      <c r="CR27" s="86" t="s">
        <v>5</v>
      </c>
      <c r="CS27" s="86">
        <v>19</v>
      </c>
      <c r="CT27" s="58">
        <v>4.4000000000000004</v>
      </c>
      <c r="CU27" s="96"/>
      <c r="CV27" s="96"/>
      <c r="CW27" s="53">
        <v>15.92</v>
      </c>
      <c r="CX27" s="58">
        <f t="shared" si="18"/>
        <v>11.52</v>
      </c>
      <c r="CY27" s="97">
        <v>7.3</v>
      </c>
      <c r="CZ27" s="58">
        <v>1</v>
      </c>
      <c r="DA27" s="59">
        <f t="shared" si="19"/>
        <v>3.2199999999999998</v>
      </c>
      <c r="DB27" s="86">
        <v>3</v>
      </c>
      <c r="DC27" s="86">
        <f t="shared" si="20"/>
        <v>21.999999999999975</v>
      </c>
      <c r="DD27" s="98"/>
    </row>
    <row r="28" spans="1:109" ht="17.149999999999999" customHeight="1" x14ac:dyDescent="0.35">
      <c r="A28" s="55" t="s">
        <v>6</v>
      </c>
      <c r="B28" s="55">
        <v>20</v>
      </c>
      <c r="C28" s="52"/>
      <c r="D28" s="52"/>
      <c r="E28" s="52"/>
      <c r="F28" s="52"/>
      <c r="G28" s="52">
        <f t="shared" si="46"/>
        <v>0</v>
      </c>
      <c r="H28" s="56"/>
      <c r="I28" s="52"/>
      <c r="J28" s="57">
        <f t="shared" si="47"/>
        <v>0</v>
      </c>
      <c r="K28" s="55">
        <v>0</v>
      </c>
      <c r="L28" s="55">
        <f t="shared" si="48"/>
        <v>0</v>
      </c>
      <c r="M28" s="95"/>
      <c r="O28" s="55" t="s">
        <v>6</v>
      </c>
      <c r="P28" s="55">
        <v>20</v>
      </c>
      <c r="Q28" s="52"/>
      <c r="R28" s="52"/>
      <c r="S28" s="52">
        <v>9</v>
      </c>
      <c r="T28" s="52">
        <v>11.44</v>
      </c>
      <c r="U28" s="52">
        <f t="shared" si="49"/>
        <v>2.4399999999999995</v>
      </c>
      <c r="V28" s="56"/>
      <c r="W28" s="52"/>
      <c r="X28" s="57">
        <f t="shared" si="50"/>
        <v>2.4399999999999995</v>
      </c>
      <c r="Y28" s="55">
        <v>2</v>
      </c>
      <c r="Z28" s="55">
        <f t="shared" si="51"/>
        <v>43.99999999999995</v>
      </c>
      <c r="AA28" s="95"/>
      <c r="AB28" s="55" t="s">
        <v>6</v>
      </c>
      <c r="AC28" s="55">
        <v>20</v>
      </c>
      <c r="AD28" s="52"/>
      <c r="AE28" s="52"/>
      <c r="AF28" s="52"/>
      <c r="AG28" s="52"/>
      <c r="AH28" s="52">
        <f t="shared" si="6"/>
        <v>0</v>
      </c>
      <c r="AI28" s="56"/>
      <c r="AJ28" s="52"/>
      <c r="AK28" s="57">
        <f t="shared" si="7"/>
        <v>0</v>
      </c>
      <c r="AL28" s="55">
        <v>0</v>
      </c>
      <c r="AM28" s="55">
        <f t="shared" si="8"/>
        <v>0</v>
      </c>
      <c r="AN28" s="95"/>
      <c r="AP28" s="55" t="s">
        <v>6</v>
      </c>
      <c r="AQ28" s="55">
        <v>20</v>
      </c>
      <c r="AR28" s="52"/>
      <c r="AS28" s="52"/>
      <c r="AT28" s="52"/>
      <c r="AU28" s="52"/>
      <c r="AV28" s="52">
        <f t="shared" si="52"/>
        <v>0</v>
      </c>
      <c r="AW28" s="56"/>
      <c r="AX28" s="52"/>
      <c r="AY28" s="57">
        <f t="shared" si="53"/>
        <v>0</v>
      </c>
      <c r="AZ28" s="55">
        <v>0</v>
      </c>
      <c r="BA28" s="55">
        <f t="shared" si="54"/>
        <v>0</v>
      </c>
      <c r="BB28" s="95"/>
      <c r="BC28" s="55" t="s">
        <v>6</v>
      </c>
      <c r="BD28" s="55">
        <v>20</v>
      </c>
      <c r="BE28" s="52"/>
      <c r="BF28" s="52"/>
      <c r="BG28" s="52"/>
      <c r="BH28" s="52"/>
      <c r="BI28" s="52">
        <f t="shared" si="55"/>
        <v>0</v>
      </c>
      <c r="BJ28" s="56"/>
      <c r="BK28" s="52"/>
      <c r="BL28" s="57">
        <f t="shared" si="56"/>
        <v>0</v>
      </c>
      <c r="BM28" s="55">
        <v>0</v>
      </c>
      <c r="BN28" s="55">
        <f t="shared" si="57"/>
        <v>0</v>
      </c>
      <c r="BO28" s="95"/>
      <c r="BQ28" s="55" t="s">
        <v>6</v>
      </c>
      <c r="BR28" s="55">
        <v>20</v>
      </c>
      <c r="BS28" s="52"/>
      <c r="BT28" s="52"/>
      <c r="BU28" s="52">
        <v>9.25</v>
      </c>
      <c r="BV28" s="52">
        <v>11.44</v>
      </c>
      <c r="BW28" s="52">
        <f t="shared" si="58"/>
        <v>2.1899999999999995</v>
      </c>
      <c r="BX28" s="56"/>
      <c r="BY28" s="52"/>
      <c r="BZ28" s="57">
        <f t="shared" si="59"/>
        <v>2.1899999999999995</v>
      </c>
      <c r="CA28" s="55">
        <v>2</v>
      </c>
      <c r="CB28" s="55">
        <f t="shared" si="60"/>
        <v>18.99999999999995</v>
      </c>
      <c r="CC28" s="95"/>
      <c r="CD28" s="55" t="s">
        <v>6</v>
      </c>
      <c r="CE28" s="55">
        <v>20</v>
      </c>
      <c r="CF28" s="52"/>
      <c r="CG28" s="52"/>
      <c r="CH28" s="52"/>
      <c r="CI28" s="52"/>
      <c r="CJ28" s="52"/>
      <c r="CK28" s="56"/>
      <c r="CL28" s="52"/>
      <c r="CM28" s="57"/>
      <c r="CN28" s="55"/>
      <c r="CO28" s="55"/>
      <c r="CP28" s="95"/>
      <c r="CR28" s="55" t="s">
        <v>6</v>
      </c>
      <c r="CS28" s="55">
        <v>20</v>
      </c>
      <c r="CT28" s="52"/>
      <c r="CU28" s="52"/>
      <c r="CV28" s="52">
        <v>9.1</v>
      </c>
      <c r="CW28" s="52">
        <v>11.43</v>
      </c>
      <c r="CX28" s="52">
        <f t="shared" si="18"/>
        <v>2.33</v>
      </c>
      <c r="CY28" s="56"/>
      <c r="CZ28" s="52"/>
      <c r="DA28" s="57">
        <f t="shared" si="19"/>
        <v>2.33</v>
      </c>
      <c r="DB28" s="55">
        <v>2</v>
      </c>
      <c r="DC28" s="55">
        <f t="shared" si="20"/>
        <v>33.000000000000007</v>
      </c>
      <c r="DD28" s="95"/>
    </row>
    <row r="29" spans="1:109" ht="17.149999999999999" customHeight="1" x14ac:dyDescent="0.35">
      <c r="A29" s="86" t="s">
        <v>1</v>
      </c>
      <c r="B29" s="86">
        <v>21</v>
      </c>
      <c r="C29" s="58">
        <v>5.0999999999999996</v>
      </c>
      <c r="D29" s="96"/>
      <c r="E29" s="96"/>
      <c r="F29" s="53">
        <v>16.690000000000001</v>
      </c>
      <c r="G29" s="58">
        <f t="shared" ref="G29:G35" si="61">SUM(D29-C29)+(F29-E29)</f>
        <v>11.590000000000002</v>
      </c>
      <c r="H29" s="97">
        <v>7.3</v>
      </c>
      <c r="I29" s="58">
        <v>1</v>
      </c>
      <c r="J29" s="59">
        <f t="shared" ref="J29:J35" si="62">SUM((G29-H29)-I29)</f>
        <v>3.2900000000000018</v>
      </c>
      <c r="K29" s="86">
        <v>3</v>
      </c>
      <c r="L29" s="86">
        <f t="shared" ref="L29:L35" si="63">SUM(J29-K29)*100</f>
        <v>29.000000000000181</v>
      </c>
      <c r="M29" s="98"/>
      <c r="O29" s="86" t="s">
        <v>1</v>
      </c>
      <c r="P29" s="86">
        <v>21</v>
      </c>
      <c r="Q29" s="58">
        <v>4.4000000000000004</v>
      </c>
      <c r="R29" s="96"/>
      <c r="S29" s="96"/>
      <c r="T29" s="53">
        <v>16.690000000000001</v>
      </c>
      <c r="U29" s="58">
        <f t="shared" ref="U29:U35" si="64">SUM(R29-Q29)+(T29-S29)</f>
        <v>12.290000000000001</v>
      </c>
      <c r="V29" s="97">
        <v>7.3</v>
      </c>
      <c r="W29" s="58">
        <v>1.4</v>
      </c>
      <c r="X29" s="59">
        <f t="shared" ref="X29:X35" si="65">SUM((U29-V29)-W29)</f>
        <v>3.5900000000000012</v>
      </c>
      <c r="Y29" s="86">
        <v>3</v>
      </c>
      <c r="Z29" s="86">
        <f t="shared" ref="Z29:Z35" si="66">SUM(X29-Y29)*100</f>
        <v>59.000000000000121</v>
      </c>
      <c r="AA29" s="98"/>
      <c r="AB29" s="86" t="s">
        <v>1</v>
      </c>
      <c r="AC29" s="86">
        <v>21</v>
      </c>
      <c r="AD29" s="58"/>
      <c r="AE29" s="96"/>
      <c r="AF29" s="96"/>
      <c r="AG29" s="53"/>
      <c r="AH29" s="58"/>
      <c r="AI29" s="97"/>
      <c r="AJ29" s="58"/>
      <c r="AK29" s="59"/>
      <c r="AL29" s="86"/>
      <c r="AM29" s="86"/>
      <c r="AN29" s="98" t="s">
        <v>227</v>
      </c>
      <c r="AP29" s="86" t="s">
        <v>1</v>
      </c>
      <c r="AQ29" s="86">
        <v>21</v>
      </c>
      <c r="AR29" s="58">
        <v>5.0999999999999996</v>
      </c>
      <c r="AS29" s="96"/>
      <c r="AT29" s="96"/>
      <c r="AU29" s="53">
        <v>16.690000000000001</v>
      </c>
      <c r="AV29" s="58">
        <f t="shared" ref="AV29:AV35" si="67">SUM(AS29-AR29)+(AU29-AT29)</f>
        <v>11.590000000000002</v>
      </c>
      <c r="AW29" s="97">
        <v>7.3</v>
      </c>
      <c r="AX29" s="58">
        <v>1</v>
      </c>
      <c r="AY29" s="59">
        <f t="shared" ref="AY29:AY35" si="68">SUM((AV29-AW29)-AX29)</f>
        <v>3.2900000000000018</v>
      </c>
      <c r="AZ29" s="86">
        <v>3</v>
      </c>
      <c r="BA29" s="86">
        <f t="shared" ref="BA29:BA35" si="69">SUM(AY29-AZ29)*100</f>
        <v>29.000000000000181</v>
      </c>
      <c r="BB29" s="98"/>
      <c r="BC29" s="86" t="s">
        <v>1</v>
      </c>
      <c r="BD29" s="86">
        <v>21</v>
      </c>
      <c r="BE29" s="58">
        <v>5.0999999999999996</v>
      </c>
      <c r="BF29" s="96"/>
      <c r="BG29" s="96"/>
      <c r="BH29" s="53">
        <v>16.690000000000001</v>
      </c>
      <c r="BI29" s="58">
        <f t="shared" ref="BI29:BI35" si="70">SUM(BF29-BE29)+(BH29-BG29)</f>
        <v>11.590000000000002</v>
      </c>
      <c r="BJ29" s="97">
        <v>7.3</v>
      </c>
      <c r="BK29" s="58">
        <v>1</v>
      </c>
      <c r="BL29" s="59">
        <f t="shared" ref="BL29:BL35" si="71">SUM((BI29-BJ29)-BK29)</f>
        <v>3.2900000000000018</v>
      </c>
      <c r="BM29" s="86">
        <v>3</v>
      </c>
      <c r="BN29" s="86">
        <f t="shared" ref="BN29:BN35" si="72">SUM(BL29-BM29)*100</f>
        <v>29.000000000000181</v>
      </c>
      <c r="BO29" s="98"/>
      <c r="BQ29" s="86" t="s">
        <v>1</v>
      </c>
      <c r="BR29" s="86">
        <v>21</v>
      </c>
      <c r="BS29" s="58">
        <v>5.0999999999999996</v>
      </c>
      <c r="BT29" s="96"/>
      <c r="BU29" s="96"/>
      <c r="BV29" s="53">
        <v>16.690000000000001</v>
      </c>
      <c r="BW29" s="58">
        <f t="shared" ref="BW29:BW35" si="73">SUM(BT29-BS29)+(BV29-BU29)</f>
        <v>11.590000000000002</v>
      </c>
      <c r="BX29" s="97">
        <v>7.3</v>
      </c>
      <c r="BY29" s="58">
        <v>1</v>
      </c>
      <c r="BZ29" s="59">
        <f t="shared" ref="BZ29:BZ35" si="74">SUM((BW29-BX29)-BY29)</f>
        <v>3.2900000000000018</v>
      </c>
      <c r="CA29" s="86">
        <v>3</v>
      </c>
      <c r="CB29" s="86">
        <f t="shared" ref="CB29:CB35" si="75">SUM(BZ29-CA29)*100</f>
        <v>29.000000000000181</v>
      </c>
      <c r="CC29" s="98"/>
      <c r="CD29" s="86" t="s">
        <v>1</v>
      </c>
      <c r="CE29" s="86">
        <v>21</v>
      </c>
      <c r="CF29" s="58"/>
      <c r="CG29" s="96"/>
      <c r="CH29" s="96"/>
      <c r="CI29" s="53"/>
      <c r="CJ29" s="58"/>
      <c r="CK29" s="97"/>
      <c r="CL29" s="58"/>
      <c r="CM29" s="59"/>
      <c r="CN29" s="86"/>
      <c r="CO29" s="86"/>
      <c r="CP29" s="98"/>
      <c r="CR29" s="86" t="s">
        <v>1</v>
      </c>
      <c r="CS29" s="86">
        <v>21</v>
      </c>
      <c r="CT29" s="58">
        <v>4.4000000000000004</v>
      </c>
      <c r="CU29" s="96"/>
      <c r="CV29" s="96"/>
      <c r="CW29" s="53">
        <v>16.690000000000001</v>
      </c>
      <c r="CX29" s="58">
        <f t="shared" si="18"/>
        <v>12.290000000000001</v>
      </c>
      <c r="CY29" s="97">
        <v>7.3</v>
      </c>
      <c r="CZ29" s="58">
        <v>1.4</v>
      </c>
      <c r="DA29" s="59">
        <f t="shared" si="19"/>
        <v>3.5900000000000012</v>
      </c>
      <c r="DB29" s="86">
        <v>3</v>
      </c>
      <c r="DC29" s="86">
        <f t="shared" si="20"/>
        <v>59.000000000000121</v>
      </c>
      <c r="DD29" s="98"/>
    </row>
    <row r="30" spans="1:109" ht="17.149999999999999" customHeight="1" x14ac:dyDescent="0.35">
      <c r="A30" s="86" t="s">
        <v>216</v>
      </c>
      <c r="B30" s="86">
        <v>22</v>
      </c>
      <c r="C30" s="58">
        <v>5.0999999999999996</v>
      </c>
      <c r="D30" s="96"/>
      <c r="E30" s="96"/>
      <c r="F30" s="53">
        <v>15.93</v>
      </c>
      <c r="G30" s="58">
        <f t="shared" si="61"/>
        <v>10.83</v>
      </c>
      <c r="H30" s="97">
        <v>7.3</v>
      </c>
      <c r="I30" s="58">
        <v>1</v>
      </c>
      <c r="J30" s="59">
        <f t="shared" si="62"/>
        <v>2.5300000000000002</v>
      </c>
      <c r="K30" s="86">
        <v>2</v>
      </c>
      <c r="L30" s="86">
        <f t="shared" si="63"/>
        <v>53.000000000000028</v>
      </c>
      <c r="M30" s="98"/>
      <c r="O30" s="86" t="s">
        <v>216</v>
      </c>
      <c r="P30" s="86">
        <v>22</v>
      </c>
      <c r="Q30" s="58">
        <v>4.4000000000000004</v>
      </c>
      <c r="R30" s="96"/>
      <c r="S30" s="96"/>
      <c r="T30" s="53">
        <v>15.93</v>
      </c>
      <c r="U30" s="58">
        <f t="shared" si="64"/>
        <v>11.53</v>
      </c>
      <c r="V30" s="97">
        <v>7.3</v>
      </c>
      <c r="W30" s="58">
        <v>1</v>
      </c>
      <c r="X30" s="59">
        <f t="shared" si="65"/>
        <v>3.2299999999999995</v>
      </c>
      <c r="Y30" s="86">
        <v>3</v>
      </c>
      <c r="Z30" s="86">
        <f t="shared" si="66"/>
        <v>22.999999999999954</v>
      </c>
      <c r="AA30" s="98"/>
      <c r="AB30" s="86" t="s">
        <v>216</v>
      </c>
      <c r="AC30" s="86">
        <v>22</v>
      </c>
      <c r="AD30" s="58">
        <v>4.4000000000000004</v>
      </c>
      <c r="AE30" s="96"/>
      <c r="AF30" s="96"/>
      <c r="AG30" s="53">
        <v>15.93</v>
      </c>
      <c r="AH30" s="58">
        <f t="shared" si="6"/>
        <v>11.53</v>
      </c>
      <c r="AI30" s="97">
        <v>7.3</v>
      </c>
      <c r="AJ30" s="58">
        <v>1</v>
      </c>
      <c r="AK30" s="59">
        <f t="shared" si="7"/>
        <v>3.2299999999999995</v>
      </c>
      <c r="AL30" s="86">
        <v>3</v>
      </c>
      <c r="AM30" s="86">
        <f t="shared" si="8"/>
        <v>22.999999999999954</v>
      </c>
      <c r="AN30" s="98"/>
      <c r="AP30" s="86" t="s">
        <v>216</v>
      </c>
      <c r="AQ30" s="86">
        <v>22</v>
      </c>
      <c r="AR30" s="58">
        <v>5.0999999999999996</v>
      </c>
      <c r="AS30" s="96"/>
      <c r="AT30" s="96"/>
      <c r="AU30" s="53">
        <v>15.93</v>
      </c>
      <c r="AV30" s="58">
        <f t="shared" si="67"/>
        <v>10.83</v>
      </c>
      <c r="AW30" s="97">
        <v>7.3</v>
      </c>
      <c r="AX30" s="58">
        <v>1</v>
      </c>
      <c r="AY30" s="59">
        <f t="shared" si="68"/>
        <v>2.5300000000000002</v>
      </c>
      <c r="AZ30" s="86">
        <v>2</v>
      </c>
      <c r="BA30" s="86">
        <f t="shared" si="69"/>
        <v>53.000000000000028</v>
      </c>
      <c r="BB30" s="98"/>
      <c r="BC30" s="86" t="s">
        <v>216</v>
      </c>
      <c r="BD30" s="86">
        <v>22</v>
      </c>
      <c r="BE30" s="58">
        <v>5.0999999999999996</v>
      </c>
      <c r="BF30" s="96"/>
      <c r="BG30" s="96"/>
      <c r="BH30" s="53">
        <v>15.93</v>
      </c>
      <c r="BI30" s="58">
        <f t="shared" si="70"/>
        <v>10.83</v>
      </c>
      <c r="BJ30" s="97">
        <v>7.3</v>
      </c>
      <c r="BK30" s="58">
        <v>1</v>
      </c>
      <c r="BL30" s="59">
        <f t="shared" si="71"/>
        <v>2.5300000000000002</v>
      </c>
      <c r="BM30" s="86">
        <v>2</v>
      </c>
      <c r="BN30" s="86">
        <f t="shared" si="72"/>
        <v>53.000000000000028</v>
      </c>
      <c r="BO30" s="98"/>
      <c r="BQ30" s="86" t="s">
        <v>216</v>
      </c>
      <c r="BR30" s="86">
        <v>22</v>
      </c>
      <c r="BS30" s="58">
        <v>5.0999999999999996</v>
      </c>
      <c r="BT30" s="96"/>
      <c r="BU30" s="96"/>
      <c r="BV30" s="53">
        <v>15.93</v>
      </c>
      <c r="BW30" s="58">
        <f t="shared" si="73"/>
        <v>10.83</v>
      </c>
      <c r="BX30" s="97">
        <v>7.3</v>
      </c>
      <c r="BY30" s="58">
        <v>1</v>
      </c>
      <c r="BZ30" s="59">
        <f t="shared" si="74"/>
        <v>2.5300000000000002</v>
      </c>
      <c r="CA30" s="86">
        <v>2</v>
      </c>
      <c r="CB30" s="86">
        <f t="shared" si="75"/>
        <v>53.000000000000028</v>
      </c>
      <c r="CC30" s="98"/>
      <c r="CD30" s="86" t="s">
        <v>216</v>
      </c>
      <c r="CE30" s="86">
        <v>22</v>
      </c>
      <c r="CF30" s="58"/>
      <c r="CG30" s="96"/>
      <c r="CH30" s="96"/>
      <c r="CI30" s="53"/>
      <c r="CJ30" s="58"/>
      <c r="CK30" s="97"/>
      <c r="CL30" s="58"/>
      <c r="CM30" s="59"/>
      <c r="CN30" s="86"/>
      <c r="CO30" s="86"/>
      <c r="CP30" s="98"/>
      <c r="CR30" s="86" t="s">
        <v>216</v>
      </c>
      <c r="CS30" s="86">
        <v>22</v>
      </c>
      <c r="CT30" s="58">
        <v>4.4000000000000004</v>
      </c>
      <c r="CU30" s="96"/>
      <c r="CV30" s="96"/>
      <c r="CW30" s="53">
        <v>15.93</v>
      </c>
      <c r="CX30" s="58">
        <f t="shared" si="18"/>
        <v>11.53</v>
      </c>
      <c r="CY30" s="97">
        <v>7.3</v>
      </c>
      <c r="CZ30" s="58">
        <v>1</v>
      </c>
      <c r="DA30" s="59">
        <f t="shared" si="19"/>
        <v>3.2299999999999995</v>
      </c>
      <c r="DB30" s="86">
        <v>3</v>
      </c>
      <c r="DC30" s="86">
        <f t="shared" si="20"/>
        <v>22.999999999999954</v>
      </c>
      <c r="DD30" s="98"/>
    </row>
    <row r="31" spans="1:109" ht="17.149999999999999" customHeight="1" x14ac:dyDescent="0.35">
      <c r="A31" s="86" t="s">
        <v>2</v>
      </c>
      <c r="B31" s="86">
        <v>23</v>
      </c>
      <c r="C31" s="58">
        <v>5.0999999999999996</v>
      </c>
      <c r="D31" s="96"/>
      <c r="E31" s="96"/>
      <c r="F31" s="53">
        <v>16.98</v>
      </c>
      <c r="G31" s="58">
        <f t="shared" si="61"/>
        <v>11.88</v>
      </c>
      <c r="H31" s="97">
        <v>7.3</v>
      </c>
      <c r="I31" s="58">
        <v>1</v>
      </c>
      <c r="J31" s="59">
        <f t="shared" si="62"/>
        <v>3.580000000000001</v>
      </c>
      <c r="K31" s="86">
        <v>3</v>
      </c>
      <c r="L31" s="86">
        <f t="shared" si="63"/>
        <v>58.000000000000099</v>
      </c>
      <c r="M31" s="98"/>
      <c r="O31" s="86" t="s">
        <v>2</v>
      </c>
      <c r="P31" s="86">
        <v>23</v>
      </c>
      <c r="Q31" s="58">
        <v>4.4000000000000004</v>
      </c>
      <c r="R31" s="96"/>
      <c r="S31" s="96"/>
      <c r="T31" s="53">
        <v>16.98</v>
      </c>
      <c r="U31" s="58">
        <f t="shared" si="64"/>
        <v>12.58</v>
      </c>
      <c r="V31" s="97">
        <v>7.3</v>
      </c>
      <c r="W31" s="58">
        <v>1</v>
      </c>
      <c r="X31" s="59">
        <f t="shared" si="65"/>
        <v>4.28</v>
      </c>
      <c r="Y31" s="86">
        <v>4</v>
      </c>
      <c r="Z31" s="86">
        <f t="shared" si="66"/>
        <v>28.000000000000025</v>
      </c>
      <c r="AA31" s="98"/>
      <c r="AB31" s="86" t="s">
        <v>2</v>
      </c>
      <c r="AC31" s="86">
        <v>23</v>
      </c>
      <c r="AD31" s="58">
        <v>4.4000000000000004</v>
      </c>
      <c r="AE31" s="96"/>
      <c r="AF31" s="96"/>
      <c r="AG31" s="53">
        <v>16.98</v>
      </c>
      <c r="AH31" s="58">
        <f t="shared" si="6"/>
        <v>12.58</v>
      </c>
      <c r="AI31" s="97">
        <v>7.3</v>
      </c>
      <c r="AJ31" s="58">
        <v>1</v>
      </c>
      <c r="AK31" s="59">
        <f t="shared" si="7"/>
        <v>4.28</v>
      </c>
      <c r="AL31" s="86">
        <v>4</v>
      </c>
      <c r="AM31" s="86">
        <f t="shared" si="8"/>
        <v>28.000000000000025</v>
      </c>
      <c r="AN31" s="98"/>
      <c r="AP31" s="86" t="s">
        <v>2</v>
      </c>
      <c r="AQ31" s="86">
        <v>23</v>
      </c>
      <c r="AR31" s="58">
        <v>5.0999999999999996</v>
      </c>
      <c r="AS31" s="96"/>
      <c r="AT31" s="96"/>
      <c r="AU31" s="53">
        <v>16.98</v>
      </c>
      <c r="AV31" s="58">
        <f t="shared" si="67"/>
        <v>11.88</v>
      </c>
      <c r="AW31" s="97">
        <v>7.3</v>
      </c>
      <c r="AX31" s="58">
        <v>1</v>
      </c>
      <c r="AY31" s="59">
        <f t="shared" si="68"/>
        <v>3.580000000000001</v>
      </c>
      <c r="AZ31" s="86">
        <v>3</v>
      </c>
      <c r="BA31" s="86">
        <f t="shared" si="69"/>
        <v>58.000000000000099</v>
      </c>
      <c r="BB31" s="98"/>
      <c r="BC31" s="86" t="s">
        <v>2</v>
      </c>
      <c r="BD31" s="86">
        <v>23</v>
      </c>
      <c r="BE31" s="58">
        <v>5.0999999999999996</v>
      </c>
      <c r="BF31" s="96"/>
      <c r="BG31" s="96"/>
      <c r="BH31" s="53">
        <v>16.98</v>
      </c>
      <c r="BI31" s="58">
        <f t="shared" si="70"/>
        <v>11.88</v>
      </c>
      <c r="BJ31" s="97">
        <v>7.3</v>
      </c>
      <c r="BK31" s="58">
        <v>1</v>
      </c>
      <c r="BL31" s="59">
        <f t="shared" si="71"/>
        <v>3.580000000000001</v>
      </c>
      <c r="BM31" s="86">
        <v>3</v>
      </c>
      <c r="BN31" s="86">
        <f t="shared" si="72"/>
        <v>58.000000000000099</v>
      </c>
      <c r="BO31" s="98"/>
      <c r="BQ31" s="86" t="s">
        <v>2</v>
      </c>
      <c r="BR31" s="86">
        <v>23</v>
      </c>
      <c r="BS31" s="58">
        <v>5.0999999999999996</v>
      </c>
      <c r="BT31" s="96"/>
      <c r="BU31" s="96"/>
      <c r="BV31" s="53">
        <v>16.98</v>
      </c>
      <c r="BW31" s="58">
        <f t="shared" si="73"/>
        <v>11.88</v>
      </c>
      <c r="BX31" s="97">
        <v>7.3</v>
      </c>
      <c r="BY31" s="58">
        <v>1</v>
      </c>
      <c r="BZ31" s="59">
        <f t="shared" si="74"/>
        <v>3.580000000000001</v>
      </c>
      <c r="CA31" s="86">
        <v>3</v>
      </c>
      <c r="CB31" s="86">
        <f t="shared" si="75"/>
        <v>58.000000000000099</v>
      </c>
      <c r="CC31" s="98"/>
      <c r="CD31" s="86" t="s">
        <v>2</v>
      </c>
      <c r="CE31" s="86">
        <v>23</v>
      </c>
      <c r="CF31" s="58"/>
      <c r="CG31" s="96"/>
      <c r="CH31" s="96"/>
      <c r="CI31" s="53"/>
      <c r="CJ31" s="58"/>
      <c r="CK31" s="97"/>
      <c r="CL31" s="58"/>
      <c r="CM31" s="59"/>
      <c r="CN31" s="86"/>
      <c r="CO31" s="86"/>
      <c r="CP31" s="98"/>
      <c r="CR31" s="86" t="s">
        <v>2</v>
      </c>
      <c r="CS31" s="86">
        <v>23</v>
      </c>
      <c r="CT31" s="58">
        <v>4.4000000000000004</v>
      </c>
      <c r="CU31" s="96"/>
      <c r="CV31" s="96"/>
      <c r="CW31" s="53">
        <v>16.98</v>
      </c>
      <c r="CX31" s="58">
        <f t="shared" si="18"/>
        <v>12.58</v>
      </c>
      <c r="CY31" s="97">
        <v>7.3</v>
      </c>
      <c r="CZ31" s="58">
        <v>1</v>
      </c>
      <c r="DA31" s="59">
        <f t="shared" si="19"/>
        <v>4.28</v>
      </c>
      <c r="DB31" s="86">
        <v>4</v>
      </c>
      <c r="DC31" s="86">
        <f t="shared" si="20"/>
        <v>28.000000000000025</v>
      </c>
      <c r="DD31" s="98"/>
    </row>
    <row r="32" spans="1:109" s="54" customFormat="1" ht="17.149999999999999" customHeight="1" x14ac:dyDescent="0.35">
      <c r="A32" s="86" t="s">
        <v>225</v>
      </c>
      <c r="B32" s="86">
        <v>24</v>
      </c>
      <c r="C32" s="58">
        <v>5.0999999999999996</v>
      </c>
      <c r="D32" s="96"/>
      <c r="E32" s="96"/>
      <c r="F32" s="53">
        <v>15.7</v>
      </c>
      <c r="G32" s="58">
        <f t="shared" si="61"/>
        <v>10.6</v>
      </c>
      <c r="H32" s="97">
        <v>7.3</v>
      </c>
      <c r="I32" s="58">
        <v>1</v>
      </c>
      <c r="J32" s="59">
        <f t="shared" si="62"/>
        <v>2.2999999999999998</v>
      </c>
      <c r="K32" s="86">
        <v>2</v>
      </c>
      <c r="L32" s="86">
        <f t="shared" si="63"/>
        <v>29.999999999999982</v>
      </c>
      <c r="M32" s="98"/>
      <c r="N32"/>
      <c r="O32" s="86" t="s">
        <v>225</v>
      </c>
      <c r="P32" s="86">
        <v>24</v>
      </c>
      <c r="Q32" s="58">
        <v>4.4000000000000004</v>
      </c>
      <c r="R32" s="96"/>
      <c r="S32" s="96"/>
      <c r="T32" s="53">
        <v>15.7</v>
      </c>
      <c r="U32" s="58">
        <f t="shared" si="64"/>
        <v>11.299999999999999</v>
      </c>
      <c r="V32" s="97">
        <v>7.3</v>
      </c>
      <c r="W32" s="58">
        <v>1.4</v>
      </c>
      <c r="X32" s="59">
        <f t="shared" si="65"/>
        <v>2.5999999999999992</v>
      </c>
      <c r="Y32" s="86">
        <v>2</v>
      </c>
      <c r="Z32" s="86">
        <f t="shared" si="66"/>
        <v>59.999999999999922</v>
      </c>
      <c r="AA32" s="98"/>
      <c r="AB32" s="86" t="s">
        <v>225</v>
      </c>
      <c r="AC32" s="86">
        <v>24</v>
      </c>
      <c r="AD32" s="58">
        <v>4.4000000000000004</v>
      </c>
      <c r="AE32" s="96"/>
      <c r="AF32" s="96"/>
      <c r="AG32" s="53">
        <v>15.7</v>
      </c>
      <c r="AH32" s="58">
        <f t="shared" si="6"/>
        <v>11.299999999999999</v>
      </c>
      <c r="AI32" s="97">
        <v>7.3</v>
      </c>
      <c r="AJ32" s="58">
        <v>1.4</v>
      </c>
      <c r="AK32" s="59">
        <f t="shared" si="7"/>
        <v>2.5999999999999992</v>
      </c>
      <c r="AL32" s="86">
        <v>2</v>
      </c>
      <c r="AM32" s="86">
        <f t="shared" si="8"/>
        <v>59.999999999999922</v>
      </c>
      <c r="AN32" s="98"/>
      <c r="AO32"/>
      <c r="AP32" s="86" t="s">
        <v>225</v>
      </c>
      <c r="AQ32" s="86">
        <v>24</v>
      </c>
      <c r="AR32" s="58">
        <v>5.0999999999999996</v>
      </c>
      <c r="AS32" s="96"/>
      <c r="AT32" s="96"/>
      <c r="AU32" s="53">
        <v>15.7</v>
      </c>
      <c r="AV32" s="58">
        <f t="shared" si="67"/>
        <v>10.6</v>
      </c>
      <c r="AW32" s="97">
        <v>7.3</v>
      </c>
      <c r="AX32" s="58">
        <v>1</v>
      </c>
      <c r="AY32" s="59">
        <f t="shared" si="68"/>
        <v>2.2999999999999998</v>
      </c>
      <c r="AZ32" s="86">
        <v>2</v>
      </c>
      <c r="BA32" s="86">
        <f t="shared" si="69"/>
        <v>29.999999999999982</v>
      </c>
      <c r="BB32" s="98"/>
      <c r="BC32" s="86" t="s">
        <v>225</v>
      </c>
      <c r="BD32" s="86">
        <v>24</v>
      </c>
      <c r="BE32" s="58">
        <v>5.0999999999999996</v>
      </c>
      <c r="BF32" s="96"/>
      <c r="BG32" s="96"/>
      <c r="BH32" s="53">
        <v>15.7</v>
      </c>
      <c r="BI32" s="58">
        <f t="shared" si="70"/>
        <v>10.6</v>
      </c>
      <c r="BJ32" s="97">
        <v>7.3</v>
      </c>
      <c r="BK32" s="58">
        <v>1</v>
      </c>
      <c r="BL32" s="59">
        <f t="shared" si="71"/>
        <v>2.2999999999999998</v>
      </c>
      <c r="BM32" s="86">
        <v>2</v>
      </c>
      <c r="BN32" s="86">
        <f t="shared" si="72"/>
        <v>29.999999999999982</v>
      </c>
      <c r="BO32" s="98"/>
      <c r="BP32"/>
      <c r="BQ32" s="86" t="s">
        <v>225</v>
      </c>
      <c r="BR32" s="86">
        <v>24</v>
      </c>
      <c r="BS32" s="58">
        <v>5.0999999999999996</v>
      </c>
      <c r="BT32" s="96"/>
      <c r="BU32" s="96"/>
      <c r="BV32" s="53">
        <v>15.7</v>
      </c>
      <c r="BW32" s="58">
        <f t="shared" si="73"/>
        <v>10.6</v>
      </c>
      <c r="BX32" s="97">
        <v>7.3</v>
      </c>
      <c r="BY32" s="58">
        <v>1</v>
      </c>
      <c r="BZ32" s="59">
        <f t="shared" si="74"/>
        <v>2.2999999999999998</v>
      </c>
      <c r="CA32" s="86">
        <v>2</v>
      </c>
      <c r="CB32" s="86">
        <f t="shared" si="75"/>
        <v>29.999999999999982</v>
      </c>
      <c r="CC32" s="98"/>
      <c r="CD32" s="86" t="s">
        <v>225</v>
      </c>
      <c r="CE32" s="86">
        <v>24</v>
      </c>
      <c r="CF32" s="58"/>
      <c r="CG32" s="96"/>
      <c r="CH32" s="96"/>
      <c r="CI32" s="53"/>
      <c r="CJ32" s="58"/>
      <c r="CK32" s="97"/>
      <c r="CL32" s="58"/>
      <c r="CM32" s="59"/>
      <c r="CN32" s="86"/>
      <c r="CO32" s="86"/>
      <c r="CP32" s="98"/>
      <c r="CQ32"/>
      <c r="CR32" s="86" t="s">
        <v>225</v>
      </c>
      <c r="CS32" s="86">
        <v>24</v>
      </c>
      <c r="CT32" s="58">
        <v>4.4000000000000004</v>
      </c>
      <c r="CU32" s="96"/>
      <c r="CV32" s="96"/>
      <c r="CW32" s="53">
        <v>15.7</v>
      </c>
      <c r="CX32" s="58">
        <f t="shared" si="18"/>
        <v>11.299999999999999</v>
      </c>
      <c r="CY32" s="97">
        <v>7.3</v>
      </c>
      <c r="CZ32" s="58">
        <v>1.4</v>
      </c>
      <c r="DA32" s="59">
        <f t="shared" si="19"/>
        <v>2.5999999999999992</v>
      </c>
      <c r="DB32" s="86">
        <v>2</v>
      </c>
      <c r="DC32" s="86">
        <f t="shared" si="20"/>
        <v>59.999999999999922</v>
      </c>
      <c r="DD32" s="98"/>
      <c r="DE32"/>
    </row>
    <row r="33" spans="1:109" ht="17.149999999999999" customHeight="1" x14ac:dyDescent="0.35">
      <c r="A33" s="86" t="s">
        <v>4</v>
      </c>
      <c r="B33" s="86">
        <v>25</v>
      </c>
      <c r="C33" s="58">
        <v>5.0999999999999996</v>
      </c>
      <c r="D33" s="96"/>
      <c r="E33" s="96"/>
      <c r="F33" s="53">
        <v>16.96</v>
      </c>
      <c r="G33" s="58">
        <f t="shared" si="61"/>
        <v>11.860000000000001</v>
      </c>
      <c r="H33" s="97">
        <v>7.3</v>
      </c>
      <c r="I33" s="58">
        <v>1</v>
      </c>
      <c r="J33" s="59">
        <f t="shared" si="62"/>
        <v>3.5600000000000014</v>
      </c>
      <c r="K33" s="86">
        <v>3</v>
      </c>
      <c r="L33" s="86">
        <f t="shared" si="63"/>
        <v>56.000000000000142</v>
      </c>
      <c r="M33" s="98"/>
      <c r="O33" s="86" t="s">
        <v>4</v>
      </c>
      <c r="P33" s="86">
        <v>25</v>
      </c>
      <c r="Q33" s="58">
        <v>4.4000000000000004</v>
      </c>
      <c r="R33" s="96"/>
      <c r="S33" s="96"/>
      <c r="T33" s="53">
        <v>16.96</v>
      </c>
      <c r="U33" s="58">
        <f t="shared" si="64"/>
        <v>12.56</v>
      </c>
      <c r="V33" s="97">
        <v>7.3</v>
      </c>
      <c r="W33" s="58">
        <v>1</v>
      </c>
      <c r="X33" s="59">
        <f t="shared" si="65"/>
        <v>4.2600000000000007</v>
      </c>
      <c r="Y33" s="86">
        <v>4</v>
      </c>
      <c r="Z33" s="86">
        <f t="shared" si="66"/>
        <v>26.000000000000068</v>
      </c>
      <c r="AA33" s="98"/>
      <c r="AB33" s="86" t="s">
        <v>4</v>
      </c>
      <c r="AC33" s="86">
        <v>25</v>
      </c>
      <c r="AD33" s="58">
        <v>4.4000000000000004</v>
      </c>
      <c r="AE33" s="96"/>
      <c r="AF33" s="96"/>
      <c r="AG33" s="53">
        <v>16.96</v>
      </c>
      <c r="AH33" s="58">
        <f t="shared" si="6"/>
        <v>12.56</v>
      </c>
      <c r="AI33" s="97">
        <v>7.3</v>
      </c>
      <c r="AJ33" s="58">
        <v>1</v>
      </c>
      <c r="AK33" s="59">
        <f t="shared" si="7"/>
        <v>4.2600000000000007</v>
      </c>
      <c r="AL33" s="86">
        <v>4</v>
      </c>
      <c r="AM33" s="86">
        <f t="shared" si="8"/>
        <v>26.000000000000068</v>
      </c>
      <c r="AN33" s="98"/>
      <c r="AP33" s="86" t="s">
        <v>4</v>
      </c>
      <c r="AQ33" s="86">
        <v>25</v>
      </c>
      <c r="AR33" s="58">
        <v>5.0999999999999996</v>
      </c>
      <c r="AS33" s="96"/>
      <c r="AT33" s="96"/>
      <c r="AU33" s="53">
        <v>16.96</v>
      </c>
      <c r="AV33" s="58">
        <f t="shared" si="67"/>
        <v>11.860000000000001</v>
      </c>
      <c r="AW33" s="97">
        <v>7.3</v>
      </c>
      <c r="AX33" s="58">
        <v>1</v>
      </c>
      <c r="AY33" s="59">
        <f t="shared" si="68"/>
        <v>3.5600000000000014</v>
      </c>
      <c r="AZ33" s="86">
        <v>3</v>
      </c>
      <c r="BA33" s="86">
        <f t="shared" si="69"/>
        <v>56.000000000000142</v>
      </c>
      <c r="BB33" s="98"/>
      <c r="BC33" s="86" t="s">
        <v>4</v>
      </c>
      <c r="BD33" s="86">
        <v>25</v>
      </c>
      <c r="BE33" s="58">
        <v>5.0999999999999996</v>
      </c>
      <c r="BF33" s="96"/>
      <c r="BG33" s="96"/>
      <c r="BH33" s="53">
        <v>16.96</v>
      </c>
      <c r="BI33" s="58">
        <f t="shared" si="70"/>
        <v>11.860000000000001</v>
      </c>
      <c r="BJ33" s="97">
        <v>7.3</v>
      </c>
      <c r="BK33" s="58">
        <v>1</v>
      </c>
      <c r="BL33" s="59">
        <f t="shared" si="71"/>
        <v>3.5600000000000014</v>
      </c>
      <c r="BM33" s="86">
        <v>3</v>
      </c>
      <c r="BN33" s="86">
        <f t="shared" si="72"/>
        <v>56.000000000000142</v>
      </c>
      <c r="BO33" s="98"/>
      <c r="BQ33" s="86" t="s">
        <v>4</v>
      </c>
      <c r="BR33" s="86">
        <v>25</v>
      </c>
      <c r="BS33" s="58">
        <v>5.0999999999999996</v>
      </c>
      <c r="BT33" s="96"/>
      <c r="BU33" s="96"/>
      <c r="BV33" s="53">
        <v>16.96</v>
      </c>
      <c r="BW33" s="58">
        <f t="shared" si="73"/>
        <v>11.860000000000001</v>
      </c>
      <c r="BX33" s="97">
        <v>7.3</v>
      </c>
      <c r="BY33" s="58">
        <v>1</v>
      </c>
      <c r="BZ33" s="59">
        <f t="shared" si="74"/>
        <v>3.5600000000000014</v>
      </c>
      <c r="CA33" s="86">
        <v>3</v>
      </c>
      <c r="CB33" s="86">
        <f t="shared" si="75"/>
        <v>56.000000000000142</v>
      </c>
      <c r="CC33" s="98"/>
      <c r="CD33" s="86" t="s">
        <v>4</v>
      </c>
      <c r="CE33" s="86">
        <v>25</v>
      </c>
      <c r="CF33" s="58"/>
      <c r="CG33" s="96"/>
      <c r="CH33" s="96"/>
      <c r="CI33" s="53"/>
      <c r="CJ33" s="58"/>
      <c r="CK33" s="97"/>
      <c r="CL33" s="58"/>
      <c r="CM33" s="59"/>
      <c r="CN33" s="86"/>
      <c r="CO33" s="86"/>
      <c r="CP33" s="98"/>
      <c r="CR33" s="86" t="s">
        <v>4</v>
      </c>
      <c r="CS33" s="86">
        <v>25</v>
      </c>
      <c r="CT33" s="58">
        <v>4.4000000000000004</v>
      </c>
      <c r="CU33" s="96"/>
      <c r="CV33" s="96"/>
      <c r="CW33" s="53">
        <v>16.96</v>
      </c>
      <c r="CX33" s="58">
        <f t="shared" si="18"/>
        <v>12.56</v>
      </c>
      <c r="CY33" s="97">
        <v>7.3</v>
      </c>
      <c r="CZ33" s="58">
        <v>1</v>
      </c>
      <c r="DA33" s="59">
        <f t="shared" si="19"/>
        <v>4.2600000000000007</v>
      </c>
      <c r="DB33" s="86">
        <v>4</v>
      </c>
      <c r="DC33" s="86">
        <f t="shared" si="20"/>
        <v>26.000000000000068</v>
      </c>
      <c r="DD33" s="98"/>
    </row>
    <row r="34" spans="1:109" ht="17.149999999999999" customHeight="1" x14ac:dyDescent="0.35">
      <c r="A34" s="86" t="s">
        <v>5</v>
      </c>
      <c r="B34" s="86">
        <v>26</v>
      </c>
      <c r="C34" s="58">
        <v>5.0999999999999996</v>
      </c>
      <c r="D34" s="96"/>
      <c r="E34" s="96"/>
      <c r="F34" s="53">
        <v>15.65</v>
      </c>
      <c r="G34" s="58">
        <f t="shared" si="61"/>
        <v>10.55</v>
      </c>
      <c r="H34" s="97">
        <v>7.3</v>
      </c>
      <c r="I34" s="58">
        <v>1</v>
      </c>
      <c r="J34" s="59">
        <f t="shared" si="62"/>
        <v>2.2500000000000009</v>
      </c>
      <c r="K34" s="86">
        <v>2</v>
      </c>
      <c r="L34" s="86">
        <f t="shared" si="63"/>
        <v>25.000000000000089</v>
      </c>
      <c r="M34" s="98"/>
      <c r="O34" s="86" t="s">
        <v>5</v>
      </c>
      <c r="P34" s="86">
        <v>26</v>
      </c>
      <c r="Q34" s="58">
        <v>4.4000000000000004</v>
      </c>
      <c r="R34" s="96"/>
      <c r="S34" s="96"/>
      <c r="T34" s="53">
        <v>15.65</v>
      </c>
      <c r="U34" s="58">
        <f t="shared" si="64"/>
        <v>11.25</v>
      </c>
      <c r="V34" s="97">
        <v>7.3</v>
      </c>
      <c r="W34" s="58">
        <v>1.4</v>
      </c>
      <c r="X34" s="59">
        <f t="shared" si="65"/>
        <v>2.5500000000000003</v>
      </c>
      <c r="Y34" s="86">
        <v>2</v>
      </c>
      <c r="Z34" s="86">
        <f t="shared" si="66"/>
        <v>55.000000000000028</v>
      </c>
      <c r="AA34" s="98"/>
      <c r="AB34" s="86" t="s">
        <v>5</v>
      </c>
      <c r="AC34" s="86">
        <v>26</v>
      </c>
      <c r="AD34" s="58">
        <v>4.4000000000000004</v>
      </c>
      <c r="AE34" s="96"/>
      <c r="AF34" s="96"/>
      <c r="AG34" s="53">
        <v>15.65</v>
      </c>
      <c r="AH34" s="58">
        <f t="shared" si="6"/>
        <v>11.25</v>
      </c>
      <c r="AI34" s="97">
        <v>7.3</v>
      </c>
      <c r="AJ34" s="58">
        <v>1.4</v>
      </c>
      <c r="AK34" s="59">
        <f t="shared" si="7"/>
        <v>2.5500000000000003</v>
      </c>
      <c r="AL34" s="86">
        <v>2</v>
      </c>
      <c r="AM34" s="86">
        <f t="shared" si="8"/>
        <v>55.000000000000028</v>
      </c>
      <c r="AN34" s="98"/>
      <c r="AP34" s="86" t="s">
        <v>5</v>
      </c>
      <c r="AQ34" s="86">
        <v>26</v>
      </c>
      <c r="AR34" s="58">
        <v>5.0999999999999996</v>
      </c>
      <c r="AS34" s="96"/>
      <c r="AT34" s="96"/>
      <c r="AU34" s="53">
        <v>15.65</v>
      </c>
      <c r="AV34" s="58">
        <f t="shared" si="67"/>
        <v>10.55</v>
      </c>
      <c r="AW34" s="97">
        <v>7.3</v>
      </c>
      <c r="AX34" s="58">
        <v>1</v>
      </c>
      <c r="AY34" s="59">
        <f t="shared" si="68"/>
        <v>2.2500000000000009</v>
      </c>
      <c r="AZ34" s="86">
        <v>2</v>
      </c>
      <c r="BA34" s="86">
        <f t="shared" si="69"/>
        <v>25.000000000000089</v>
      </c>
      <c r="BB34" s="98"/>
      <c r="BC34" s="86" t="s">
        <v>5</v>
      </c>
      <c r="BD34" s="86">
        <v>26</v>
      </c>
      <c r="BE34" s="58">
        <v>5.0999999999999996</v>
      </c>
      <c r="BF34" s="96"/>
      <c r="BG34" s="96"/>
      <c r="BH34" s="53">
        <v>15.65</v>
      </c>
      <c r="BI34" s="58">
        <f t="shared" si="70"/>
        <v>10.55</v>
      </c>
      <c r="BJ34" s="97">
        <v>7.3</v>
      </c>
      <c r="BK34" s="58">
        <v>1</v>
      </c>
      <c r="BL34" s="59">
        <f t="shared" si="71"/>
        <v>2.2500000000000009</v>
      </c>
      <c r="BM34" s="86">
        <v>2</v>
      </c>
      <c r="BN34" s="86">
        <f t="shared" si="72"/>
        <v>25.000000000000089</v>
      </c>
      <c r="BO34" s="98"/>
      <c r="BQ34" s="86" t="s">
        <v>5</v>
      </c>
      <c r="BR34" s="86">
        <v>26</v>
      </c>
      <c r="BS34" s="58">
        <v>5.0999999999999996</v>
      </c>
      <c r="BT34" s="96"/>
      <c r="BU34" s="96"/>
      <c r="BV34" s="53">
        <v>15.65</v>
      </c>
      <c r="BW34" s="58">
        <f t="shared" si="73"/>
        <v>10.55</v>
      </c>
      <c r="BX34" s="97">
        <v>7.3</v>
      </c>
      <c r="BY34" s="58">
        <v>1</v>
      </c>
      <c r="BZ34" s="59">
        <f t="shared" si="74"/>
        <v>2.2500000000000009</v>
      </c>
      <c r="CA34" s="86">
        <v>2</v>
      </c>
      <c r="CB34" s="86">
        <f t="shared" si="75"/>
        <v>25.000000000000089</v>
      </c>
      <c r="CC34" s="98"/>
      <c r="CD34" s="86" t="s">
        <v>5</v>
      </c>
      <c r="CE34" s="86">
        <v>26</v>
      </c>
      <c r="CF34" s="58"/>
      <c r="CG34" s="96"/>
      <c r="CH34" s="96"/>
      <c r="CI34" s="53"/>
      <c r="CJ34" s="58"/>
      <c r="CK34" s="97"/>
      <c r="CL34" s="58"/>
      <c r="CM34" s="59"/>
      <c r="CN34" s="86"/>
      <c r="CO34" s="86"/>
      <c r="CP34" s="98"/>
      <c r="CR34" s="86" t="s">
        <v>5</v>
      </c>
      <c r="CS34" s="86">
        <v>26</v>
      </c>
      <c r="CT34" s="58">
        <v>4.4000000000000004</v>
      </c>
      <c r="CU34" s="96"/>
      <c r="CV34" s="96"/>
      <c r="CW34" s="53">
        <v>15.65</v>
      </c>
      <c r="CX34" s="58">
        <f t="shared" si="18"/>
        <v>11.25</v>
      </c>
      <c r="CY34" s="97">
        <v>7.3</v>
      </c>
      <c r="CZ34" s="58">
        <v>1.4</v>
      </c>
      <c r="DA34" s="59">
        <f t="shared" si="19"/>
        <v>2.5500000000000003</v>
      </c>
      <c r="DB34" s="86">
        <v>2</v>
      </c>
      <c r="DC34" s="86">
        <f t="shared" si="20"/>
        <v>55.000000000000028</v>
      </c>
      <c r="DD34" s="98"/>
    </row>
    <row r="35" spans="1:109" ht="17.149999999999999" customHeight="1" x14ac:dyDescent="0.35">
      <c r="A35" s="55" t="s">
        <v>6</v>
      </c>
      <c r="B35" s="55">
        <v>27</v>
      </c>
      <c r="C35" s="52"/>
      <c r="D35" s="52"/>
      <c r="E35" s="52"/>
      <c r="F35" s="52"/>
      <c r="G35" s="52">
        <f t="shared" si="61"/>
        <v>0</v>
      </c>
      <c r="H35" s="56"/>
      <c r="I35" s="52"/>
      <c r="J35" s="57">
        <f t="shared" si="62"/>
        <v>0</v>
      </c>
      <c r="K35" s="55">
        <v>0</v>
      </c>
      <c r="L35" s="55">
        <f t="shared" si="63"/>
        <v>0</v>
      </c>
      <c r="M35" s="95"/>
      <c r="O35" s="55" t="s">
        <v>6</v>
      </c>
      <c r="P35" s="55">
        <v>27</v>
      </c>
      <c r="Q35" s="52"/>
      <c r="R35" s="52"/>
      <c r="S35" s="52">
        <v>9</v>
      </c>
      <c r="T35" s="52">
        <v>11.31</v>
      </c>
      <c r="U35" s="52">
        <f t="shared" si="64"/>
        <v>2.3100000000000005</v>
      </c>
      <c r="V35" s="56"/>
      <c r="W35" s="52"/>
      <c r="X35" s="57">
        <f t="shared" si="65"/>
        <v>2.3100000000000005</v>
      </c>
      <c r="Y35" s="55">
        <v>2</v>
      </c>
      <c r="Z35" s="55">
        <f t="shared" si="66"/>
        <v>31.00000000000005</v>
      </c>
      <c r="AA35" s="95"/>
      <c r="AB35" s="55" t="s">
        <v>6</v>
      </c>
      <c r="AC35" s="55">
        <v>27</v>
      </c>
      <c r="AD35" s="52"/>
      <c r="AE35" s="52"/>
      <c r="AF35" s="52"/>
      <c r="AG35" s="52"/>
      <c r="AH35" s="52">
        <f t="shared" si="6"/>
        <v>0</v>
      </c>
      <c r="AI35" s="56"/>
      <c r="AJ35" s="52"/>
      <c r="AK35" s="57">
        <f t="shared" si="7"/>
        <v>0</v>
      </c>
      <c r="AL35" s="55">
        <v>0</v>
      </c>
      <c r="AM35" s="55">
        <f t="shared" si="8"/>
        <v>0</v>
      </c>
      <c r="AN35" s="95"/>
      <c r="AP35" s="55" t="s">
        <v>6</v>
      </c>
      <c r="AQ35" s="55">
        <v>27</v>
      </c>
      <c r="AR35" s="52"/>
      <c r="AS35" s="52"/>
      <c r="AT35" s="52"/>
      <c r="AU35" s="52"/>
      <c r="AV35" s="52">
        <f t="shared" si="67"/>
        <v>0</v>
      </c>
      <c r="AW35" s="56"/>
      <c r="AX35" s="52"/>
      <c r="AY35" s="57">
        <f t="shared" si="68"/>
        <v>0</v>
      </c>
      <c r="AZ35" s="55">
        <v>0</v>
      </c>
      <c r="BA35" s="55">
        <f t="shared" si="69"/>
        <v>0</v>
      </c>
      <c r="BB35" s="95"/>
      <c r="BC35" s="55" t="s">
        <v>6</v>
      </c>
      <c r="BD35" s="55">
        <v>27</v>
      </c>
      <c r="BE35" s="52"/>
      <c r="BF35" s="52"/>
      <c r="BG35" s="52"/>
      <c r="BH35" s="52"/>
      <c r="BI35" s="52">
        <f t="shared" si="70"/>
        <v>0</v>
      </c>
      <c r="BJ35" s="56"/>
      <c r="BK35" s="52"/>
      <c r="BL35" s="57">
        <f t="shared" si="71"/>
        <v>0</v>
      </c>
      <c r="BM35" s="55">
        <v>0</v>
      </c>
      <c r="BN35" s="55">
        <f t="shared" si="72"/>
        <v>0</v>
      </c>
      <c r="BO35" s="95"/>
      <c r="BQ35" s="55" t="s">
        <v>6</v>
      </c>
      <c r="BR35" s="55">
        <v>27</v>
      </c>
      <c r="BS35" s="52"/>
      <c r="BT35" s="52"/>
      <c r="BU35" s="52">
        <v>9.1</v>
      </c>
      <c r="BV35" s="52">
        <v>11.3</v>
      </c>
      <c r="BW35" s="52">
        <f t="shared" si="73"/>
        <v>2.2000000000000011</v>
      </c>
      <c r="BX35" s="56"/>
      <c r="BY35" s="52"/>
      <c r="BZ35" s="57">
        <f t="shared" si="74"/>
        <v>2.2000000000000011</v>
      </c>
      <c r="CA35" s="55">
        <v>2</v>
      </c>
      <c r="CB35" s="55">
        <f t="shared" si="75"/>
        <v>20.000000000000107</v>
      </c>
      <c r="CC35" s="95"/>
      <c r="CD35" s="55" t="s">
        <v>6</v>
      </c>
      <c r="CE35" s="55">
        <v>27</v>
      </c>
      <c r="CF35" s="52"/>
      <c r="CG35" s="52"/>
      <c r="CH35" s="52"/>
      <c r="CI35" s="52"/>
      <c r="CJ35" s="52"/>
      <c r="CK35" s="56"/>
      <c r="CL35" s="52"/>
      <c r="CM35" s="57"/>
      <c r="CN35" s="55"/>
      <c r="CO35" s="55"/>
      <c r="CP35" s="95"/>
      <c r="CR35" s="55" t="s">
        <v>6</v>
      </c>
      <c r="CS35" s="55">
        <v>27</v>
      </c>
      <c r="CT35" s="52"/>
      <c r="CU35" s="52"/>
      <c r="CV35" s="52"/>
      <c r="CW35" s="52"/>
      <c r="CX35" s="52">
        <f t="shared" si="18"/>
        <v>0</v>
      </c>
      <c r="CY35" s="56"/>
      <c r="CZ35" s="52"/>
      <c r="DA35" s="57">
        <f t="shared" si="19"/>
        <v>0</v>
      </c>
      <c r="DB35" s="55">
        <v>0</v>
      </c>
      <c r="DC35" s="55">
        <f t="shared" si="20"/>
        <v>0</v>
      </c>
      <c r="DD35" s="95"/>
    </row>
    <row r="36" spans="1:109" ht="17.149999999999999" customHeight="1" x14ac:dyDescent="0.35">
      <c r="A36" s="86" t="s">
        <v>1</v>
      </c>
      <c r="B36" s="86">
        <v>28</v>
      </c>
      <c r="C36" s="58">
        <v>5.0999999999999996</v>
      </c>
      <c r="D36" s="96"/>
      <c r="E36" s="96"/>
      <c r="F36" s="53">
        <v>16.64</v>
      </c>
      <c r="G36" s="58">
        <f t="shared" ref="G36:G38" si="76">SUM(D36-C36)+(F36-E36)</f>
        <v>11.540000000000001</v>
      </c>
      <c r="H36" s="97">
        <v>7.3</v>
      </c>
      <c r="I36" s="58">
        <v>1</v>
      </c>
      <c r="J36" s="59">
        <f t="shared" ref="J36:J38" si="77">SUM((G36-H36)-I36)</f>
        <v>3.2400000000000011</v>
      </c>
      <c r="K36" s="86">
        <v>3</v>
      </c>
      <c r="L36" s="86">
        <f t="shared" ref="L36:L38" si="78">SUM(J36-K36)*100</f>
        <v>24.00000000000011</v>
      </c>
      <c r="M36" s="98"/>
      <c r="O36" s="86" t="s">
        <v>1</v>
      </c>
      <c r="P36" s="86">
        <v>28</v>
      </c>
      <c r="Q36" s="58">
        <v>4.4000000000000004</v>
      </c>
      <c r="R36" s="96"/>
      <c r="S36" s="96"/>
      <c r="T36" s="53">
        <v>16.64</v>
      </c>
      <c r="U36" s="58">
        <f t="shared" ref="U36:U38" si="79">SUM(R36-Q36)+(T36-S36)</f>
        <v>12.24</v>
      </c>
      <c r="V36" s="97">
        <v>7.3</v>
      </c>
      <c r="W36" s="58">
        <v>1.4</v>
      </c>
      <c r="X36" s="59">
        <f t="shared" ref="X36:X38" si="80">SUM((U36-V36)-W36)</f>
        <v>3.5400000000000005</v>
      </c>
      <c r="Y36" s="86">
        <v>3</v>
      </c>
      <c r="Z36" s="86">
        <f t="shared" ref="Z36:Z38" si="81">SUM(X36-Y36)*100</f>
        <v>54.00000000000005</v>
      </c>
      <c r="AA36" s="98"/>
      <c r="AB36" s="86" t="s">
        <v>1</v>
      </c>
      <c r="AC36" s="86">
        <v>28</v>
      </c>
      <c r="AD36" s="58">
        <v>4.4000000000000004</v>
      </c>
      <c r="AE36" s="96"/>
      <c r="AF36" s="96"/>
      <c r="AG36" s="53">
        <v>16.64</v>
      </c>
      <c r="AH36" s="58">
        <f t="shared" si="6"/>
        <v>12.24</v>
      </c>
      <c r="AI36" s="97">
        <v>7.3</v>
      </c>
      <c r="AJ36" s="58">
        <v>1.4</v>
      </c>
      <c r="AK36" s="59">
        <f t="shared" si="7"/>
        <v>3.5400000000000005</v>
      </c>
      <c r="AL36" s="86">
        <v>3</v>
      </c>
      <c r="AM36" s="86">
        <f t="shared" si="8"/>
        <v>54.00000000000005</v>
      </c>
      <c r="AN36" s="98"/>
      <c r="AP36" s="86" t="s">
        <v>1</v>
      </c>
      <c r="AQ36" s="86">
        <v>28</v>
      </c>
      <c r="AR36" s="58">
        <v>5.0999999999999996</v>
      </c>
      <c r="AS36" s="96"/>
      <c r="AT36" s="96"/>
      <c r="AU36" s="53">
        <v>16.64</v>
      </c>
      <c r="AV36" s="58">
        <f t="shared" ref="AV36:AV38" si="82">SUM(AS36-AR36)+(AU36-AT36)</f>
        <v>11.540000000000001</v>
      </c>
      <c r="AW36" s="97">
        <v>7.3</v>
      </c>
      <c r="AX36" s="58">
        <v>1</v>
      </c>
      <c r="AY36" s="59">
        <f t="shared" ref="AY36:AY38" si="83">SUM((AV36-AW36)-AX36)</f>
        <v>3.2400000000000011</v>
      </c>
      <c r="AZ36" s="86">
        <v>3</v>
      </c>
      <c r="BA36" s="86">
        <f t="shared" ref="BA36:BA38" si="84">SUM(AY36-AZ36)*100</f>
        <v>24.00000000000011</v>
      </c>
      <c r="BB36" s="98"/>
      <c r="BC36" s="86" t="s">
        <v>1</v>
      </c>
      <c r="BD36" s="86">
        <v>28</v>
      </c>
      <c r="BE36" s="58">
        <v>5.0999999999999996</v>
      </c>
      <c r="BF36" s="96"/>
      <c r="BG36" s="96"/>
      <c r="BH36" s="53">
        <v>16.64</v>
      </c>
      <c r="BI36" s="58">
        <f t="shared" ref="BI36:BI38" si="85">SUM(BF36-BE36)+(BH36-BG36)</f>
        <v>11.540000000000001</v>
      </c>
      <c r="BJ36" s="97">
        <v>7.3</v>
      </c>
      <c r="BK36" s="58">
        <v>1</v>
      </c>
      <c r="BL36" s="59">
        <f t="shared" ref="BL36:BL38" si="86">SUM((BI36-BJ36)-BK36)</f>
        <v>3.2400000000000011</v>
      </c>
      <c r="BM36" s="86">
        <v>3</v>
      </c>
      <c r="BN36" s="86">
        <f t="shared" ref="BN36:BN38" si="87">SUM(BL36-BM36)*100</f>
        <v>24.00000000000011</v>
      </c>
      <c r="BO36" s="98"/>
      <c r="BQ36" s="86" t="s">
        <v>1</v>
      </c>
      <c r="BR36" s="86">
        <v>28</v>
      </c>
      <c r="BS36" s="58">
        <v>5.0999999999999996</v>
      </c>
      <c r="BT36" s="96"/>
      <c r="BU36" s="96"/>
      <c r="BV36" s="53">
        <v>16.64</v>
      </c>
      <c r="BW36" s="58">
        <f t="shared" ref="BW36:BW38" si="88">SUM(BT36-BS36)+(BV36-BU36)</f>
        <v>11.540000000000001</v>
      </c>
      <c r="BX36" s="97">
        <v>7.3</v>
      </c>
      <c r="BY36" s="58">
        <v>1</v>
      </c>
      <c r="BZ36" s="59">
        <f t="shared" ref="BZ36:BZ38" si="89">SUM((BW36-BX36)-BY36)</f>
        <v>3.2400000000000011</v>
      </c>
      <c r="CA36" s="86">
        <v>3</v>
      </c>
      <c r="CB36" s="86">
        <f t="shared" ref="CB36:CB38" si="90">SUM(BZ36-CA36)*100</f>
        <v>24.00000000000011</v>
      </c>
      <c r="CC36" s="98"/>
      <c r="CD36" s="86" t="s">
        <v>1</v>
      </c>
      <c r="CE36" s="86">
        <v>28</v>
      </c>
      <c r="CF36" s="58"/>
      <c r="CG36" s="96"/>
      <c r="CH36" s="96"/>
      <c r="CI36" s="53"/>
      <c r="CJ36" s="58"/>
      <c r="CK36" s="97"/>
      <c r="CL36" s="58"/>
      <c r="CM36" s="59"/>
      <c r="CN36" s="86"/>
      <c r="CO36" s="86"/>
      <c r="CP36" s="98"/>
      <c r="CR36" s="86" t="s">
        <v>1</v>
      </c>
      <c r="CS36" s="86">
        <v>28</v>
      </c>
      <c r="CT36" s="58">
        <v>4.4000000000000004</v>
      </c>
      <c r="CU36" s="96"/>
      <c r="CV36" s="96"/>
      <c r="CW36" s="53">
        <v>16.64</v>
      </c>
      <c r="CX36" s="58">
        <f t="shared" si="18"/>
        <v>12.24</v>
      </c>
      <c r="CY36" s="97">
        <v>7.3</v>
      </c>
      <c r="CZ36" s="58">
        <v>1.4</v>
      </c>
      <c r="DA36" s="59">
        <f t="shared" si="19"/>
        <v>3.5400000000000005</v>
      </c>
      <c r="DB36" s="86">
        <v>3</v>
      </c>
      <c r="DC36" s="86">
        <f t="shared" si="20"/>
        <v>54.00000000000005</v>
      </c>
      <c r="DD36" s="98"/>
    </row>
    <row r="37" spans="1:109" ht="17.149999999999999" customHeight="1" x14ac:dyDescent="0.35">
      <c r="A37" s="86" t="s">
        <v>216</v>
      </c>
      <c r="B37" s="86">
        <v>29</v>
      </c>
      <c r="C37" s="58">
        <v>5.0999999999999996</v>
      </c>
      <c r="D37" s="96"/>
      <c r="E37" s="96"/>
      <c r="F37" s="53">
        <v>15.97</v>
      </c>
      <c r="G37" s="58">
        <f t="shared" si="76"/>
        <v>10.870000000000001</v>
      </c>
      <c r="H37" s="97">
        <v>7.3</v>
      </c>
      <c r="I37" s="58">
        <v>1</v>
      </c>
      <c r="J37" s="59">
        <f t="shared" si="77"/>
        <v>2.5700000000000012</v>
      </c>
      <c r="K37" s="86">
        <v>2</v>
      </c>
      <c r="L37" s="86">
        <f t="shared" si="78"/>
        <v>57.000000000000114</v>
      </c>
      <c r="M37" s="98"/>
      <c r="O37" s="86" t="s">
        <v>216</v>
      </c>
      <c r="P37" s="86">
        <v>29</v>
      </c>
      <c r="Q37" s="58">
        <v>4.4000000000000004</v>
      </c>
      <c r="R37" s="96"/>
      <c r="S37" s="96"/>
      <c r="T37" s="53">
        <v>15.97</v>
      </c>
      <c r="U37" s="58">
        <f t="shared" si="79"/>
        <v>11.57</v>
      </c>
      <c r="V37" s="97">
        <v>7.3</v>
      </c>
      <c r="W37" s="58">
        <v>1</v>
      </c>
      <c r="X37" s="59">
        <f t="shared" si="80"/>
        <v>3.2700000000000005</v>
      </c>
      <c r="Y37" s="86">
        <v>3</v>
      </c>
      <c r="Z37" s="86">
        <f t="shared" si="81"/>
        <v>27.000000000000046</v>
      </c>
      <c r="AA37" s="98"/>
      <c r="AB37" s="86" t="s">
        <v>216</v>
      </c>
      <c r="AC37" s="86">
        <v>29</v>
      </c>
      <c r="AD37" s="58">
        <v>4.4000000000000004</v>
      </c>
      <c r="AE37" s="96"/>
      <c r="AF37" s="96"/>
      <c r="AG37" s="53">
        <v>15.97</v>
      </c>
      <c r="AH37" s="58">
        <f t="shared" si="6"/>
        <v>11.57</v>
      </c>
      <c r="AI37" s="97">
        <v>7.3</v>
      </c>
      <c r="AJ37" s="58">
        <v>1</v>
      </c>
      <c r="AK37" s="59">
        <f t="shared" si="7"/>
        <v>3.2700000000000005</v>
      </c>
      <c r="AL37" s="86">
        <v>3</v>
      </c>
      <c r="AM37" s="86">
        <f t="shared" si="8"/>
        <v>27.000000000000046</v>
      </c>
      <c r="AN37" s="98"/>
      <c r="AP37" s="86" t="s">
        <v>216</v>
      </c>
      <c r="AQ37" s="86">
        <v>29</v>
      </c>
      <c r="AR37" s="58">
        <v>5.0999999999999996</v>
      </c>
      <c r="AS37" s="96"/>
      <c r="AT37" s="96"/>
      <c r="AU37" s="53">
        <v>15.97</v>
      </c>
      <c r="AV37" s="58">
        <f t="shared" si="82"/>
        <v>10.870000000000001</v>
      </c>
      <c r="AW37" s="97">
        <v>7.3</v>
      </c>
      <c r="AX37" s="58">
        <v>1</v>
      </c>
      <c r="AY37" s="59">
        <f t="shared" si="83"/>
        <v>2.5700000000000012</v>
      </c>
      <c r="AZ37" s="86">
        <v>2</v>
      </c>
      <c r="BA37" s="86">
        <f t="shared" si="84"/>
        <v>57.000000000000114</v>
      </c>
      <c r="BB37" s="98"/>
      <c r="BC37" s="86" t="s">
        <v>216</v>
      </c>
      <c r="BD37" s="86">
        <v>29</v>
      </c>
      <c r="BE37" s="58">
        <v>5.0999999999999996</v>
      </c>
      <c r="BF37" s="96"/>
      <c r="BG37" s="96"/>
      <c r="BH37" s="53">
        <v>15.97</v>
      </c>
      <c r="BI37" s="58">
        <f t="shared" si="85"/>
        <v>10.870000000000001</v>
      </c>
      <c r="BJ37" s="97">
        <v>7.3</v>
      </c>
      <c r="BK37" s="58">
        <v>1</v>
      </c>
      <c r="BL37" s="59">
        <f t="shared" si="86"/>
        <v>2.5700000000000012</v>
      </c>
      <c r="BM37" s="86">
        <v>2</v>
      </c>
      <c r="BN37" s="86">
        <f t="shared" si="87"/>
        <v>57.000000000000114</v>
      </c>
      <c r="BO37" s="98"/>
      <c r="BQ37" s="86" t="s">
        <v>216</v>
      </c>
      <c r="BR37" s="86">
        <v>29</v>
      </c>
      <c r="BS37" s="58">
        <v>5.0999999999999996</v>
      </c>
      <c r="BT37" s="96"/>
      <c r="BU37" s="96"/>
      <c r="BV37" s="53">
        <v>15.97</v>
      </c>
      <c r="BW37" s="58">
        <f t="shared" si="88"/>
        <v>10.870000000000001</v>
      </c>
      <c r="BX37" s="97">
        <v>7.3</v>
      </c>
      <c r="BY37" s="58">
        <v>1</v>
      </c>
      <c r="BZ37" s="59">
        <f t="shared" si="89"/>
        <v>2.5700000000000012</v>
      </c>
      <c r="CA37" s="86">
        <v>2</v>
      </c>
      <c r="CB37" s="86">
        <f t="shared" si="90"/>
        <v>57.000000000000114</v>
      </c>
      <c r="CC37" s="98"/>
      <c r="CD37" s="86" t="s">
        <v>216</v>
      </c>
      <c r="CE37" s="86">
        <v>29</v>
      </c>
      <c r="CF37" s="58"/>
      <c r="CG37" s="96"/>
      <c r="CH37" s="96"/>
      <c r="CI37" s="53"/>
      <c r="CJ37" s="58"/>
      <c r="CK37" s="97"/>
      <c r="CL37" s="58"/>
      <c r="CM37" s="59"/>
      <c r="CN37" s="86"/>
      <c r="CO37" s="86"/>
      <c r="CP37" s="98"/>
      <c r="CR37" s="86" t="s">
        <v>216</v>
      </c>
      <c r="CS37" s="86">
        <v>29</v>
      </c>
      <c r="CT37" s="58">
        <v>4.4000000000000004</v>
      </c>
      <c r="CU37" s="96"/>
      <c r="CV37" s="96"/>
      <c r="CW37" s="53">
        <v>15.97</v>
      </c>
      <c r="CX37" s="58">
        <f t="shared" si="18"/>
        <v>11.57</v>
      </c>
      <c r="CY37" s="97">
        <v>7.3</v>
      </c>
      <c r="CZ37" s="58">
        <v>1</v>
      </c>
      <c r="DA37" s="59">
        <f t="shared" si="19"/>
        <v>3.2700000000000005</v>
      </c>
      <c r="DB37" s="86">
        <v>3</v>
      </c>
      <c r="DC37" s="86">
        <f t="shared" si="20"/>
        <v>27.000000000000046</v>
      </c>
      <c r="DD37" s="98"/>
    </row>
    <row r="38" spans="1:109" ht="17.149999999999999" customHeight="1" x14ac:dyDescent="0.35">
      <c r="A38" s="86" t="s">
        <v>2</v>
      </c>
      <c r="B38" s="86">
        <v>30</v>
      </c>
      <c r="C38" s="58">
        <v>5.0999999999999996</v>
      </c>
      <c r="D38" s="96"/>
      <c r="E38" s="96"/>
      <c r="F38" s="53">
        <v>16.63</v>
      </c>
      <c r="G38" s="58">
        <f t="shared" si="76"/>
        <v>11.53</v>
      </c>
      <c r="H38" s="97">
        <v>7.3</v>
      </c>
      <c r="I38" s="58">
        <v>1</v>
      </c>
      <c r="J38" s="59">
        <f t="shared" si="77"/>
        <v>3.2299999999999995</v>
      </c>
      <c r="K38" s="86">
        <v>3</v>
      </c>
      <c r="L38" s="86">
        <f t="shared" si="78"/>
        <v>22.999999999999954</v>
      </c>
      <c r="M38" s="98"/>
      <c r="O38" s="86" t="s">
        <v>2</v>
      </c>
      <c r="P38" s="86">
        <v>30</v>
      </c>
      <c r="Q38" s="58">
        <v>4.4000000000000004</v>
      </c>
      <c r="R38" s="96"/>
      <c r="S38" s="96"/>
      <c r="T38" s="53">
        <v>16.63</v>
      </c>
      <c r="U38" s="58">
        <f t="shared" si="79"/>
        <v>12.229999999999999</v>
      </c>
      <c r="V38" s="97">
        <v>7.3</v>
      </c>
      <c r="W38" s="58">
        <v>1.4</v>
      </c>
      <c r="X38" s="59">
        <f t="shared" si="80"/>
        <v>3.5299999999999989</v>
      </c>
      <c r="Y38" s="86">
        <v>3</v>
      </c>
      <c r="Z38" s="86">
        <f t="shared" si="81"/>
        <v>52.999999999999893</v>
      </c>
      <c r="AA38" s="98"/>
      <c r="AB38" s="86" t="s">
        <v>2</v>
      </c>
      <c r="AC38" s="86">
        <v>30</v>
      </c>
      <c r="AD38" s="58">
        <v>4.4000000000000004</v>
      </c>
      <c r="AE38" s="96"/>
      <c r="AF38" s="96"/>
      <c r="AG38" s="53">
        <v>16.63</v>
      </c>
      <c r="AH38" s="58">
        <f t="shared" si="6"/>
        <v>12.229999999999999</v>
      </c>
      <c r="AI38" s="97">
        <v>7.3</v>
      </c>
      <c r="AJ38" s="58">
        <v>1.4</v>
      </c>
      <c r="AK38" s="59">
        <f t="shared" si="7"/>
        <v>3.5299999999999989</v>
      </c>
      <c r="AL38" s="86">
        <v>3</v>
      </c>
      <c r="AM38" s="86">
        <f t="shared" si="8"/>
        <v>52.999999999999893</v>
      </c>
      <c r="AN38" s="98"/>
      <c r="AP38" s="86" t="s">
        <v>2</v>
      </c>
      <c r="AQ38" s="86">
        <v>30</v>
      </c>
      <c r="AR38" s="58">
        <v>5.0999999999999996</v>
      </c>
      <c r="AS38" s="96"/>
      <c r="AT38" s="96"/>
      <c r="AU38" s="53">
        <v>16.63</v>
      </c>
      <c r="AV38" s="58">
        <f t="shared" si="82"/>
        <v>11.53</v>
      </c>
      <c r="AW38" s="97">
        <v>7.3</v>
      </c>
      <c r="AX38" s="58">
        <v>1</v>
      </c>
      <c r="AY38" s="59">
        <f t="shared" si="83"/>
        <v>3.2299999999999995</v>
      </c>
      <c r="AZ38" s="86">
        <v>3</v>
      </c>
      <c r="BA38" s="86">
        <f t="shared" si="84"/>
        <v>22.999999999999954</v>
      </c>
      <c r="BB38" s="98"/>
      <c r="BC38" s="86" t="s">
        <v>2</v>
      </c>
      <c r="BD38" s="86">
        <v>30</v>
      </c>
      <c r="BE38" s="58">
        <v>5.0999999999999996</v>
      </c>
      <c r="BF38" s="96"/>
      <c r="BG38" s="96"/>
      <c r="BH38" s="53">
        <v>16.63</v>
      </c>
      <c r="BI38" s="58">
        <f t="shared" si="85"/>
        <v>11.53</v>
      </c>
      <c r="BJ38" s="97">
        <v>7.3</v>
      </c>
      <c r="BK38" s="58">
        <v>1</v>
      </c>
      <c r="BL38" s="59">
        <f t="shared" si="86"/>
        <v>3.2299999999999995</v>
      </c>
      <c r="BM38" s="86">
        <v>3</v>
      </c>
      <c r="BN38" s="86">
        <f t="shared" si="87"/>
        <v>22.999999999999954</v>
      </c>
      <c r="BO38" s="98"/>
      <c r="BQ38" s="86" t="s">
        <v>2</v>
      </c>
      <c r="BR38" s="86">
        <v>30</v>
      </c>
      <c r="BS38" s="58">
        <v>5.0999999999999996</v>
      </c>
      <c r="BT38" s="96"/>
      <c r="BU38" s="96"/>
      <c r="BV38" s="53">
        <v>16.63</v>
      </c>
      <c r="BW38" s="58">
        <f t="shared" si="88"/>
        <v>11.53</v>
      </c>
      <c r="BX38" s="97">
        <v>7.3</v>
      </c>
      <c r="BY38" s="58">
        <v>1</v>
      </c>
      <c r="BZ38" s="59">
        <f t="shared" si="89"/>
        <v>3.2299999999999995</v>
      </c>
      <c r="CA38" s="86">
        <v>3</v>
      </c>
      <c r="CB38" s="86">
        <f t="shared" si="90"/>
        <v>22.999999999999954</v>
      </c>
      <c r="CC38" s="98"/>
      <c r="CD38" s="86" t="s">
        <v>2</v>
      </c>
      <c r="CE38" s="86">
        <v>30</v>
      </c>
      <c r="CF38" s="58"/>
      <c r="CG38" s="96"/>
      <c r="CH38" s="96"/>
      <c r="CI38" s="53"/>
      <c r="CJ38" s="58"/>
      <c r="CK38" s="97"/>
      <c r="CL38" s="58"/>
      <c r="CM38" s="59"/>
      <c r="CN38" s="86"/>
      <c r="CO38" s="86"/>
      <c r="CP38" s="98"/>
      <c r="CR38" s="86" t="s">
        <v>2</v>
      </c>
      <c r="CS38" s="86">
        <v>30</v>
      </c>
      <c r="CT38" s="58">
        <v>4.4000000000000004</v>
      </c>
      <c r="CU38" s="96"/>
      <c r="CV38" s="96"/>
      <c r="CW38" s="53">
        <v>16.63</v>
      </c>
      <c r="CX38" s="58">
        <f t="shared" si="18"/>
        <v>12.229999999999999</v>
      </c>
      <c r="CY38" s="97">
        <v>7.3</v>
      </c>
      <c r="CZ38" s="58">
        <v>1.4</v>
      </c>
      <c r="DA38" s="59">
        <f t="shared" si="19"/>
        <v>3.5299999999999989</v>
      </c>
      <c r="DB38" s="86">
        <v>3</v>
      </c>
      <c r="DC38" s="86">
        <f t="shared" si="20"/>
        <v>52.999999999999893</v>
      </c>
      <c r="DD38" s="98"/>
    </row>
    <row r="39" spans="1:109" s="54" customFormat="1" ht="17.149999999999999" customHeight="1" x14ac:dyDescent="0.35">
      <c r="A39" s="86"/>
      <c r="B39" s="86"/>
      <c r="C39" s="58"/>
      <c r="D39" s="96"/>
      <c r="E39" s="96"/>
      <c r="F39" s="58"/>
      <c r="G39" s="58"/>
      <c r="H39" s="97"/>
      <c r="I39" s="97"/>
      <c r="J39" s="59"/>
      <c r="K39" s="86"/>
      <c r="L39" s="86"/>
      <c r="M39" s="98"/>
      <c r="N39"/>
      <c r="O39" s="86"/>
      <c r="P39" s="86"/>
      <c r="Q39" s="58"/>
      <c r="R39" s="96"/>
      <c r="S39" s="96"/>
      <c r="T39" s="58"/>
      <c r="U39" s="58"/>
      <c r="V39" s="97"/>
      <c r="W39" s="97"/>
      <c r="X39" s="59"/>
      <c r="Y39" s="86"/>
      <c r="Z39" s="86"/>
      <c r="AA39" s="98"/>
      <c r="AB39" s="86"/>
      <c r="AC39" s="86"/>
      <c r="AD39" s="58"/>
      <c r="AE39" s="96"/>
      <c r="AF39" s="96"/>
      <c r="AG39" s="58"/>
      <c r="AH39" s="58"/>
      <c r="AI39" s="97"/>
      <c r="AJ39" s="97"/>
      <c r="AK39" s="59"/>
      <c r="AL39" s="86"/>
      <c r="AM39" s="86"/>
      <c r="AN39" s="98"/>
      <c r="AO39"/>
      <c r="AP39" s="86"/>
      <c r="AQ39" s="86"/>
      <c r="AR39" s="58"/>
      <c r="AS39" s="96"/>
      <c r="AT39" s="96"/>
      <c r="AU39" s="58"/>
      <c r="AV39" s="58"/>
      <c r="AW39" s="97"/>
      <c r="AX39" s="97"/>
      <c r="AY39" s="59"/>
      <c r="AZ39" s="86"/>
      <c r="BA39" s="86"/>
      <c r="BB39" s="98"/>
      <c r="BC39" s="86"/>
      <c r="BD39" s="86"/>
      <c r="BE39" s="58"/>
      <c r="BF39" s="96"/>
      <c r="BG39" s="96"/>
      <c r="BH39" s="58"/>
      <c r="BI39" s="58"/>
      <c r="BJ39" s="97"/>
      <c r="BK39" s="97"/>
      <c r="BL39" s="59"/>
      <c r="BM39" s="86"/>
      <c r="BN39" s="86"/>
      <c r="BO39" s="98"/>
      <c r="BP39"/>
      <c r="BQ39" s="86"/>
      <c r="BR39" s="86"/>
      <c r="BS39" s="58"/>
      <c r="BT39" s="96"/>
      <c r="BU39" s="96"/>
      <c r="BV39" s="58"/>
      <c r="BW39" s="58"/>
      <c r="BX39" s="97"/>
      <c r="BY39" s="97"/>
      <c r="BZ39" s="59"/>
      <c r="CA39" s="86"/>
      <c r="CB39" s="86"/>
      <c r="CC39" s="98"/>
      <c r="CD39" s="86"/>
      <c r="CE39" s="86"/>
      <c r="CF39" s="58"/>
      <c r="CG39" s="96"/>
      <c r="CH39" s="96"/>
      <c r="CI39" s="58"/>
      <c r="CJ39" s="58"/>
      <c r="CK39" s="97"/>
      <c r="CL39" s="97"/>
      <c r="CM39" s="59"/>
      <c r="CN39" s="86"/>
      <c r="CO39" s="86"/>
      <c r="CP39" s="98"/>
      <c r="CQ39"/>
      <c r="CR39" s="86"/>
      <c r="CS39" s="86"/>
      <c r="CT39" s="58"/>
      <c r="CU39" s="96"/>
      <c r="CV39" s="96"/>
      <c r="CW39" s="58"/>
      <c r="CX39" s="58"/>
      <c r="CY39" s="97"/>
      <c r="CZ39" s="97"/>
      <c r="DA39" s="59"/>
      <c r="DB39" s="86"/>
      <c r="DC39" s="86"/>
      <c r="DD39" s="98"/>
      <c r="DE39"/>
    </row>
    <row r="40" spans="1:109" ht="15" hidden="1" customHeight="1" x14ac:dyDescent="0.35">
      <c r="A40" s="62" t="s">
        <v>4</v>
      </c>
      <c r="B40" s="62">
        <v>32</v>
      </c>
      <c r="C40" s="58">
        <v>4.3499999999999996</v>
      </c>
      <c r="D40" s="53"/>
      <c r="E40" s="53"/>
      <c r="F40" s="53"/>
      <c r="G40" s="58">
        <f t="shared" ref="G40" si="91">SUM(D40-C40)+(F40-E40)</f>
        <v>-4.3499999999999996</v>
      </c>
      <c r="H40" s="63"/>
      <c r="I40" s="53"/>
      <c r="J40" s="59"/>
      <c r="K40" s="62"/>
      <c r="L40" s="60">
        <f t="shared" ref="L40" si="92">SUM(J40-K40)*100</f>
        <v>0</v>
      </c>
      <c r="M40" s="61"/>
      <c r="O40" s="62" t="s">
        <v>4</v>
      </c>
      <c r="P40" s="62">
        <v>32</v>
      </c>
      <c r="Q40" s="58">
        <v>4.3499999999999996</v>
      </c>
      <c r="R40" s="53"/>
      <c r="S40" s="53"/>
      <c r="T40" s="53"/>
      <c r="U40" s="58">
        <f t="shared" ref="U40" si="93">SUM(R40-Q40)+(T40-S40)</f>
        <v>-4.3499999999999996</v>
      </c>
      <c r="V40" s="63"/>
      <c r="W40" s="53"/>
      <c r="X40" s="59"/>
      <c r="Y40" s="62"/>
      <c r="Z40" s="60">
        <f t="shared" ref="Z40" si="94">SUM(X40-Y40)*100</f>
        <v>0</v>
      </c>
      <c r="AA40" s="61"/>
      <c r="AB40" s="62" t="s">
        <v>4</v>
      </c>
      <c r="AC40" s="62">
        <v>32</v>
      </c>
      <c r="AD40" s="58">
        <v>4.3499999999999996</v>
      </c>
      <c r="AE40" s="53"/>
      <c r="AF40" s="53"/>
      <c r="AG40" s="53"/>
      <c r="AH40" s="58">
        <f t="shared" ref="AH40" si="95">SUM(AE40-AD40)+(AG40-AF40)</f>
        <v>-4.3499999999999996</v>
      </c>
      <c r="AI40" s="63"/>
      <c r="AJ40" s="53"/>
      <c r="AK40" s="59"/>
      <c r="AL40" s="62"/>
      <c r="AM40" s="60">
        <f t="shared" ref="AM40" si="96">SUM(AK40-AL40)*100</f>
        <v>0</v>
      </c>
      <c r="AN40" s="61"/>
      <c r="AP40" s="62" t="s">
        <v>4</v>
      </c>
      <c r="AQ40" s="62">
        <v>32</v>
      </c>
      <c r="AR40" s="58">
        <v>4.3499999999999996</v>
      </c>
      <c r="AS40" s="53"/>
      <c r="AT40" s="53"/>
      <c r="AU40" s="53"/>
      <c r="AV40" s="58">
        <f t="shared" ref="AV40" si="97">SUM(AS40-AR40)+(AU40-AT40)</f>
        <v>-4.3499999999999996</v>
      </c>
      <c r="AW40" s="63"/>
      <c r="AX40" s="53"/>
      <c r="AY40" s="59"/>
      <c r="AZ40" s="62"/>
      <c r="BA40" s="60">
        <f t="shared" ref="BA40" si="98">SUM(AY40-AZ40)*100</f>
        <v>0</v>
      </c>
      <c r="BB40" s="61"/>
      <c r="BC40" s="62" t="s">
        <v>4</v>
      </c>
      <c r="BD40" s="62">
        <v>32</v>
      </c>
      <c r="BE40" s="58">
        <v>4.3499999999999996</v>
      </c>
      <c r="BF40" s="53"/>
      <c r="BG40" s="53"/>
      <c r="BH40" s="53"/>
      <c r="BI40" s="58">
        <f t="shared" ref="BI40" si="99">SUM(BF40-BE40)+(BH40-BG40)</f>
        <v>-4.3499999999999996</v>
      </c>
      <c r="BJ40" s="63"/>
      <c r="BK40" s="53"/>
      <c r="BL40" s="59"/>
      <c r="BM40" s="62"/>
      <c r="BN40" s="60">
        <f t="shared" ref="BN40" si="100">SUM(BL40-BM40)*100</f>
        <v>0</v>
      </c>
      <c r="BO40" s="61"/>
      <c r="BQ40" s="62" t="s">
        <v>4</v>
      </c>
      <c r="BR40" s="62">
        <v>32</v>
      </c>
      <c r="BS40" s="58">
        <v>4.3499999999999996</v>
      </c>
      <c r="BT40" s="53"/>
      <c r="BU40" s="53"/>
      <c r="BV40" s="53"/>
      <c r="BW40" s="58">
        <f t="shared" ref="BW40" si="101">SUM(BT40-BS40)+(BV40-BU40)</f>
        <v>-4.3499999999999996</v>
      </c>
      <c r="BX40" s="63"/>
      <c r="BY40" s="53"/>
      <c r="BZ40" s="59"/>
      <c r="CA40" s="62"/>
      <c r="CB40" s="60">
        <f t="shared" ref="CB40" si="102">SUM(BZ40-CA40)*100</f>
        <v>0</v>
      </c>
      <c r="CC40" s="61"/>
      <c r="CD40" s="62" t="s">
        <v>4</v>
      </c>
      <c r="CE40" s="62">
        <v>32</v>
      </c>
      <c r="CF40" s="58">
        <v>4.3499999999999996</v>
      </c>
      <c r="CG40" s="53"/>
      <c r="CH40" s="53"/>
      <c r="CI40" s="53"/>
      <c r="CJ40" s="58">
        <f t="shared" ref="CJ40" si="103">SUM(CG40-CF40)+(CI40-CH40)</f>
        <v>-4.3499999999999996</v>
      </c>
      <c r="CK40" s="63"/>
      <c r="CL40" s="53"/>
      <c r="CM40" s="59"/>
      <c r="CN40" s="62"/>
      <c r="CO40" s="60">
        <f t="shared" ref="CO40" si="104">SUM(CM40-CN40)*100</f>
        <v>0</v>
      </c>
      <c r="CP40" s="61"/>
      <c r="CR40" s="62" t="s">
        <v>4</v>
      </c>
      <c r="CS40" s="62">
        <v>32</v>
      </c>
      <c r="CT40" s="58">
        <v>4.3499999999999996</v>
      </c>
      <c r="CU40" s="53"/>
      <c r="CV40" s="53"/>
      <c r="CW40" s="53"/>
      <c r="CX40" s="58">
        <f t="shared" ref="CX40" si="105">SUM(CU40-CT40)+(CW40-CV40)</f>
        <v>-4.3499999999999996</v>
      </c>
      <c r="CY40" s="63"/>
      <c r="CZ40" s="53"/>
      <c r="DA40" s="59"/>
      <c r="DB40" s="62"/>
      <c r="DC40" s="60">
        <f t="shared" ref="DC40" si="106">SUM(DA40-DB40)*100</f>
        <v>0</v>
      </c>
      <c r="DD40" s="61"/>
    </row>
    <row r="41" spans="1:109" ht="15" hidden="1" customHeight="1" x14ac:dyDescent="0.35">
      <c r="A41" s="62" t="s">
        <v>5</v>
      </c>
      <c r="B41" s="62">
        <v>33</v>
      </c>
      <c r="C41" s="58">
        <v>4.3499999999999996</v>
      </c>
      <c r="D41" s="53"/>
      <c r="E41" s="53"/>
      <c r="F41" s="53"/>
      <c r="G41" s="53"/>
      <c r="H41" s="63"/>
      <c r="I41" s="63"/>
      <c r="J41" s="62"/>
      <c r="K41" s="62"/>
      <c r="L41" s="62"/>
      <c r="M41" s="61"/>
      <c r="O41" s="62" t="s">
        <v>5</v>
      </c>
      <c r="P41" s="62">
        <v>33</v>
      </c>
      <c r="Q41" s="58">
        <v>4.3499999999999996</v>
      </c>
      <c r="R41" s="53"/>
      <c r="S41" s="53"/>
      <c r="T41" s="53"/>
      <c r="U41" s="53"/>
      <c r="V41" s="63"/>
      <c r="W41" s="63"/>
      <c r="X41" s="62"/>
      <c r="Y41" s="62"/>
      <c r="Z41" s="62"/>
      <c r="AA41" s="61"/>
      <c r="AB41" s="62" t="s">
        <v>5</v>
      </c>
      <c r="AC41" s="62">
        <v>33</v>
      </c>
      <c r="AD41" s="58">
        <v>4.3499999999999996</v>
      </c>
      <c r="AE41" s="53"/>
      <c r="AF41" s="53"/>
      <c r="AG41" s="53"/>
      <c r="AH41" s="53"/>
      <c r="AI41" s="63"/>
      <c r="AJ41" s="63"/>
      <c r="AK41" s="62"/>
      <c r="AL41" s="62"/>
      <c r="AM41" s="62"/>
      <c r="AN41" s="61"/>
      <c r="AP41" s="62" t="s">
        <v>5</v>
      </c>
      <c r="AQ41" s="62">
        <v>33</v>
      </c>
      <c r="AR41" s="58">
        <v>4.3499999999999996</v>
      </c>
      <c r="AS41" s="53"/>
      <c r="AT41" s="53"/>
      <c r="AU41" s="53"/>
      <c r="AV41" s="53"/>
      <c r="AW41" s="63"/>
      <c r="AX41" s="63"/>
      <c r="AY41" s="62"/>
      <c r="AZ41" s="62"/>
      <c r="BA41" s="62"/>
      <c r="BB41" s="61"/>
      <c r="BC41" s="62" t="s">
        <v>5</v>
      </c>
      <c r="BD41" s="62">
        <v>33</v>
      </c>
      <c r="BE41" s="58">
        <v>4.3499999999999996</v>
      </c>
      <c r="BF41" s="53"/>
      <c r="BG41" s="53"/>
      <c r="BH41" s="53"/>
      <c r="BI41" s="53"/>
      <c r="BJ41" s="63"/>
      <c r="BK41" s="63"/>
      <c r="BL41" s="62"/>
      <c r="BM41" s="62"/>
      <c r="BN41" s="62"/>
      <c r="BO41" s="61"/>
      <c r="BQ41" s="62" t="s">
        <v>5</v>
      </c>
      <c r="BR41" s="62">
        <v>33</v>
      </c>
      <c r="BS41" s="58">
        <v>4.3499999999999996</v>
      </c>
      <c r="BT41" s="53"/>
      <c r="BU41" s="53"/>
      <c r="BV41" s="53"/>
      <c r="BW41" s="53"/>
      <c r="BX41" s="63"/>
      <c r="BY41" s="63"/>
      <c r="BZ41" s="62"/>
      <c r="CA41" s="62"/>
      <c r="CB41" s="62"/>
      <c r="CC41" s="61"/>
      <c r="CD41" s="62" t="s">
        <v>5</v>
      </c>
      <c r="CE41" s="62">
        <v>33</v>
      </c>
      <c r="CF41" s="58">
        <v>4.3499999999999996</v>
      </c>
      <c r="CG41" s="53"/>
      <c r="CH41" s="53"/>
      <c r="CI41" s="53"/>
      <c r="CJ41" s="53"/>
      <c r="CK41" s="63"/>
      <c r="CL41" s="63"/>
      <c r="CM41" s="62"/>
      <c r="CN41" s="62"/>
      <c r="CO41" s="62"/>
      <c r="CP41" s="61"/>
      <c r="CR41" s="62" t="s">
        <v>5</v>
      </c>
      <c r="CS41" s="62">
        <v>33</v>
      </c>
      <c r="CT41" s="58">
        <v>4.3499999999999996</v>
      </c>
      <c r="CU41" s="53"/>
      <c r="CV41" s="53"/>
      <c r="CW41" s="53"/>
      <c r="CX41" s="53"/>
      <c r="CY41" s="63"/>
      <c r="CZ41" s="63"/>
      <c r="DA41" s="62"/>
      <c r="DB41" s="62"/>
      <c r="DC41" s="62"/>
      <c r="DD41" s="61"/>
    </row>
    <row r="42" spans="1:109" ht="15" hidden="1" customHeight="1" x14ac:dyDescent="0.35">
      <c r="A42" s="62" t="s">
        <v>6</v>
      </c>
      <c r="B42" s="62">
        <v>34</v>
      </c>
      <c r="C42" s="58">
        <v>4.3499999999999996</v>
      </c>
      <c r="D42" s="53"/>
      <c r="E42" s="53"/>
      <c r="F42" s="53"/>
      <c r="G42" s="53"/>
      <c r="H42" s="63"/>
      <c r="I42" s="63"/>
      <c r="J42" s="62"/>
      <c r="K42" s="62"/>
      <c r="L42" s="62"/>
      <c r="M42" s="61"/>
      <c r="O42" s="62" t="s">
        <v>6</v>
      </c>
      <c r="P42" s="62">
        <v>34</v>
      </c>
      <c r="Q42" s="58">
        <v>4.3499999999999996</v>
      </c>
      <c r="R42" s="53"/>
      <c r="S42" s="53"/>
      <c r="T42" s="53"/>
      <c r="U42" s="53"/>
      <c r="V42" s="63"/>
      <c r="W42" s="63"/>
      <c r="X42" s="62"/>
      <c r="Y42" s="62"/>
      <c r="Z42" s="62"/>
      <c r="AA42" s="61"/>
      <c r="AB42" s="62" t="s">
        <v>6</v>
      </c>
      <c r="AC42" s="62">
        <v>34</v>
      </c>
      <c r="AD42" s="58">
        <v>4.3499999999999996</v>
      </c>
      <c r="AE42" s="53"/>
      <c r="AF42" s="53"/>
      <c r="AG42" s="53"/>
      <c r="AH42" s="53"/>
      <c r="AI42" s="63"/>
      <c r="AJ42" s="63"/>
      <c r="AK42" s="62"/>
      <c r="AL42" s="62"/>
      <c r="AM42" s="62"/>
      <c r="AN42" s="61"/>
      <c r="AP42" s="62" t="s">
        <v>6</v>
      </c>
      <c r="AQ42" s="62">
        <v>34</v>
      </c>
      <c r="AR42" s="58">
        <v>4.3499999999999996</v>
      </c>
      <c r="AS42" s="53"/>
      <c r="AT42" s="53"/>
      <c r="AU42" s="53"/>
      <c r="AV42" s="53"/>
      <c r="AW42" s="63"/>
      <c r="AX42" s="63"/>
      <c r="AY42" s="62"/>
      <c r="AZ42" s="62"/>
      <c r="BA42" s="62"/>
      <c r="BB42" s="61"/>
      <c r="BC42" s="62" t="s">
        <v>6</v>
      </c>
      <c r="BD42" s="62">
        <v>34</v>
      </c>
      <c r="BE42" s="58">
        <v>4.3499999999999996</v>
      </c>
      <c r="BF42" s="53"/>
      <c r="BG42" s="53"/>
      <c r="BH42" s="53"/>
      <c r="BI42" s="53"/>
      <c r="BJ42" s="63"/>
      <c r="BK42" s="63"/>
      <c r="BL42" s="62"/>
      <c r="BM42" s="62"/>
      <c r="BN42" s="62"/>
      <c r="BO42" s="61"/>
      <c r="BQ42" s="62" t="s">
        <v>6</v>
      </c>
      <c r="BR42" s="62">
        <v>34</v>
      </c>
      <c r="BS42" s="58">
        <v>4.3499999999999996</v>
      </c>
      <c r="BT42" s="53"/>
      <c r="BU42" s="53"/>
      <c r="BV42" s="53"/>
      <c r="BW42" s="53"/>
      <c r="BX42" s="63"/>
      <c r="BY42" s="63"/>
      <c r="BZ42" s="62"/>
      <c r="CA42" s="62"/>
      <c r="CB42" s="62"/>
      <c r="CC42" s="61"/>
      <c r="CD42" s="62" t="s">
        <v>6</v>
      </c>
      <c r="CE42" s="62">
        <v>34</v>
      </c>
      <c r="CF42" s="58">
        <v>4.3499999999999996</v>
      </c>
      <c r="CG42" s="53"/>
      <c r="CH42" s="53"/>
      <c r="CI42" s="53"/>
      <c r="CJ42" s="53"/>
      <c r="CK42" s="63"/>
      <c r="CL42" s="63"/>
      <c r="CM42" s="62"/>
      <c r="CN42" s="62"/>
      <c r="CO42" s="62"/>
      <c r="CP42" s="61"/>
      <c r="CR42" s="62" t="s">
        <v>6</v>
      </c>
      <c r="CS42" s="62">
        <v>34</v>
      </c>
      <c r="CT42" s="58">
        <v>4.3499999999999996</v>
      </c>
      <c r="CU42" s="53"/>
      <c r="CV42" s="53"/>
      <c r="CW42" s="53"/>
      <c r="CX42" s="53"/>
      <c r="CY42" s="63"/>
      <c r="CZ42" s="63"/>
      <c r="DA42" s="62"/>
      <c r="DB42" s="62"/>
      <c r="DC42" s="62"/>
      <c r="DD42" s="61"/>
    </row>
    <row r="43" spans="1:109" ht="15" hidden="1" customHeight="1" x14ac:dyDescent="0.35">
      <c r="A43" s="62" t="s">
        <v>1</v>
      </c>
      <c r="B43" s="62">
        <v>35</v>
      </c>
      <c r="C43" s="58">
        <v>4.3499999999999996</v>
      </c>
      <c r="D43" s="53"/>
      <c r="E43" s="53"/>
      <c r="F43" s="53"/>
      <c r="G43" s="53"/>
      <c r="H43" s="63"/>
      <c r="I43" s="63"/>
      <c r="J43" s="62"/>
      <c r="K43" s="62"/>
      <c r="L43" s="62"/>
      <c r="M43" s="61"/>
      <c r="O43" s="62" t="s">
        <v>1</v>
      </c>
      <c r="P43" s="62">
        <v>35</v>
      </c>
      <c r="Q43" s="58">
        <v>4.3499999999999996</v>
      </c>
      <c r="R43" s="53"/>
      <c r="S43" s="53"/>
      <c r="T43" s="53"/>
      <c r="U43" s="53"/>
      <c r="V43" s="63"/>
      <c r="W43" s="63"/>
      <c r="X43" s="62"/>
      <c r="Y43" s="62"/>
      <c r="Z43" s="62"/>
      <c r="AA43" s="61"/>
      <c r="AB43" s="62" t="s">
        <v>1</v>
      </c>
      <c r="AC43" s="62">
        <v>35</v>
      </c>
      <c r="AD43" s="58">
        <v>4.3499999999999996</v>
      </c>
      <c r="AE43" s="53"/>
      <c r="AF43" s="53"/>
      <c r="AG43" s="53"/>
      <c r="AH43" s="53"/>
      <c r="AI43" s="63"/>
      <c r="AJ43" s="63"/>
      <c r="AK43" s="62"/>
      <c r="AL43" s="62"/>
      <c r="AM43" s="62"/>
      <c r="AN43" s="61"/>
      <c r="AP43" s="62" t="s">
        <v>1</v>
      </c>
      <c r="AQ43" s="62">
        <v>35</v>
      </c>
      <c r="AR43" s="58">
        <v>4.3499999999999996</v>
      </c>
      <c r="AS43" s="53"/>
      <c r="AT43" s="53"/>
      <c r="AU43" s="53"/>
      <c r="AV43" s="53"/>
      <c r="AW43" s="63"/>
      <c r="AX43" s="63"/>
      <c r="AY43" s="62"/>
      <c r="AZ43" s="62"/>
      <c r="BA43" s="62"/>
      <c r="BB43" s="61"/>
      <c r="BC43" s="62" t="s">
        <v>1</v>
      </c>
      <c r="BD43" s="62">
        <v>35</v>
      </c>
      <c r="BE43" s="58">
        <v>4.3499999999999996</v>
      </c>
      <c r="BF43" s="53"/>
      <c r="BG43" s="53"/>
      <c r="BH43" s="53"/>
      <c r="BI43" s="53"/>
      <c r="BJ43" s="63"/>
      <c r="BK43" s="63"/>
      <c r="BL43" s="62"/>
      <c r="BM43" s="62"/>
      <c r="BN43" s="62"/>
      <c r="BO43" s="61"/>
      <c r="BQ43" s="62" t="s">
        <v>1</v>
      </c>
      <c r="BR43" s="62">
        <v>35</v>
      </c>
      <c r="BS43" s="58">
        <v>4.3499999999999996</v>
      </c>
      <c r="BT43" s="53"/>
      <c r="BU43" s="53"/>
      <c r="BV43" s="53"/>
      <c r="BW43" s="53"/>
      <c r="BX43" s="63"/>
      <c r="BY43" s="63"/>
      <c r="BZ43" s="62"/>
      <c r="CA43" s="62"/>
      <c r="CB43" s="62"/>
      <c r="CC43" s="61"/>
      <c r="CD43" s="62" t="s">
        <v>1</v>
      </c>
      <c r="CE43" s="62">
        <v>35</v>
      </c>
      <c r="CF43" s="58">
        <v>4.3499999999999996</v>
      </c>
      <c r="CG43" s="53"/>
      <c r="CH43" s="53"/>
      <c r="CI43" s="53"/>
      <c r="CJ43" s="53"/>
      <c r="CK43" s="63"/>
      <c r="CL43" s="63"/>
      <c r="CM43" s="62"/>
      <c r="CN43" s="62"/>
      <c r="CO43" s="62"/>
      <c r="CP43" s="61"/>
      <c r="CR43" s="62" t="s">
        <v>1</v>
      </c>
      <c r="CS43" s="62">
        <v>35</v>
      </c>
      <c r="CT43" s="58">
        <v>4.3499999999999996</v>
      </c>
      <c r="CU43" s="53"/>
      <c r="CV43" s="53"/>
      <c r="CW43" s="53"/>
      <c r="CX43" s="53"/>
      <c r="CY43" s="63"/>
      <c r="CZ43" s="63"/>
      <c r="DA43" s="62"/>
      <c r="DB43" s="62"/>
      <c r="DC43" s="62"/>
      <c r="DD43" s="61"/>
    </row>
    <row r="44" spans="1:109" x14ac:dyDescent="0.35">
      <c r="A44" s="8"/>
      <c r="B44" s="7"/>
      <c r="C44" s="64"/>
      <c r="D44" s="64"/>
      <c r="E44" s="64"/>
      <c r="F44" s="64"/>
      <c r="G44" s="64"/>
      <c r="H44" s="65"/>
      <c r="I44" s="65"/>
      <c r="J44" s="8"/>
      <c r="K44" s="8"/>
      <c r="L44" s="8"/>
      <c r="M44" s="66"/>
      <c r="O44" s="8"/>
      <c r="P44" s="7"/>
      <c r="Q44" s="64"/>
      <c r="R44" s="64"/>
      <c r="S44" s="64"/>
      <c r="T44" s="64"/>
      <c r="U44" s="64"/>
      <c r="V44" s="65"/>
      <c r="W44" s="65"/>
      <c r="X44" s="8"/>
      <c r="Y44" s="8"/>
      <c r="Z44" s="8"/>
      <c r="AA44" s="66"/>
      <c r="AB44" s="8"/>
      <c r="AC44" s="7"/>
      <c r="AD44" s="64"/>
      <c r="AE44" s="64"/>
      <c r="AF44" s="64"/>
      <c r="AG44" s="64"/>
      <c r="AH44" s="64"/>
      <c r="AI44" s="65"/>
      <c r="AJ44" s="65"/>
      <c r="AK44" s="8"/>
      <c r="AL44" s="8"/>
      <c r="AM44" s="8"/>
      <c r="AN44" s="66"/>
      <c r="AP44" s="8"/>
      <c r="AQ44" s="7"/>
      <c r="AR44" s="64"/>
      <c r="AS44" s="64"/>
      <c r="AT44" s="64"/>
      <c r="AU44" s="64"/>
      <c r="AV44" s="64"/>
      <c r="AW44" s="65"/>
      <c r="AX44" s="65"/>
      <c r="AY44" s="8"/>
      <c r="AZ44" s="8"/>
      <c r="BA44" s="8"/>
      <c r="BB44" s="66"/>
      <c r="BC44" s="8"/>
      <c r="BD44" s="7"/>
      <c r="BE44" s="64"/>
      <c r="BF44" s="64"/>
      <c r="BG44" s="64"/>
      <c r="BH44" s="64"/>
      <c r="BI44" s="64"/>
      <c r="BJ44" s="65"/>
      <c r="BK44" s="65"/>
      <c r="BL44" s="8"/>
      <c r="BM44" s="8"/>
      <c r="BN44" s="8"/>
      <c r="BO44" s="66"/>
      <c r="BQ44" s="8"/>
      <c r="BR44" s="7"/>
      <c r="BS44" s="64"/>
      <c r="BT44" s="64"/>
      <c r="BU44" s="64"/>
      <c r="BV44" s="64"/>
      <c r="BW44" s="64"/>
      <c r="BX44" s="65"/>
      <c r="BY44" s="65"/>
      <c r="BZ44" s="8"/>
      <c r="CA44" s="8"/>
      <c r="CB44" s="8"/>
      <c r="CC44" s="66"/>
      <c r="CD44" s="8"/>
      <c r="CE44" s="7"/>
      <c r="CF44" s="64"/>
      <c r="CG44" s="64"/>
      <c r="CH44" s="64"/>
      <c r="CI44" s="64"/>
      <c r="CJ44" s="64"/>
      <c r="CK44" s="65"/>
      <c r="CL44" s="65"/>
      <c r="CM44" s="8"/>
      <c r="CN44" s="8"/>
      <c r="CO44" s="8"/>
      <c r="CP44" s="66"/>
      <c r="CR44" s="8"/>
      <c r="CS44" s="7"/>
      <c r="CT44" s="64"/>
      <c r="CU44" s="64"/>
      <c r="CV44" s="64"/>
      <c r="CW44" s="64"/>
      <c r="CX44" s="64"/>
      <c r="CY44" s="65"/>
      <c r="CZ44" s="65"/>
      <c r="DA44" s="8"/>
      <c r="DB44" s="8"/>
      <c r="DC44" s="8"/>
      <c r="DD44" s="66"/>
    </row>
    <row r="45" spans="1:109" ht="18.75" customHeight="1" x14ac:dyDescent="0.35">
      <c r="A45" s="38"/>
      <c r="B45" s="38"/>
      <c r="C45" s="24"/>
      <c r="D45" s="24"/>
      <c r="E45" s="135"/>
      <c r="F45" s="24"/>
      <c r="G45" s="24"/>
      <c r="H45" s="22"/>
      <c r="I45" s="22"/>
      <c r="J45" s="38"/>
      <c r="K45" s="24"/>
      <c r="L45" s="24"/>
      <c r="M45" s="25"/>
      <c r="O45" s="38"/>
      <c r="P45" s="38"/>
      <c r="Q45" s="24"/>
      <c r="R45" s="24"/>
      <c r="S45" s="135"/>
      <c r="T45" s="24"/>
      <c r="U45" s="24"/>
      <c r="V45" s="22"/>
      <c r="W45" s="22"/>
      <c r="X45" s="38"/>
      <c r="Y45" s="24"/>
      <c r="Z45" s="24"/>
      <c r="AA45" s="25"/>
      <c r="AB45" s="38"/>
      <c r="AC45" s="38"/>
      <c r="AD45" s="24"/>
      <c r="AE45" s="24"/>
      <c r="AF45" s="135"/>
      <c r="AG45" s="24"/>
      <c r="AH45" s="24"/>
      <c r="AI45" s="22"/>
      <c r="AJ45" s="22"/>
      <c r="AK45" s="38"/>
      <c r="AL45" s="24"/>
      <c r="AM45" s="24"/>
      <c r="AN45" s="25"/>
      <c r="AP45" s="38"/>
      <c r="AQ45" s="38"/>
      <c r="AR45" s="24"/>
      <c r="AS45" s="24"/>
      <c r="AT45" s="135"/>
      <c r="AU45" s="24"/>
      <c r="AV45" s="24"/>
      <c r="AW45" s="22"/>
      <c r="AX45" s="22"/>
      <c r="AY45" s="38"/>
      <c r="AZ45" s="24"/>
      <c r="BA45" s="24"/>
      <c r="BB45" s="25"/>
      <c r="BC45" s="38"/>
      <c r="BD45" s="38"/>
      <c r="BE45" s="24"/>
      <c r="BF45" s="24"/>
      <c r="BG45" s="135"/>
      <c r="BH45" s="24"/>
      <c r="BI45" s="24"/>
      <c r="BJ45" s="22"/>
      <c r="BK45" s="22"/>
      <c r="BL45" s="38"/>
      <c r="BM45" s="24"/>
      <c r="BN45" s="24"/>
      <c r="BO45" s="25"/>
      <c r="BQ45" s="38"/>
      <c r="BR45" s="38"/>
      <c r="BS45" s="24"/>
      <c r="BT45" s="24"/>
      <c r="BU45" s="135"/>
      <c r="BV45" s="24"/>
      <c r="BW45" s="24"/>
      <c r="BX45" s="22"/>
      <c r="BY45" s="22"/>
      <c r="BZ45" s="38"/>
      <c r="CA45" s="24"/>
      <c r="CB45" s="24"/>
      <c r="CC45" s="25"/>
      <c r="CD45" s="38"/>
      <c r="CE45" s="38"/>
      <c r="CF45" s="24"/>
      <c r="CG45" s="24"/>
      <c r="CH45" s="135"/>
      <c r="CI45" s="24"/>
      <c r="CJ45" s="24"/>
      <c r="CK45" s="22"/>
      <c r="CL45" s="22"/>
      <c r="CM45" s="38"/>
      <c r="CN45" s="24"/>
      <c r="CO45" s="24"/>
      <c r="CP45" s="25"/>
      <c r="CR45" s="38"/>
      <c r="CS45" s="38"/>
      <c r="CT45" s="24"/>
      <c r="CU45" s="24"/>
      <c r="CV45" s="135"/>
      <c r="CW45" s="24"/>
      <c r="CX45" s="24"/>
      <c r="CY45" s="22"/>
      <c r="CZ45" s="22"/>
      <c r="DA45" s="38"/>
      <c r="DB45" s="24"/>
      <c r="DC45" s="24"/>
      <c r="DD45" s="25"/>
    </row>
    <row r="46" spans="1:109" s="4" customFormat="1" ht="18.75" customHeight="1" x14ac:dyDescent="0.35">
      <c r="A46" s="160" t="s">
        <v>58</v>
      </c>
      <c r="B46" s="161"/>
      <c r="C46" s="148" t="s">
        <v>10</v>
      </c>
      <c r="D46" s="149"/>
      <c r="E46" s="148" t="s">
        <v>11</v>
      </c>
      <c r="F46" s="149"/>
      <c r="G46" s="146" t="s">
        <v>6</v>
      </c>
      <c r="H46" s="147"/>
      <c r="I46" s="84"/>
      <c r="J46" s="158" t="s">
        <v>16</v>
      </c>
      <c r="K46" s="159"/>
      <c r="L46" s="158" t="s">
        <v>17</v>
      </c>
      <c r="M46" s="159"/>
      <c r="O46" s="160" t="s">
        <v>58</v>
      </c>
      <c r="P46" s="161"/>
      <c r="Q46" s="148" t="s">
        <v>10</v>
      </c>
      <c r="R46" s="149"/>
      <c r="S46" s="148" t="s">
        <v>11</v>
      </c>
      <c r="T46" s="149"/>
      <c r="U46" s="146" t="s">
        <v>6</v>
      </c>
      <c r="V46" s="147"/>
      <c r="W46" s="84"/>
      <c r="X46" s="158" t="s">
        <v>16</v>
      </c>
      <c r="Y46" s="159"/>
      <c r="Z46" s="158" t="s">
        <v>17</v>
      </c>
      <c r="AA46" s="159"/>
      <c r="AB46" s="160" t="s">
        <v>58</v>
      </c>
      <c r="AC46" s="161"/>
      <c r="AD46" s="148" t="s">
        <v>10</v>
      </c>
      <c r="AE46" s="149"/>
      <c r="AF46" s="148" t="s">
        <v>11</v>
      </c>
      <c r="AG46" s="149"/>
      <c r="AH46" s="146" t="s">
        <v>6</v>
      </c>
      <c r="AI46" s="147"/>
      <c r="AJ46" s="84"/>
      <c r="AK46" s="158" t="s">
        <v>16</v>
      </c>
      <c r="AL46" s="159"/>
      <c r="AM46" s="158" t="s">
        <v>17</v>
      </c>
      <c r="AN46" s="159"/>
      <c r="AP46" s="160" t="s">
        <v>58</v>
      </c>
      <c r="AQ46" s="161"/>
      <c r="AR46" s="148" t="s">
        <v>10</v>
      </c>
      <c r="AS46" s="149"/>
      <c r="AT46" s="148" t="s">
        <v>11</v>
      </c>
      <c r="AU46" s="149"/>
      <c r="AV46" s="146" t="s">
        <v>6</v>
      </c>
      <c r="AW46" s="147"/>
      <c r="AX46" s="84"/>
      <c r="AY46" s="158" t="s">
        <v>16</v>
      </c>
      <c r="AZ46" s="159"/>
      <c r="BA46" s="158" t="s">
        <v>17</v>
      </c>
      <c r="BB46" s="159"/>
      <c r="BC46" s="160" t="s">
        <v>58</v>
      </c>
      <c r="BD46" s="161"/>
      <c r="BE46" s="148" t="s">
        <v>10</v>
      </c>
      <c r="BF46" s="149"/>
      <c r="BG46" s="148" t="s">
        <v>11</v>
      </c>
      <c r="BH46" s="149"/>
      <c r="BI46" s="146" t="s">
        <v>6</v>
      </c>
      <c r="BJ46" s="147"/>
      <c r="BK46" s="84"/>
      <c r="BL46" s="158" t="s">
        <v>16</v>
      </c>
      <c r="BM46" s="159"/>
      <c r="BN46" s="158" t="s">
        <v>17</v>
      </c>
      <c r="BO46" s="159"/>
      <c r="BQ46" s="160" t="s">
        <v>58</v>
      </c>
      <c r="BR46" s="161"/>
      <c r="BS46" s="148" t="s">
        <v>10</v>
      </c>
      <c r="BT46" s="149"/>
      <c r="BU46" s="148" t="s">
        <v>11</v>
      </c>
      <c r="BV46" s="149"/>
      <c r="BW46" s="146" t="s">
        <v>6</v>
      </c>
      <c r="BX46" s="147"/>
      <c r="BY46" s="84"/>
      <c r="BZ46" s="158" t="s">
        <v>16</v>
      </c>
      <c r="CA46" s="159"/>
      <c r="CB46" s="158" t="s">
        <v>17</v>
      </c>
      <c r="CC46" s="159"/>
      <c r="CD46" s="160" t="s">
        <v>58</v>
      </c>
      <c r="CE46" s="161"/>
      <c r="CF46" s="148" t="s">
        <v>10</v>
      </c>
      <c r="CG46" s="149"/>
      <c r="CH46" s="148" t="s">
        <v>11</v>
      </c>
      <c r="CI46" s="149"/>
      <c r="CJ46" s="146" t="s">
        <v>6</v>
      </c>
      <c r="CK46" s="147"/>
      <c r="CL46" s="84"/>
      <c r="CM46" s="158" t="s">
        <v>16</v>
      </c>
      <c r="CN46" s="159"/>
      <c r="CO46" s="158" t="s">
        <v>17</v>
      </c>
      <c r="CP46" s="159"/>
      <c r="CR46" s="160" t="s">
        <v>58</v>
      </c>
      <c r="CS46" s="161"/>
      <c r="CT46" s="148" t="s">
        <v>10</v>
      </c>
      <c r="CU46" s="149"/>
      <c r="CV46" s="148" t="s">
        <v>11</v>
      </c>
      <c r="CW46" s="149"/>
      <c r="CX46" s="146" t="s">
        <v>6</v>
      </c>
      <c r="CY46" s="147"/>
      <c r="CZ46" s="84"/>
      <c r="DA46" s="158" t="s">
        <v>16</v>
      </c>
      <c r="DB46" s="159"/>
      <c r="DC46" s="158" t="s">
        <v>17</v>
      </c>
      <c r="DD46" s="159"/>
    </row>
    <row r="47" spans="1:109" s="4" customFormat="1" ht="18.75" customHeight="1" x14ac:dyDescent="0.35">
      <c r="A47" s="162"/>
      <c r="B47" s="163"/>
      <c r="C47" s="154">
        <f>COUNT(H10:H13,H15:H20,H22:H27,H29:H34,H36:H38)</f>
        <v>25</v>
      </c>
      <c r="D47" s="155"/>
      <c r="E47" s="156">
        <f>SUM(A51-E51)</f>
        <v>73.483333333333348</v>
      </c>
      <c r="F47" s="157"/>
      <c r="G47" s="150">
        <f>SUM(F51)</f>
        <v>0</v>
      </c>
      <c r="H47" s="151"/>
      <c r="I47" s="85"/>
      <c r="J47" s="152">
        <f>COUNT(E9)</f>
        <v>1</v>
      </c>
      <c r="K47" s="153"/>
      <c r="L47" s="152">
        <f>J51</f>
        <v>7.7333333333333325</v>
      </c>
      <c r="M47" s="153"/>
      <c r="O47" s="162"/>
      <c r="P47" s="163"/>
      <c r="Q47" s="154">
        <f>COUNT(V10:V13,V15:V20,V22:V27,V29:V34,V36:V38)</f>
        <v>25</v>
      </c>
      <c r="R47" s="155"/>
      <c r="S47" s="156">
        <f>SUM(O51-S51)</f>
        <v>85.983333333333334</v>
      </c>
      <c r="T47" s="157"/>
      <c r="U47" s="150">
        <f>SUM(T51)</f>
        <v>10.916666666666668</v>
      </c>
      <c r="V47" s="151"/>
      <c r="W47" s="85"/>
      <c r="X47" s="152">
        <f>COUNT(S9)</f>
        <v>1</v>
      </c>
      <c r="Y47" s="153"/>
      <c r="Z47" s="152">
        <f>X51</f>
        <v>8.8999999999999986</v>
      </c>
      <c r="AA47" s="153"/>
      <c r="AB47" s="162"/>
      <c r="AC47" s="163"/>
      <c r="AD47" s="154">
        <f>COUNT(AI10:AI13,AI15:AI20,AI22:AI27,AI29:AI34,AI36:AI38)</f>
        <v>23</v>
      </c>
      <c r="AE47" s="155"/>
      <c r="AF47" s="156">
        <f>SUM(AB51-AF51)</f>
        <v>77.36666666666666</v>
      </c>
      <c r="AG47" s="157"/>
      <c r="AH47" s="150">
        <f>SUM(AG51)</f>
        <v>3.15</v>
      </c>
      <c r="AI47" s="151"/>
      <c r="AJ47" s="85"/>
      <c r="AK47" s="152">
        <f>COUNT(AF9)</f>
        <v>1</v>
      </c>
      <c r="AL47" s="153"/>
      <c r="AM47" s="152">
        <f>AK51</f>
        <v>8.8999999999999986</v>
      </c>
      <c r="AN47" s="153"/>
      <c r="AP47" s="162"/>
      <c r="AQ47" s="163"/>
      <c r="AR47" s="154">
        <f>COUNT(AW10:AW13,AW15:AW20,AW22:AW27,AW29:AW34,AW36:AW38)</f>
        <v>25</v>
      </c>
      <c r="AS47" s="155"/>
      <c r="AT47" s="156">
        <f>SUM(AP51-AT51)</f>
        <v>73.483333333333348</v>
      </c>
      <c r="AU47" s="157"/>
      <c r="AV47" s="150">
        <f>SUM(AU51)</f>
        <v>0</v>
      </c>
      <c r="AW47" s="151"/>
      <c r="AX47" s="85"/>
      <c r="AY47" s="152">
        <f>COUNT(AT9)</f>
        <v>1</v>
      </c>
      <c r="AZ47" s="153"/>
      <c r="BA47" s="152">
        <f>AY51</f>
        <v>3.3333333333333321</v>
      </c>
      <c r="BB47" s="153"/>
      <c r="BC47" s="162"/>
      <c r="BD47" s="163"/>
      <c r="BE47" s="154">
        <f>COUNT(BJ10:BJ13,BJ15:BJ20,BJ22:BJ27,BJ29:BJ34,BJ36:BJ38)</f>
        <v>25</v>
      </c>
      <c r="BF47" s="155"/>
      <c r="BG47" s="156">
        <f>SUM(BC51-BG51)</f>
        <v>73.483333333333348</v>
      </c>
      <c r="BH47" s="157"/>
      <c r="BI47" s="150">
        <f>SUM(BH51)</f>
        <v>0</v>
      </c>
      <c r="BJ47" s="151"/>
      <c r="BK47" s="85"/>
      <c r="BL47" s="152">
        <f>COUNT(BG9)</f>
        <v>1</v>
      </c>
      <c r="BM47" s="153"/>
      <c r="BN47" s="152">
        <f>BL51</f>
        <v>9.4166666666666661</v>
      </c>
      <c r="BO47" s="153"/>
      <c r="BQ47" s="162"/>
      <c r="BR47" s="163"/>
      <c r="BS47" s="154">
        <f>COUNT(BX10:BX13,BX15:BX20,BX22:BX27,BX29:BX34,BX36:BX38)</f>
        <v>25</v>
      </c>
      <c r="BT47" s="155"/>
      <c r="BU47" s="156">
        <f>SUM(BQ51-BU51)</f>
        <v>73.483333333333348</v>
      </c>
      <c r="BV47" s="157"/>
      <c r="BW47" s="150">
        <f>SUM(BV51)</f>
        <v>7.0000000000000027</v>
      </c>
      <c r="BX47" s="151"/>
      <c r="BY47" s="85"/>
      <c r="BZ47" s="152">
        <f>COUNT(BU9)</f>
        <v>1</v>
      </c>
      <c r="CA47" s="153"/>
      <c r="CB47" s="152">
        <f>BZ51</f>
        <v>7.7333333333333325</v>
      </c>
      <c r="CC47" s="153"/>
      <c r="CD47" s="162"/>
      <c r="CE47" s="163"/>
      <c r="CF47" s="154">
        <f>COUNT(CK10:CK13,CK15:CK20,CK22:CK27,CK29:CK34,CK36:CK38)</f>
        <v>0</v>
      </c>
      <c r="CG47" s="155"/>
      <c r="CH47" s="156">
        <f>SUM(CD51-CH51)</f>
        <v>0</v>
      </c>
      <c r="CI47" s="157"/>
      <c r="CJ47" s="150">
        <f>SUM(CI51)</f>
        <v>0</v>
      </c>
      <c r="CK47" s="151"/>
      <c r="CL47" s="85"/>
      <c r="CM47" s="152">
        <f>COUNT(CH9)</f>
        <v>0</v>
      </c>
      <c r="CN47" s="153"/>
      <c r="CO47" s="152">
        <f>CM51</f>
        <v>0</v>
      </c>
      <c r="CP47" s="153"/>
      <c r="CR47" s="162"/>
      <c r="CS47" s="163"/>
      <c r="CT47" s="154">
        <f>COUNT(CY10:CY13,CY15:CY20,CY22:CY27,CY29:CY34,CY36:CY38)</f>
        <v>25</v>
      </c>
      <c r="CU47" s="155"/>
      <c r="CV47" s="156">
        <f>SUM(CR51-CV51)</f>
        <v>85.983333333333334</v>
      </c>
      <c r="CW47" s="157"/>
      <c r="CX47" s="150">
        <f>SUM(CW51)</f>
        <v>5.7</v>
      </c>
      <c r="CY47" s="151"/>
      <c r="CZ47" s="85"/>
      <c r="DA47" s="152">
        <f>COUNT(CV9)</f>
        <v>1</v>
      </c>
      <c r="DB47" s="153"/>
      <c r="DC47" s="152">
        <f>DA51</f>
        <v>8.8999999999999986</v>
      </c>
      <c r="DD47" s="153"/>
    </row>
    <row r="48" spans="1:109" x14ac:dyDescent="0.35">
      <c r="A48" s="38"/>
      <c r="B48" s="38"/>
      <c r="C48" s="24"/>
      <c r="D48" s="24"/>
      <c r="E48" s="24"/>
      <c r="F48" s="24"/>
      <c r="G48" s="24"/>
      <c r="H48" s="22"/>
      <c r="I48" s="22"/>
      <c r="J48" s="38"/>
      <c r="K48" s="24"/>
      <c r="L48" s="24"/>
      <c r="M48" s="25"/>
      <c r="O48" s="38"/>
      <c r="P48" s="38"/>
      <c r="Q48" s="24"/>
      <c r="R48" s="24"/>
      <c r="S48" s="24"/>
      <c r="T48" s="24"/>
      <c r="U48" s="24"/>
      <c r="V48" s="22"/>
      <c r="W48" s="22"/>
      <c r="X48" s="38"/>
      <c r="Y48" s="24"/>
      <c r="Z48" s="24"/>
      <c r="AA48" s="25"/>
      <c r="AB48" s="38"/>
      <c r="AC48" s="38"/>
      <c r="AD48" s="24"/>
      <c r="AE48" s="24"/>
      <c r="AF48" s="24"/>
      <c r="AG48" s="24"/>
      <c r="AH48" s="24"/>
      <c r="AI48" s="22"/>
      <c r="AJ48" s="22"/>
      <c r="AK48" s="38"/>
      <c r="AL48" s="24"/>
      <c r="AM48" s="24"/>
      <c r="AN48" s="25"/>
      <c r="AP48" s="38"/>
      <c r="AQ48" s="38"/>
      <c r="AR48" s="24"/>
      <c r="AS48" s="24"/>
      <c r="AT48" s="24"/>
      <c r="AU48" s="24"/>
      <c r="AV48" s="24"/>
      <c r="AW48" s="22"/>
      <c r="AX48" s="22"/>
      <c r="AY48" s="38"/>
      <c r="AZ48" s="24"/>
      <c r="BA48" s="24"/>
      <c r="BB48" s="25"/>
      <c r="BC48" s="38"/>
      <c r="BD48" s="38"/>
      <c r="BE48" s="24"/>
      <c r="BF48" s="24"/>
      <c r="BG48" s="24"/>
      <c r="BH48" s="24"/>
      <c r="BI48" s="24"/>
      <c r="BJ48" s="22"/>
      <c r="BK48" s="22"/>
      <c r="BL48" s="38"/>
      <c r="BM48" s="24"/>
      <c r="BN48" s="24"/>
      <c r="BO48" s="25"/>
      <c r="BQ48" s="38"/>
      <c r="BR48" s="38"/>
      <c r="BS48" s="24"/>
      <c r="BT48" s="24"/>
      <c r="BU48" s="24"/>
      <c r="BV48" s="24"/>
      <c r="BW48" s="24"/>
      <c r="BX48" s="22"/>
      <c r="BY48" s="22"/>
      <c r="BZ48" s="38"/>
      <c r="CA48" s="24"/>
      <c r="CB48" s="24"/>
      <c r="CC48" s="25"/>
      <c r="CD48" s="38"/>
      <c r="CE48" s="38"/>
      <c r="CF48" s="24"/>
      <c r="CG48" s="24"/>
      <c r="CH48" s="24"/>
      <c r="CI48" s="24"/>
      <c r="CJ48" s="24"/>
      <c r="CK48" s="22"/>
      <c r="CL48" s="22"/>
      <c r="CM48" s="38"/>
      <c r="CN48" s="24"/>
      <c r="CO48" s="24"/>
      <c r="CP48" s="25"/>
      <c r="CR48" s="38"/>
      <c r="CS48" s="38"/>
      <c r="CT48" s="24"/>
      <c r="CU48" s="24"/>
      <c r="CV48" s="24"/>
      <c r="CW48" s="24"/>
      <c r="CX48" s="24"/>
      <c r="CY48" s="22"/>
      <c r="CZ48" s="22"/>
      <c r="DA48" s="38"/>
      <c r="DB48" s="24"/>
      <c r="DC48" s="24"/>
      <c r="DD48" s="25"/>
    </row>
    <row r="49" spans="1:108" ht="15" thickBot="1" x14ac:dyDescent="0.4">
      <c r="A49" s="38"/>
      <c r="B49" s="38"/>
      <c r="C49" s="24"/>
      <c r="D49" s="24"/>
      <c r="E49" s="24"/>
      <c r="F49" s="24"/>
      <c r="G49" s="24"/>
      <c r="H49" s="22"/>
      <c r="I49" s="22"/>
      <c r="J49" s="38"/>
      <c r="K49" s="24"/>
      <c r="L49" s="24"/>
      <c r="M49" s="25"/>
      <c r="O49" s="38"/>
      <c r="P49" s="38"/>
      <c r="Q49" s="24"/>
      <c r="R49" s="24"/>
      <c r="S49" s="24"/>
      <c r="T49" s="24"/>
      <c r="U49" s="24"/>
      <c r="V49" s="22"/>
      <c r="W49" s="22"/>
      <c r="X49" s="38"/>
      <c r="Y49" s="24"/>
      <c r="Z49" s="24"/>
      <c r="AA49" s="25"/>
      <c r="AB49" s="38"/>
      <c r="AC49" s="38"/>
      <c r="AD49" s="24"/>
      <c r="AE49" s="24"/>
      <c r="AF49" s="24"/>
      <c r="AG49" s="24"/>
      <c r="AH49" s="24"/>
      <c r="AI49" s="22"/>
      <c r="AJ49" s="22"/>
      <c r="AK49" s="38"/>
      <c r="AL49" s="24"/>
      <c r="AM49" s="24"/>
      <c r="AN49" s="25"/>
      <c r="AP49" s="38"/>
      <c r="AQ49" s="38"/>
      <c r="AR49" s="24"/>
      <c r="AS49" s="24"/>
      <c r="AT49" s="24"/>
      <c r="AU49" s="24"/>
      <c r="AV49" s="24"/>
      <c r="AW49" s="22"/>
      <c r="AX49" s="22"/>
      <c r="AY49" s="38"/>
      <c r="AZ49" s="24"/>
      <c r="BA49" s="24"/>
      <c r="BB49" s="25"/>
      <c r="BC49" s="38"/>
      <c r="BD49" s="38"/>
      <c r="BE49" s="24"/>
      <c r="BF49" s="24"/>
      <c r="BG49" s="24"/>
      <c r="BH49" s="24"/>
      <c r="BI49" s="24"/>
      <c r="BJ49" s="22"/>
      <c r="BK49" s="22"/>
      <c r="BL49" s="38"/>
      <c r="BM49" s="24"/>
      <c r="BN49" s="24"/>
      <c r="BO49" s="25"/>
      <c r="BQ49" s="38"/>
      <c r="BR49" s="38"/>
      <c r="BS49" s="24"/>
      <c r="BT49" s="24"/>
      <c r="BU49" s="24"/>
      <c r="BV49" s="24"/>
      <c r="BW49" s="24"/>
      <c r="BX49" s="22"/>
      <c r="BY49" s="22"/>
      <c r="BZ49" s="38"/>
      <c r="CA49" s="24"/>
      <c r="CB49" s="24"/>
      <c r="CC49" s="25"/>
      <c r="CD49" s="38"/>
      <c r="CE49" s="38"/>
      <c r="CF49" s="24"/>
      <c r="CG49" s="24"/>
      <c r="CH49" s="24"/>
      <c r="CI49" s="24"/>
      <c r="CJ49" s="24"/>
      <c r="CK49" s="22"/>
      <c r="CL49" s="22"/>
      <c r="CM49" s="38"/>
      <c r="CN49" s="24"/>
      <c r="CO49" s="24"/>
      <c r="CP49" s="25"/>
      <c r="CR49" s="38"/>
      <c r="CS49" s="38"/>
      <c r="CT49" s="24"/>
      <c r="CU49" s="24"/>
      <c r="CV49" s="24"/>
      <c r="CW49" s="24"/>
      <c r="CX49" s="24"/>
      <c r="CY49" s="22"/>
      <c r="CZ49" s="22"/>
      <c r="DA49" s="38"/>
      <c r="DB49" s="24"/>
      <c r="DC49" s="24"/>
      <c r="DD49" s="25"/>
    </row>
    <row r="50" spans="1:108" s="5" customFormat="1" ht="28.5" x14ac:dyDescent="0.35">
      <c r="A50" s="140" t="s">
        <v>18</v>
      </c>
      <c r="B50" s="141"/>
      <c r="C50" s="41" t="s">
        <v>13</v>
      </c>
      <c r="D50" s="41" t="s">
        <v>14</v>
      </c>
      <c r="E50" s="26" t="s">
        <v>19</v>
      </c>
      <c r="F50" s="27" t="s">
        <v>6</v>
      </c>
      <c r="G50" s="28" t="s">
        <v>13</v>
      </c>
      <c r="H50" s="29" t="s">
        <v>14</v>
      </c>
      <c r="I50" s="142"/>
      <c r="J50" s="45" t="s">
        <v>16</v>
      </c>
      <c r="K50" s="46" t="s">
        <v>13</v>
      </c>
      <c r="L50" s="47" t="s">
        <v>14</v>
      </c>
      <c r="M50" s="67"/>
      <c r="O50" s="140" t="s">
        <v>18</v>
      </c>
      <c r="P50" s="141"/>
      <c r="Q50" s="41" t="s">
        <v>13</v>
      </c>
      <c r="R50" s="41" t="s">
        <v>14</v>
      </c>
      <c r="S50" s="26" t="s">
        <v>19</v>
      </c>
      <c r="T50" s="27" t="s">
        <v>6</v>
      </c>
      <c r="U50" s="28" t="s">
        <v>13</v>
      </c>
      <c r="V50" s="29" t="s">
        <v>14</v>
      </c>
      <c r="W50" s="142"/>
      <c r="X50" s="45" t="s">
        <v>16</v>
      </c>
      <c r="Y50" s="46" t="s">
        <v>13</v>
      </c>
      <c r="Z50" s="47" t="s">
        <v>14</v>
      </c>
      <c r="AA50" s="67"/>
      <c r="AB50" s="140" t="s">
        <v>18</v>
      </c>
      <c r="AC50" s="141"/>
      <c r="AD50" s="41" t="s">
        <v>13</v>
      </c>
      <c r="AE50" s="41" t="s">
        <v>14</v>
      </c>
      <c r="AF50" s="26" t="s">
        <v>19</v>
      </c>
      <c r="AG50" s="27" t="s">
        <v>6</v>
      </c>
      <c r="AH50" s="28" t="s">
        <v>13</v>
      </c>
      <c r="AI50" s="29" t="s">
        <v>14</v>
      </c>
      <c r="AJ50" s="142"/>
      <c r="AK50" s="45" t="s">
        <v>16</v>
      </c>
      <c r="AL50" s="46" t="s">
        <v>13</v>
      </c>
      <c r="AM50" s="47" t="s">
        <v>14</v>
      </c>
      <c r="AN50" s="67"/>
      <c r="AP50" s="140" t="s">
        <v>18</v>
      </c>
      <c r="AQ50" s="141"/>
      <c r="AR50" s="41" t="s">
        <v>13</v>
      </c>
      <c r="AS50" s="41" t="s">
        <v>14</v>
      </c>
      <c r="AT50" s="26" t="s">
        <v>19</v>
      </c>
      <c r="AU50" s="27" t="s">
        <v>6</v>
      </c>
      <c r="AV50" s="28" t="s">
        <v>13</v>
      </c>
      <c r="AW50" s="29" t="s">
        <v>14</v>
      </c>
      <c r="AX50" s="142"/>
      <c r="AY50" s="45" t="s">
        <v>16</v>
      </c>
      <c r="AZ50" s="46" t="s">
        <v>13</v>
      </c>
      <c r="BA50" s="47" t="s">
        <v>14</v>
      </c>
      <c r="BB50" s="67"/>
      <c r="BC50" s="140" t="s">
        <v>18</v>
      </c>
      <c r="BD50" s="141"/>
      <c r="BE50" s="41" t="s">
        <v>13</v>
      </c>
      <c r="BF50" s="41" t="s">
        <v>14</v>
      </c>
      <c r="BG50" s="26" t="s">
        <v>19</v>
      </c>
      <c r="BH50" s="27" t="s">
        <v>6</v>
      </c>
      <c r="BI50" s="28" t="s">
        <v>13</v>
      </c>
      <c r="BJ50" s="29" t="s">
        <v>14</v>
      </c>
      <c r="BK50" s="142"/>
      <c r="BL50" s="45" t="s">
        <v>16</v>
      </c>
      <c r="BM50" s="46" t="s">
        <v>13</v>
      </c>
      <c r="BN50" s="47" t="s">
        <v>14</v>
      </c>
      <c r="BO50" s="67"/>
      <c r="BQ50" s="140" t="s">
        <v>18</v>
      </c>
      <c r="BR50" s="141"/>
      <c r="BS50" s="41" t="s">
        <v>13</v>
      </c>
      <c r="BT50" s="41" t="s">
        <v>14</v>
      </c>
      <c r="BU50" s="26" t="s">
        <v>19</v>
      </c>
      <c r="BV50" s="27" t="s">
        <v>6</v>
      </c>
      <c r="BW50" s="28" t="s">
        <v>13</v>
      </c>
      <c r="BX50" s="29" t="s">
        <v>14</v>
      </c>
      <c r="BY50" s="142"/>
      <c r="BZ50" s="45" t="s">
        <v>16</v>
      </c>
      <c r="CA50" s="46" t="s">
        <v>13</v>
      </c>
      <c r="CB50" s="47" t="s">
        <v>14</v>
      </c>
      <c r="CC50" s="67"/>
      <c r="CD50" s="140" t="s">
        <v>18</v>
      </c>
      <c r="CE50" s="141"/>
      <c r="CF50" s="41" t="s">
        <v>13</v>
      </c>
      <c r="CG50" s="41" t="s">
        <v>14</v>
      </c>
      <c r="CH50" s="26" t="s">
        <v>19</v>
      </c>
      <c r="CI50" s="27" t="s">
        <v>6</v>
      </c>
      <c r="CJ50" s="28" t="s">
        <v>13</v>
      </c>
      <c r="CK50" s="29" t="s">
        <v>14</v>
      </c>
      <c r="CL50" s="142"/>
      <c r="CM50" s="45" t="s">
        <v>16</v>
      </c>
      <c r="CN50" s="46" t="s">
        <v>13</v>
      </c>
      <c r="CO50" s="47" t="s">
        <v>14</v>
      </c>
      <c r="CP50" s="67"/>
      <c r="CR50" s="140" t="s">
        <v>18</v>
      </c>
      <c r="CS50" s="141"/>
      <c r="CT50" s="41" t="s">
        <v>13</v>
      </c>
      <c r="CU50" s="41" t="s">
        <v>14</v>
      </c>
      <c r="CV50" s="26" t="s">
        <v>19</v>
      </c>
      <c r="CW50" s="27" t="s">
        <v>6</v>
      </c>
      <c r="CX50" s="28" t="s">
        <v>13</v>
      </c>
      <c r="CY50" s="29" t="s">
        <v>14</v>
      </c>
      <c r="CZ50" s="142"/>
      <c r="DA50" s="45" t="s">
        <v>16</v>
      </c>
      <c r="DB50" s="46" t="s">
        <v>13</v>
      </c>
      <c r="DC50" s="47" t="s">
        <v>14</v>
      </c>
      <c r="DD50" s="67"/>
    </row>
    <row r="51" spans="1:108" s="2" customFormat="1" ht="29" thickBot="1" x14ac:dyDescent="0.4">
      <c r="A51" s="144">
        <f>SUM(C51+D51/60)</f>
        <v>77.233333333333348</v>
      </c>
      <c r="B51" s="145"/>
      <c r="C51" s="30">
        <f>SUM(K10:K13,K15:K20,K22:K27,K29:K34,K36:K38)</f>
        <v>61</v>
      </c>
      <c r="D51" s="30">
        <f>SUM(L10:L13,L15:L20,L22:L27,L29:L34,L36:L38)</f>
        <v>974.00000000000136</v>
      </c>
      <c r="E51" s="104">
        <f>C47*0.15</f>
        <v>3.75</v>
      </c>
      <c r="F51" s="31">
        <f>SUM(G51+H51/60)</f>
        <v>0</v>
      </c>
      <c r="G51" s="32">
        <f>SUM(K14,K21,K28,K35)</f>
        <v>0</v>
      </c>
      <c r="H51" s="32">
        <f>SUM(L14,L21,L28,L35)</f>
        <v>0</v>
      </c>
      <c r="I51" s="143"/>
      <c r="J51" s="48">
        <f>(K51+L51/60)</f>
        <v>7.7333333333333325</v>
      </c>
      <c r="K51" s="49">
        <f>SUM(K9)</f>
        <v>7</v>
      </c>
      <c r="L51" s="68">
        <f>SUM(L9)</f>
        <v>43.99999999999995</v>
      </c>
      <c r="M51" s="67"/>
      <c r="O51" s="144">
        <f>SUM(Q51+R51/60)</f>
        <v>89.733333333333334</v>
      </c>
      <c r="P51" s="145"/>
      <c r="Q51" s="30">
        <f>SUM(Y10:Y13,Y15:Y20,Y22:Y27,Y29:Y34,Y36:Y38)</f>
        <v>72</v>
      </c>
      <c r="R51" s="30">
        <f>SUM(Z10:Z13,Z15:Z20,Z22:Z27,Z29:Z34,Z36:Z38)</f>
        <v>1063.9999999999998</v>
      </c>
      <c r="S51" s="104">
        <f>Q47*0.15</f>
        <v>3.75</v>
      </c>
      <c r="T51" s="31">
        <f>SUM(U51+V51/60)</f>
        <v>10.916666666666668</v>
      </c>
      <c r="U51" s="32">
        <f>SUM(Y14,Y21,Y28,Y35)</f>
        <v>9</v>
      </c>
      <c r="V51" s="32">
        <f>SUM(Z14,Z21,Z28,Z35)</f>
        <v>115.00000000000003</v>
      </c>
      <c r="W51" s="143"/>
      <c r="X51" s="48">
        <f>(Y51+Z51/60)</f>
        <v>8.8999999999999986</v>
      </c>
      <c r="Y51" s="49">
        <f>SUM(Y9)</f>
        <v>8</v>
      </c>
      <c r="Z51" s="68">
        <f>SUM(Z9)</f>
        <v>53.999999999999915</v>
      </c>
      <c r="AA51" s="67"/>
      <c r="AB51" s="144">
        <f>SUM(AD51+AE51/60)</f>
        <v>80.816666666666663</v>
      </c>
      <c r="AC51" s="145"/>
      <c r="AD51" s="30">
        <f>SUM(AL10:AL13,AL15:AL20,AL22:AL27,AL29:AL34,AL36:AL38)</f>
        <v>65</v>
      </c>
      <c r="AE51" s="30">
        <f>SUM(AM10:AM13,AM15:AM20,AM22:AM27,AM29:AM34,AM36:AM38)</f>
        <v>948.99999999999966</v>
      </c>
      <c r="AF51" s="104">
        <f>AD47*0.15</f>
        <v>3.4499999999999997</v>
      </c>
      <c r="AG51" s="31">
        <f>SUM(AH51+AI51/60)</f>
        <v>3.15</v>
      </c>
      <c r="AH51" s="32">
        <f>SUM(AL14,AL21,AL28,AL35)</f>
        <v>3</v>
      </c>
      <c r="AI51" s="32">
        <f>SUM(AM14,AM21,AM28,AM35)</f>
        <v>8.9999999999999858</v>
      </c>
      <c r="AJ51" s="143"/>
      <c r="AK51" s="48">
        <f>(AL51+AM51/60)</f>
        <v>8.8999999999999986</v>
      </c>
      <c r="AL51" s="49">
        <f>SUM(AL9)</f>
        <v>8</v>
      </c>
      <c r="AM51" s="68">
        <f>SUM(AM9)</f>
        <v>53.999999999999915</v>
      </c>
      <c r="AN51" s="67"/>
      <c r="AP51" s="144">
        <f>SUM(AR51+AS51/60)</f>
        <v>77.233333333333348</v>
      </c>
      <c r="AQ51" s="145"/>
      <c r="AR51" s="30">
        <f>SUM(AZ10:AZ13,AZ15:AZ20,AZ22:AZ27,AZ29:AZ34,AZ36:AZ38)</f>
        <v>61</v>
      </c>
      <c r="AS51" s="30">
        <f>SUM(BA10:BA13,BA15:BA20,BA22:BA27,BA29:BA34,BA36:BA38)</f>
        <v>974.00000000000136</v>
      </c>
      <c r="AT51" s="104">
        <f>AR47*0.15</f>
        <v>3.75</v>
      </c>
      <c r="AU51" s="31">
        <f>SUM(AV51+AW51/60)</f>
        <v>0</v>
      </c>
      <c r="AV51" s="32">
        <f>SUM(AZ14,AZ21,AZ28,AZ35)</f>
        <v>0</v>
      </c>
      <c r="AW51" s="32">
        <f>SUM(BA14,BA21,BA28,BA35)</f>
        <v>0</v>
      </c>
      <c r="AX51" s="143"/>
      <c r="AY51" s="48">
        <f>(AZ51+BA51/60)</f>
        <v>3.3333333333333321</v>
      </c>
      <c r="AZ51" s="49">
        <f>SUM(AZ9)</f>
        <v>3</v>
      </c>
      <c r="BA51" s="68">
        <f>SUM(BA9)</f>
        <v>19.999999999999929</v>
      </c>
      <c r="BB51" s="67"/>
      <c r="BC51" s="144">
        <f>SUM(BE51+BF51/60)</f>
        <v>77.233333333333348</v>
      </c>
      <c r="BD51" s="145"/>
      <c r="BE51" s="30">
        <f>SUM(BM10:BM13,BM15:BM20,BM22:BM27,BM29:BM34,BM36:BM38)</f>
        <v>61</v>
      </c>
      <c r="BF51" s="30">
        <f>SUM(BN10:BN13,BN15:BN20,BN22:BN27,BN29:BN34,BN36:BN38)</f>
        <v>974.00000000000136</v>
      </c>
      <c r="BG51" s="104">
        <f>BE47*0.15</f>
        <v>3.75</v>
      </c>
      <c r="BH51" s="31">
        <f>SUM(BI51+BJ51/60)</f>
        <v>0</v>
      </c>
      <c r="BI51" s="32">
        <f>SUM(BM14,BM21,BM28,BM35)</f>
        <v>0</v>
      </c>
      <c r="BJ51" s="32">
        <f>SUM(BN14,BN21,BN28,BN35)</f>
        <v>0</v>
      </c>
      <c r="BK51" s="143"/>
      <c r="BL51" s="48">
        <f>(BM51+BN51/60)</f>
        <v>9.4166666666666661</v>
      </c>
      <c r="BM51" s="49">
        <f>SUM(BM9)</f>
        <v>9</v>
      </c>
      <c r="BN51" s="68">
        <f>SUM(BN9)</f>
        <v>25</v>
      </c>
      <c r="BO51" s="67"/>
      <c r="BQ51" s="144">
        <f>SUM(BS51+BT51/60)</f>
        <v>77.233333333333348</v>
      </c>
      <c r="BR51" s="145"/>
      <c r="BS51" s="30">
        <f>SUM(CA10:CA13,CA15:CA20,CA22:CA27,CA29:CA34,CA36:CA38)</f>
        <v>61</v>
      </c>
      <c r="BT51" s="30">
        <f>SUM(CB10:CB13,CB15:CB20,CB22:CB27,CB29:CB34,CB36:CB38)</f>
        <v>974.00000000000136</v>
      </c>
      <c r="BU51" s="104">
        <f>BS47*0.15</f>
        <v>3.75</v>
      </c>
      <c r="BV51" s="31">
        <f>SUM(BW51+BX51/60)</f>
        <v>7.0000000000000027</v>
      </c>
      <c r="BW51" s="32">
        <f>SUM(CA14,CA21,CA28,CA35)</f>
        <v>6</v>
      </c>
      <c r="BX51" s="32">
        <f>SUM(CB14,CB21,CB28,CB35)</f>
        <v>60.000000000000142</v>
      </c>
      <c r="BY51" s="143"/>
      <c r="BZ51" s="48">
        <f>(CA51+CB51/60)</f>
        <v>7.7333333333333325</v>
      </c>
      <c r="CA51" s="49">
        <f>SUM(CA9)</f>
        <v>7</v>
      </c>
      <c r="CB51" s="68">
        <f>SUM(CB9)</f>
        <v>43.99999999999995</v>
      </c>
      <c r="CC51" s="67"/>
      <c r="CD51" s="144">
        <f>SUM(CF51+CG51/60)</f>
        <v>0</v>
      </c>
      <c r="CE51" s="145"/>
      <c r="CF51" s="30">
        <f>SUM(CN10:CN13,CN15:CN20,CN22:CN27,CN29:CN34,CN36:CN38)</f>
        <v>0</v>
      </c>
      <c r="CG51" s="30">
        <f>SUM(CO10:CO13,CO15:CO20,CO22:CO27,CO29:CO34,CO36:CO38)</f>
        <v>0</v>
      </c>
      <c r="CH51" s="104">
        <f>CF47*0.15</f>
        <v>0</v>
      </c>
      <c r="CI51" s="31">
        <f>SUM(CJ51+CK51/60)</f>
        <v>0</v>
      </c>
      <c r="CJ51" s="32">
        <f>SUM(CN14,CN21,CN28,CN35)</f>
        <v>0</v>
      </c>
      <c r="CK51" s="32">
        <f>SUM(CO14,CO21,CO28,CO35)</f>
        <v>0</v>
      </c>
      <c r="CL51" s="143"/>
      <c r="CM51" s="48">
        <f>(CN51+CO51/60)</f>
        <v>0</v>
      </c>
      <c r="CN51" s="49">
        <f>SUM(CN9)</f>
        <v>0</v>
      </c>
      <c r="CO51" s="68">
        <f>SUM(CO9)</f>
        <v>0</v>
      </c>
      <c r="CP51" s="67"/>
      <c r="CR51" s="144">
        <f>SUM(CT51+CU51/60)</f>
        <v>89.733333333333334</v>
      </c>
      <c r="CS51" s="145"/>
      <c r="CT51" s="30">
        <f>SUM(DB10:DB13,DB15:DB20,DB22:DB27,DB29:DB34,DB36:DB38)</f>
        <v>72</v>
      </c>
      <c r="CU51" s="30">
        <f>SUM(DC10:DC13,DC15:DC20,DC22:DC27,DC29:DC34,DC36:DC38)</f>
        <v>1063.9999999999998</v>
      </c>
      <c r="CV51" s="104">
        <f>CT47*0.15</f>
        <v>3.75</v>
      </c>
      <c r="CW51" s="31">
        <f>SUM(CX51+CY51/60)</f>
        <v>5.7</v>
      </c>
      <c r="CX51" s="32">
        <f>SUM(DB14,DB21,DB28,DB35)</f>
        <v>5</v>
      </c>
      <c r="CY51" s="32">
        <f>SUM(DC14,DC21,DC28,DC35)</f>
        <v>41.999999999999993</v>
      </c>
      <c r="CZ51" s="143"/>
      <c r="DA51" s="48">
        <f>(DB51+DC51/60)</f>
        <v>8.8999999999999986</v>
      </c>
      <c r="DB51" s="49">
        <f>SUM(DB9)</f>
        <v>8</v>
      </c>
      <c r="DC51" s="68">
        <f>SUM(DC9)</f>
        <v>53.999999999999915</v>
      </c>
      <c r="DD51" s="67"/>
    </row>
    <row r="53" spans="1:108" x14ac:dyDescent="0.35">
      <c r="A53" t="s">
        <v>24</v>
      </c>
      <c r="C53" s="20" t="str">
        <f>+C2</f>
        <v>ISLAM MD MAZAHARUL</v>
      </c>
      <c r="E53" s="101"/>
      <c r="F53" s="101"/>
      <c r="O53" t="s">
        <v>24</v>
      </c>
      <c r="Q53" s="20" t="str">
        <f>+Q2</f>
        <v>HLAING KYI OO</v>
      </c>
      <c r="S53" s="101"/>
      <c r="T53" s="101"/>
      <c r="AB53" t="s">
        <v>24</v>
      </c>
      <c r="AD53" s="20" t="str">
        <f>+AD2</f>
        <v>MYO MIN KYAW</v>
      </c>
      <c r="AF53" s="101"/>
      <c r="AG53" s="101"/>
      <c r="AP53" t="s">
        <v>24</v>
      </c>
      <c r="AR53" s="20" t="str">
        <f>+AR2</f>
        <v>ROHIT</v>
      </c>
      <c r="AT53" s="101"/>
      <c r="AU53" s="101"/>
      <c r="BC53" t="s">
        <v>24</v>
      </c>
      <c r="BE53" s="20" t="str">
        <f>+BE2</f>
        <v>RAY RAJ KUMAR</v>
      </c>
      <c r="BG53" s="101"/>
      <c r="BH53" s="101"/>
      <c r="BQ53" t="s">
        <v>24</v>
      </c>
      <c r="BS53" s="20" t="str">
        <f>+BS2</f>
        <v>SAH SATRUGHAN</v>
      </c>
      <c r="BU53" s="101"/>
      <c r="BV53" s="101"/>
      <c r="CD53" t="s">
        <v>24</v>
      </c>
      <c r="CF53" s="20" t="str">
        <f>+CF2</f>
        <v>MUKHIYA BIN SHAMBHU</v>
      </c>
      <c r="CH53" s="101"/>
      <c r="CI53" s="101"/>
      <c r="CR53" t="s">
        <v>24</v>
      </c>
      <c r="CT53" s="20" t="str">
        <f>+CT2</f>
        <v>YADAV ROHIT</v>
      </c>
      <c r="CV53" s="101"/>
      <c r="CW53" s="101"/>
    </row>
    <row r="54" spans="1:108" x14ac:dyDescent="0.35">
      <c r="A54" t="s">
        <v>25</v>
      </c>
      <c r="C54" s="10">
        <f>+C5</f>
        <v>25</v>
      </c>
      <c r="D54" s="13" t="s">
        <v>30</v>
      </c>
      <c r="E54">
        <v>65.38</v>
      </c>
      <c r="F54" t="s">
        <v>30</v>
      </c>
      <c r="G54">
        <f>SUM(C54*E54)</f>
        <v>1634.5</v>
      </c>
      <c r="O54" t="s">
        <v>25</v>
      </c>
      <c r="Q54" s="10">
        <f>+Q5</f>
        <v>25</v>
      </c>
      <c r="R54" s="13" t="s">
        <v>30</v>
      </c>
      <c r="S54">
        <v>65.38</v>
      </c>
      <c r="T54" t="s">
        <v>30</v>
      </c>
      <c r="U54">
        <f>SUM(Q54*S54)</f>
        <v>1634.5</v>
      </c>
      <c r="AB54" t="s">
        <v>25</v>
      </c>
      <c r="AD54" s="10">
        <f>+AD5</f>
        <v>23</v>
      </c>
      <c r="AE54" s="13" t="s">
        <v>30</v>
      </c>
      <c r="AF54">
        <v>65.38</v>
      </c>
      <c r="AG54" t="s">
        <v>30</v>
      </c>
      <c r="AH54">
        <f>SUM(AD54*AF54)</f>
        <v>1503.7399999999998</v>
      </c>
      <c r="AP54" t="s">
        <v>25</v>
      </c>
      <c r="AR54" s="10">
        <f>+AR5</f>
        <v>25</v>
      </c>
      <c r="AS54" s="13" t="s">
        <v>30</v>
      </c>
      <c r="AT54">
        <v>65.38</v>
      </c>
      <c r="AU54" t="s">
        <v>30</v>
      </c>
      <c r="AV54">
        <f>SUM(AR54*AT54)</f>
        <v>1634.5</v>
      </c>
      <c r="BC54" t="s">
        <v>25</v>
      </c>
      <c r="BE54" s="10">
        <f>+BE5</f>
        <v>25</v>
      </c>
      <c r="BF54" s="13" t="s">
        <v>30</v>
      </c>
      <c r="BG54">
        <v>65.38</v>
      </c>
      <c r="BH54" t="s">
        <v>30</v>
      </c>
      <c r="BI54">
        <f>SUM(BE54*BG54)</f>
        <v>1634.5</v>
      </c>
      <c r="BQ54" t="s">
        <v>25</v>
      </c>
      <c r="BS54" s="10">
        <f>+BS5</f>
        <v>25</v>
      </c>
      <c r="BT54" s="13" t="s">
        <v>30</v>
      </c>
      <c r="BU54">
        <v>65.38</v>
      </c>
      <c r="BV54" t="s">
        <v>30</v>
      </c>
      <c r="BW54">
        <f>SUM(BS54*BU54)</f>
        <v>1634.5</v>
      </c>
      <c r="CD54" t="s">
        <v>25</v>
      </c>
      <c r="CF54" s="10">
        <f>+CF5</f>
        <v>0</v>
      </c>
      <c r="CG54" s="13" t="s">
        <v>30</v>
      </c>
      <c r="CH54">
        <v>65.38</v>
      </c>
      <c r="CI54" t="s">
        <v>30</v>
      </c>
      <c r="CJ54">
        <f>SUM(CF54*CH54)</f>
        <v>0</v>
      </c>
      <c r="CR54" t="s">
        <v>25</v>
      </c>
      <c r="CT54" s="10">
        <f>+CT5</f>
        <v>25</v>
      </c>
      <c r="CU54" s="13" t="s">
        <v>30</v>
      </c>
      <c r="CV54">
        <v>65.38</v>
      </c>
      <c r="CW54" t="s">
        <v>30</v>
      </c>
      <c r="CX54">
        <f>SUM(CT54*CV54)</f>
        <v>1634.5</v>
      </c>
    </row>
    <row r="55" spans="1:108" x14ac:dyDescent="0.35">
      <c r="A55" t="s">
        <v>26</v>
      </c>
      <c r="C55" s="11">
        <f>+C6</f>
        <v>73.483333333333348</v>
      </c>
      <c r="D55" s="13" t="s">
        <v>30</v>
      </c>
      <c r="E55">
        <v>13.08</v>
      </c>
      <c r="F55" t="s">
        <v>30</v>
      </c>
      <c r="G55">
        <f>SUM(C55*E55)</f>
        <v>961.16200000000015</v>
      </c>
      <c r="O55" t="s">
        <v>26</v>
      </c>
      <c r="Q55" s="11">
        <f>+Q6</f>
        <v>85.983333333333334</v>
      </c>
      <c r="R55" s="13" t="s">
        <v>30</v>
      </c>
      <c r="S55">
        <v>13.08</v>
      </c>
      <c r="T55" t="s">
        <v>30</v>
      </c>
      <c r="U55">
        <f>SUM(Q55*S55)</f>
        <v>1124.662</v>
      </c>
      <c r="AB55" t="s">
        <v>26</v>
      </c>
      <c r="AD55" s="11">
        <f>+AD6</f>
        <v>77.36666666666666</v>
      </c>
      <c r="AE55" s="13" t="s">
        <v>30</v>
      </c>
      <c r="AF55">
        <v>13.08</v>
      </c>
      <c r="AG55" t="s">
        <v>30</v>
      </c>
      <c r="AH55">
        <f>SUM(AD55*AF55)</f>
        <v>1011.9559999999999</v>
      </c>
      <c r="AP55" t="s">
        <v>26</v>
      </c>
      <c r="AR55" s="11">
        <f>+AR6</f>
        <v>73.483333333333348</v>
      </c>
      <c r="AS55" s="13" t="s">
        <v>30</v>
      </c>
      <c r="AT55">
        <v>13.08</v>
      </c>
      <c r="AU55" t="s">
        <v>30</v>
      </c>
      <c r="AV55">
        <f>SUM(AR55*AT55)</f>
        <v>961.16200000000015</v>
      </c>
      <c r="BC55" t="s">
        <v>26</v>
      </c>
      <c r="BE55" s="11">
        <f>+BE6</f>
        <v>73.483333333333348</v>
      </c>
      <c r="BF55" s="13" t="s">
        <v>30</v>
      </c>
      <c r="BG55">
        <v>13.08</v>
      </c>
      <c r="BH55" t="s">
        <v>30</v>
      </c>
      <c r="BI55">
        <f>SUM(BE55*BG55)</f>
        <v>961.16200000000015</v>
      </c>
      <c r="BQ55" t="s">
        <v>26</v>
      </c>
      <c r="BS55" s="11">
        <f>+BS6</f>
        <v>73.483333333333348</v>
      </c>
      <c r="BT55" s="13" t="s">
        <v>30</v>
      </c>
      <c r="BU55">
        <v>13.08</v>
      </c>
      <c r="BV55" t="s">
        <v>30</v>
      </c>
      <c r="BW55">
        <f>SUM(BS55*BU55)</f>
        <v>961.16200000000015</v>
      </c>
      <c r="CD55" t="s">
        <v>26</v>
      </c>
      <c r="CF55" s="11">
        <f>+CF6</f>
        <v>0</v>
      </c>
      <c r="CG55" s="13" t="s">
        <v>30</v>
      </c>
      <c r="CH55">
        <v>13.08</v>
      </c>
      <c r="CI55" t="s">
        <v>30</v>
      </c>
      <c r="CJ55">
        <f>SUM(CF55*CH55)</f>
        <v>0</v>
      </c>
      <c r="CR55" t="s">
        <v>26</v>
      </c>
      <c r="CT55" s="11">
        <f>+CT6</f>
        <v>85.983333333333334</v>
      </c>
      <c r="CU55" s="13" t="s">
        <v>30</v>
      </c>
      <c r="CV55">
        <v>13.08</v>
      </c>
      <c r="CW55" t="s">
        <v>30</v>
      </c>
      <c r="CX55">
        <f>SUM(CT55*CV55)</f>
        <v>1124.662</v>
      </c>
    </row>
    <row r="56" spans="1:108" x14ac:dyDescent="0.35">
      <c r="A56" t="s">
        <v>27</v>
      </c>
      <c r="C56" s="10">
        <f>+G5</f>
        <v>0</v>
      </c>
      <c r="D56" s="13" t="s">
        <v>30</v>
      </c>
      <c r="E56">
        <v>17.43</v>
      </c>
      <c r="F56" t="s">
        <v>30</v>
      </c>
      <c r="G56">
        <f>SUM(C56*E56)</f>
        <v>0</v>
      </c>
      <c r="O56" t="s">
        <v>27</v>
      </c>
      <c r="Q56" s="10">
        <f>+U5</f>
        <v>10.916666666666668</v>
      </c>
      <c r="R56" s="13" t="s">
        <v>30</v>
      </c>
      <c r="S56">
        <v>17.43</v>
      </c>
      <c r="T56" t="s">
        <v>30</v>
      </c>
      <c r="U56">
        <f>SUM(Q56*S56)</f>
        <v>190.2775</v>
      </c>
      <c r="AB56" t="s">
        <v>27</v>
      </c>
      <c r="AD56" s="10">
        <f>+AH5</f>
        <v>3.15</v>
      </c>
      <c r="AE56" s="13" t="s">
        <v>30</v>
      </c>
      <c r="AF56">
        <v>17.43</v>
      </c>
      <c r="AG56" t="s">
        <v>30</v>
      </c>
      <c r="AH56">
        <f>SUM(AD56*AF56)</f>
        <v>54.904499999999999</v>
      </c>
      <c r="AP56" t="s">
        <v>27</v>
      </c>
      <c r="AR56" s="10">
        <f>+AV5</f>
        <v>0</v>
      </c>
      <c r="AS56" s="13" t="s">
        <v>30</v>
      </c>
      <c r="AT56">
        <v>17.43</v>
      </c>
      <c r="AU56" t="s">
        <v>30</v>
      </c>
      <c r="AV56">
        <f>SUM(AR56*AT56)</f>
        <v>0</v>
      </c>
      <c r="BC56" t="s">
        <v>27</v>
      </c>
      <c r="BE56" s="10">
        <f>+BI5</f>
        <v>0</v>
      </c>
      <c r="BF56" s="13" t="s">
        <v>30</v>
      </c>
      <c r="BG56">
        <v>17.43</v>
      </c>
      <c r="BH56" t="s">
        <v>30</v>
      </c>
      <c r="BI56">
        <f>SUM(BE56*BG56)</f>
        <v>0</v>
      </c>
      <c r="BQ56" t="s">
        <v>27</v>
      </c>
      <c r="BS56" s="10">
        <f>+BW5</f>
        <v>7.0000000000000027</v>
      </c>
      <c r="BT56" s="13" t="s">
        <v>30</v>
      </c>
      <c r="BU56">
        <v>17.43</v>
      </c>
      <c r="BV56" t="s">
        <v>30</v>
      </c>
      <c r="BW56">
        <f>SUM(BS56*BU56)</f>
        <v>122.01000000000005</v>
      </c>
      <c r="CD56" t="s">
        <v>27</v>
      </c>
      <c r="CF56" s="10">
        <f>+CJ5</f>
        <v>0</v>
      </c>
      <c r="CG56" s="13" t="s">
        <v>30</v>
      </c>
      <c r="CH56">
        <v>17.43</v>
      </c>
      <c r="CI56" t="s">
        <v>30</v>
      </c>
      <c r="CJ56">
        <f>SUM(CF56*CH56)</f>
        <v>0</v>
      </c>
      <c r="CR56" t="s">
        <v>27</v>
      </c>
      <c r="CT56" s="10">
        <f>+CX5</f>
        <v>5.7</v>
      </c>
      <c r="CU56" s="13" t="s">
        <v>30</v>
      </c>
      <c r="CV56">
        <v>17.43</v>
      </c>
      <c r="CW56" t="s">
        <v>30</v>
      </c>
      <c r="CX56">
        <f>SUM(CT56*CV56)</f>
        <v>99.350999999999999</v>
      </c>
    </row>
    <row r="57" spans="1:108" ht="18.75" customHeight="1" x14ac:dyDescent="0.35">
      <c r="A57" t="s">
        <v>28</v>
      </c>
      <c r="C57" s="10">
        <f>+L5</f>
        <v>1</v>
      </c>
      <c r="D57" s="13" t="s">
        <v>30</v>
      </c>
      <c r="E57">
        <v>65.38</v>
      </c>
      <c r="F57" t="s">
        <v>30</v>
      </c>
      <c r="G57">
        <f>SUM(C57*E57)</f>
        <v>65.38</v>
      </c>
      <c r="O57" t="s">
        <v>28</v>
      </c>
      <c r="Q57" s="10">
        <f>+Z5</f>
        <v>1</v>
      </c>
      <c r="R57" s="13" t="s">
        <v>30</v>
      </c>
      <c r="S57">
        <v>65.38</v>
      </c>
      <c r="T57" t="s">
        <v>30</v>
      </c>
      <c r="U57">
        <f>SUM(Q57*S57)</f>
        <v>65.38</v>
      </c>
      <c r="AB57" t="s">
        <v>28</v>
      </c>
      <c r="AD57" s="10">
        <f>+AM5</f>
        <v>1</v>
      </c>
      <c r="AE57" s="13" t="s">
        <v>30</v>
      </c>
      <c r="AF57">
        <v>65.38</v>
      </c>
      <c r="AG57" t="s">
        <v>30</v>
      </c>
      <c r="AH57">
        <f>SUM(AD57*AF57)</f>
        <v>65.38</v>
      </c>
      <c r="AP57" t="s">
        <v>28</v>
      </c>
      <c r="AR57" s="10">
        <f>+BA5</f>
        <v>1</v>
      </c>
      <c r="AS57" s="13" t="s">
        <v>30</v>
      </c>
      <c r="AT57">
        <v>65.38</v>
      </c>
      <c r="AU57" t="s">
        <v>30</v>
      </c>
      <c r="AV57">
        <f>SUM(AR57*AT57)</f>
        <v>65.38</v>
      </c>
      <c r="BC57" t="s">
        <v>28</v>
      </c>
      <c r="BE57" s="10">
        <f>+BN5</f>
        <v>1</v>
      </c>
      <c r="BF57" s="13" t="s">
        <v>30</v>
      </c>
      <c r="BG57">
        <v>65.38</v>
      </c>
      <c r="BH57" t="s">
        <v>30</v>
      </c>
      <c r="BI57">
        <f>SUM(BE57*BG57)</f>
        <v>65.38</v>
      </c>
      <c r="BQ57" t="s">
        <v>28</v>
      </c>
      <c r="BS57" s="10">
        <f>+CB5</f>
        <v>1</v>
      </c>
      <c r="BT57" s="13" t="s">
        <v>30</v>
      </c>
      <c r="BU57">
        <v>65.38</v>
      </c>
      <c r="BV57" t="s">
        <v>30</v>
      </c>
      <c r="BW57">
        <f>SUM(BS57*BU57)</f>
        <v>65.38</v>
      </c>
      <c r="CD57" t="s">
        <v>28</v>
      </c>
      <c r="CF57" s="10">
        <f>+CO5</f>
        <v>0</v>
      </c>
      <c r="CG57" s="13" t="s">
        <v>30</v>
      </c>
      <c r="CH57">
        <v>65.38</v>
      </c>
      <c r="CI57" t="s">
        <v>30</v>
      </c>
      <c r="CJ57">
        <f>SUM(CF57*CH57)</f>
        <v>0</v>
      </c>
      <c r="CR57" t="s">
        <v>28</v>
      </c>
      <c r="CT57" s="10">
        <f>+DC5</f>
        <v>1</v>
      </c>
      <c r="CU57" s="13" t="s">
        <v>30</v>
      </c>
      <c r="CV57">
        <v>65.38</v>
      </c>
      <c r="CW57" t="s">
        <v>30</v>
      </c>
      <c r="CX57">
        <f>SUM(CT57*CV57)</f>
        <v>65.38</v>
      </c>
    </row>
    <row r="58" spans="1:108" x14ac:dyDescent="0.35">
      <c r="A58" t="s">
        <v>29</v>
      </c>
      <c r="C58" s="10">
        <f>+L6</f>
        <v>7.7333333333333325</v>
      </c>
      <c r="D58" s="13" t="s">
        <v>30</v>
      </c>
      <c r="E58">
        <v>17.43</v>
      </c>
      <c r="F58" t="s">
        <v>30</v>
      </c>
      <c r="G58">
        <f>SUM(C58*E58)</f>
        <v>134.79199999999997</v>
      </c>
      <c r="O58" t="s">
        <v>29</v>
      </c>
      <c r="Q58" s="10">
        <f>+Z6</f>
        <v>8.8999999999999986</v>
      </c>
      <c r="R58" s="13" t="s">
        <v>30</v>
      </c>
      <c r="S58">
        <v>17.43</v>
      </c>
      <c r="T58" t="s">
        <v>30</v>
      </c>
      <c r="U58">
        <f>SUM(Q58*S58)</f>
        <v>155.12699999999998</v>
      </c>
      <c r="AB58" t="s">
        <v>29</v>
      </c>
      <c r="AD58" s="10">
        <f>+AM6</f>
        <v>8.8999999999999986</v>
      </c>
      <c r="AE58" s="13" t="s">
        <v>30</v>
      </c>
      <c r="AF58">
        <v>17.43</v>
      </c>
      <c r="AG58" t="s">
        <v>30</v>
      </c>
      <c r="AH58">
        <f>SUM(AD58*AF58)</f>
        <v>155.12699999999998</v>
      </c>
      <c r="AP58" t="s">
        <v>29</v>
      </c>
      <c r="AR58" s="10">
        <f>+BA6</f>
        <v>3.3333333333333321</v>
      </c>
      <c r="AS58" s="13" t="s">
        <v>30</v>
      </c>
      <c r="AT58">
        <v>17.43</v>
      </c>
      <c r="AU58" t="s">
        <v>30</v>
      </c>
      <c r="AV58">
        <f>SUM(AR58*AT58)</f>
        <v>58.09999999999998</v>
      </c>
      <c r="BC58" t="s">
        <v>29</v>
      </c>
      <c r="BE58" s="10">
        <f>+BN6</f>
        <v>9.4166666666666661</v>
      </c>
      <c r="BF58" s="13" t="s">
        <v>30</v>
      </c>
      <c r="BG58">
        <v>17.43</v>
      </c>
      <c r="BH58" t="s">
        <v>30</v>
      </c>
      <c r="BI58">
        <f>SUM(BE58*BG58)</f>
        <v>164.13249999999999</v>
      </c>
      <c r="BQ58" t="s">
        <v>29</v>
      </c>
      <c r="BS58" s="10">
        <f>+CB6</f>
        <v>7.7333333333333325</v>
      </c>
      <c r="BT58" s="13" t="s">
        <v>30</v>
      </c>
      <c r="BU58">
        <v>17.43</v>
      </c>
      <c r="BV58" t="s">
        <v>30</v>
      </c>
      <c r="BW58">
        <f>SUM(BS58*BU58)</f>
        <v>134.79199999999997</v>
      </c>
      <c r="CD58" t="s">
        <v>29</v>
      </c>
      <c r="CF58" s="10">
        <f>+CO6</f>
        <v>0</v>
      </c>
      <c r="CG58" s="13" t="s">
        <v>30</v>
      </c>
      <c r="CH58">
        <v>17.43</v>
      </c>
      <c r="CI58" t="s">
        <v>30</v>
      </c>
      <c r="CJ58">
        <f>SUM(CF58*CH58)</f>
        <v>0</v>
      </c>
      <c r="CR58" t="s">
        <v>29</v>
      </c>
      <c r="CT58" s="10">
        <f>+DC6</f>
        <v>8.8999999999999986</v>
      </c>
      <c r="CU58" s="13" t="s">
        <v>30</v>
      </c>
      <c r="CV58">
        <v>17.43</v>
      </c>
      <c r="CW58" t="s">
        <v>30</v>
      </c>
      <c r="CX58">
        <f>SUM(CT58*CV58)</f>
        <v>155.12699999999998</v>
      </c>
    </row>
    <row r="59" spans="1:108" x14ac:dyDescent="0.35">
      <c r="D59" s="13"/>
      <c r="E59" s="14"/>
      <c r="F59" s="14" t="s">
        <v>30</v>
      </c>
      <c r="G59" s="14">
        <f>SUM(G54:G58)</f>
        <v>2795.8340000000003</v>
      </c>
      <c r="R59" s="13"/>
      <c r="S59" s="14"/>
      <c r="T59" s="14" t="s">
        <v>30</v>
      </c>
      <c r="U59" s="14">
        <f>SUM(U54:U58)</f>
        <v>3169.9465000000005</v>
      </c>
      <c r="AE59" s="13"/>
      <c r="AF59" s="14"/>
      <c r="AG59" s="14" t="s">
        <v>30</v>
      </c>
      <c r="AH59" s="14">
        <f>SUM(AH54:AH58)</f>
        <v>2791.1075000000001</v>
      </c>
      <c r="AS59" s="13"/>
      <c r="AT59" s="14"/>
      <c r="AU59" s="14" t="s">
        <v>30</v>
      </c>
      <c r="AV59" s="14">
        <f>SUM(AV54:AV58)</f>
        <v>2719.1420000000003</v>
      </c>
      <c r="BF59" s="13"/>
      <c r="BG59" s="14"/>
      <c r="BH59" s="14" t="s">
        <v>30</v>
      </c>
      <c r="BI59" s="14">
        <f>SUM(BI54:BI58)</f>
        <v>2825.1745000000005</v>
      </c>
      <c r="BT59" s="13"/>
      <c r="BU59" s="14"/>
      <c r="BV59" s="14" t="s">
        <v>30</v>
      </c>
      <c r="BW59" s="14">
        <f>SUM(BW54:BW58)</f>
        <v>2917.8440000000005</v>
      </c>
      <c r="CG59" s="13"/>
      <c r="CH59" s="14"/>
      <c r="CI59" s="14" t="s">
        <v>30</v>
      </c>
      <c r="CJ59" s="14">
        <f>SUM(CJ54:CJ58)</f>
        <v>0</v>
      </c>
      <c r="CU59" s="13"/>
      <c r="CV59" s="14"/>
      <c r="CW59" s="14" t="s">
        <v>30</v>
      </c>
      <c r="CX59" s="14">
        <f>SUM(CX54:CX58)</f>
        <v>3079.0200000000004</v>
      </c>
    </row>
    <row r="60" spans="1:108" x14ac:dyDescent="0.35">
      <c r="D60" s="13"/>
      <c r="E60" t="s">
        <v>31</v>
      </c>
      <c r="F60" t="s">
        <v>30</v>
      </c>
      <c r="G60">
        <v>200</v>
      </c>
      <c r="R60" s="13"/>
      <c r="S60" t="s">
        <v>31</v>
      </c>
      <c r="T60" t="s">
        <v>30</v>
      </c>
      <c r="U60">
        <v>200</v>
      </c>
      <c r="AE60" s="13"/>
      <c r="AF60" t="s">
        <v>31</v>
      </c>
      <c r="AG60" t="s">
        <v>30</v>
      </c>
      <c r="AH60">
        <v>200</v>
      </c>
      <c r="AS60" s="13"/>
      <c r="AT60" t="s">
        <v>31</v>
      </c>
      <c r="AU60" t="s">
        <v>30</v>
      </c>
      <c r="AV60">
        <v>200</v>
      </c>
      <c r="BF60" s="13"/>
      <c r="BG60" t="s">
        <v>31</v>
      </c>
      <c r="BH60" t="s">
        <v>30</v>
      </c>
      <c r="BI60">
        <v>200</v>
      </c>
      <c r="BT60" s="13"/>
      <c r="BU60" t="s">
        <v>31</v>
      </c>
      <c r="BV60" t="s">
        <v>30</v>
      </c>
      <c r="BW60">
        <v>200</v>
      </c>
      <c r="CG60" s="13"/>
      <c r="CH60" t="s">
        <v>31</v>
      </c>
      <c r="CI60" t="s">
        <v>30</v>
      </c>
      <c r="CJ60">
        <v>200</v>
      </c>
      <c r="CU60" s="13"/>
      <c r="CV60" t="s">
        <v>31</v>
      </c>
      <c r="CW60" t="s">
        <v>30</v>
      </c>
      <c r="CX60">
        <v>200</v>
      </c>
    </row>
    <row r="62" spans="1:108" s="15" customFormat="1" x14ac:dyDescent="0.35">
      <c r="E62" s="15" t="s">
        <v>32</v>
      </c>
      <c r="F62" s="15" t="s">
        <v>30</v>
      </c>
      <c r="G62" s="15">
        <v>550</v>
      </c>
      <c r="H62" s="16"/>
      <c r="I62" s="16"/>
      <c r="J62" s="17"/>
      <c r="M62" s="18"/>
      <c r="S62" s="15" t="s">
        <v>32</v>
      </c>
      <c r="T62" s="15" t="s">
        <v>30</v>
      </c>
      <c r="U62" s="15">
        <v>550</v>
      </c>
      <c r="V62" s="16"/>
      <c r="W62" s="16"/>
      <c r="X62" s="17"/>
      <c r="AA62" s="18"/>
      <c r="AF62" s="15" t="s">
        <v>32</v>
      </c>
      <c r="AG62" s="15" t="s">
        <v>30</v>
      </c>
      <c r="AH62" s="15">
        <v>550</v>
      </c>
      <c r="AI62" s="16"/>
      <c r="AJ62" s="16"/>
      <c r="AK62" s="17"/>
      <c r="AN62" s="18"/>
      <c r="AT62" s="15" t="s">
        <v>32</v>
      </c>
      <c r="AU62" s="15" t="s">
        <v>30</v>
      </c>
      <c r="AV62" s="15">
        <v>550</v>
      </c>
      <c r="AW62" s="16"/>
      <c r="AX62" s="16"/>
      <c r="AY62" s="17"/>
      <c r="BB62" s="18"/>
      <c r="BG62" s="15" t="s">
        <v>32</v>
      </c>
      <c r="BH62" s="15" t="s">
        <v>30</v>
      </c>
      <c r="BI62" s="15">
        <v>550</v>
      </c>
      <c r="BJ62" s="16"/>
      <c r="BK62" s="16"/>
      <c r="BL62" s="17"/>
      <c r="BO62" s="18"/>
      <c r="BU62" s="15" t="s">
        <v>32</v>
      </c>
      <c r="BV62" s="15" t="s">
        <v>30</v>
      </c>
      <c r="BW62" s="15">
        <v>550</v>
      </c>
      <c r="BX62" s="16"/>
      <c r="BY62" s="16"/>
      <c r="BZ62" s="17"/>
      <c r="CC62" s="18"/>
      <c r="CH62" s="15" t="s">
        <v>32</v>
      </c>
      <c r="CI62" s="15" t="s">
        <v>30</v>
      </c>
      <c r="CJ62" s="15">
        <v>550</v>
      </c>
      <c r="CK62" s="16"/>
      <c r="CL62" s="16"/>
      <c r="CM62" s="17"/>
      <c r="CP62" s="18"/>
      <c r="CV62" s="15" t="s">
        <v>32</v>
      </c>
      <c r="CW62" s="15" t="s">
        <v>30</v>
      </c>
      <c r="CX62" s="15">
        <v>550</v>
      </c>
      <c r="CY62" s="16"/>
      <c r="CZ62" s="16"/>
      <c r="DA62" s="17"/>
      <c r="DD62" s="18"/>
    </row>
    <row r="63" spans="1:108" ht="15" thickBot="1" x14ac:dyDescent="0.4">
      <c r="E63" t="s">
        <v>33</v>
      </c>
      <c r="F63" s="19" t="s">
        <v>30</v>
      </c>
      <c r="G63" s="19">
        <f>SUM(G59+G60+G61-G62)</f>
        <v>2445.8340000000003</v>
      </c>
      <c r="S63" t="s">
        <v>33</v>
      </c>
      <c r="T63" s="19" t="s">
        <v>30</v>
      </c>
      <c r="U63" s="19">
        <f>SUM(U59+U60+U61-U62)</f>
        <v>2819.9465000000005</v>
      </c>
      <c r="AF63" t="s">
        <v>33</v>
      </c>
      <c r="AG63" s="19" t="s">
        <v>30</v>
      </c>
      <c r="AH63" s="19">
        <f>SUM(AH59+AH60+AH61-AH62)</f>
        <v>2441.1075000000001</v>
      </c>
      <c r="AT63" t="s">
        <v>33</v>
      </c>
      <c r="AU63" s="19" t="s">
        <v>30</v>
      </c>
      <c r="AV63" s="19">
        <f>SUM(AV59+AV60+AV61-AV62)</f>
        <v>2369.1420000000003</v>
      </c>
      <c r="BG63" t="s">
        <v>33</v>
      </c>
      <c r="BH63" s="19" t="s">
        <v>30</v>
      </c>
      <c r="BI63" s="19">
        <f>SUM(BI59+BI60+BI61-BI62)</f>
        <v>2475.1745000000005</v>
      </c>
      <c r="BU63" t="s">
        <v>33</v>
      </c>
      <c r="BV63" s="19" t="s">
        <v>30</v>
      </c>
      <c r="BW63" s="19">
        <f>SUM(BW59+BW60+BW61-BW62)</f>
        <v>2567.8440000000005</v>
      </c>
      <c r="CH63" t="s">
        <v>33</v>
      </c>
      <c r="CI63" s="19" t="s">
        <v>30</v>
      </c>
      <c r="CJ63" s="19">
        <f>SUM(CJ59+CJ60+CJ61-CJ62)</f>
        <v>-350</v>
      </c>
      <c r="CV63" t="s">
        <v>33</v>
      </c>
      <c r="CW63" s="19" t="s">
        <v>30</v>
      </c>
      <c r="CX63" s="19">
        <f>SUM(CX59+CX60+CX61-CX62)</f>
        <v>2729.0200000000004</v>
      </c>
    </row>
    <row r="64" spans="1:108" ht="15" thickTop="1" x14ac:dyDescent="0.35"/>
    <row r="248" spans="1:1" x14ac:dyDescent="0.35">
      <c r="A248" s="40">
        <v>45290</v>
      </c>
    </row>
  </sheetData>
  <mergeCells count="130">
    <mergeCell ref="CN2:CP2"/>
    <mergeCell ref="AF46:AG46"/>
    <mergeCell ref="AH46:AI46"/>
    <mergeCell ref="AK46:AL46"/>
    <mergeCell ref="AM46:AN46"/>
    <mergeCell ref="AD47:AE47"/>
    <mergeCell ref="AF47:AG47"/>
    <mergeCell ref="AH47:AI47"/>
    <mergeCell ref="BL47:BM47"/>
    <mergeCell ref="BN47:BO47"/>
    <mergeCell ref="CJ46:CK46"/>
    <mergeCell ref="AK47:AL47"/>
    <mergeCell ref="AM47:AN47"/>
    <mergeCell ref="AP8:AQ8"/>
    <mergeCell ref="AP46:AQ47"/>
    <mergeCell ref="AR46:AS46"/>
    <mergeCell ref="AT46:AU46"/>
    <mergeCell ref="AV46:AW46"/>
    <mergeCell ref="AY46:AZ46"/>
    <mergeCell ref="BA46:BB46"/>
    <mergeCell ref="AR47:AS47"/>
    <mergeCell ref="AT47:AU47"/>
    <mergeCell ref="AV47:AW47"/>
    <mergeCell ref="AY47:AZ47"/>
    <mergeCell ref="Z46:AA46"/>
    <mergeCell ref="Q47:R47"/>
    <mergeCell ref="S47:T47"/>
    <mergeCell ref="U47:V47"/>
    <mergeCell ref="X47:Y47"/>
    <mergeCell ref="Z47:AA47"/>
    <mergeCell ref="AB8:AC8"/>
    <mergeCell ref="AB46:AC47"/>
    <mergeCell ref="AD46:AE46"/>
    <mergeCell ref="BA47:BB47"/>
    <mergeCell ref="BC8:BD8"/>
    <mergeCell ref="CD8:CE8"/>
    <mergeCell ref="CJ47:CK47"/>
    <mergeCell ref="BQ8:BR8"/>
    <mergeCell ref="BQ46:BR47"/>
    <mergeCell ref="BS46:BT46"/>
    <mergeCell ref="BU46:BV46"/>
    <mergeCell ref="BW46:BX46"/>
    <mergeCell ref="BZ46:CA46"/>
    <mergeCell ref="AJ50:AJ51"/>
    <mergeCell ref="AB51:AC51"/>
    <mergeCell ref="O50:P50"/>
    <mergeCell ref="W50:W51"/>
    <mergeCell ref="O51:P51"/>
    <mergeCell ref="AB50:AC50"/>
    <mergeCell ref="A8:B8"/>
    <mergeCell ref="A46:B47"/>
    <mergeCell ref="C46:D46"/>
    <mergeCell ref="E46:F46"/>
    <mergeCell ref="G46:H46"/>
    <mergeCell ref="J46:K46"/>
    <mergeCell ref="L46:M46"/>
    <mergeCell ref="C47:D47"/>
    <mergeCell ref="E47:F47"/>
    <mergeCell ref="G47:H47"/>
    <mergeCell ref="J47:K47"/>
    <mergeCell ref="L47:M47"/>
    <mergeCell ref="O8:P8"/>
    <mergeCell ref="O46:P47"/>
    <mergeCell ref="Q46:R46"/>
    <mergeCell ref="S46:T46"/>
    <mergeCell ref="U46:V46"/>
    <mergeCell ref="X46:Y46"/>
    <mergeCell ref="BC51:BD51"/>
    <mergeCell ref="CF46:CG46"/>
    <mergeCell ref="CH46:CI46"/>
    <mergeCell ref="CF47:CG47"/>
    <mergeCell ref="CH47:CI47"/>
    <mergeCell ref="AX50:AX51"/>
    <mergeCell ref="AP51:AQ51"/>
    <mergeCell ref="BC50:BD50"/>
    <mergeCell ref="AP50:AQ50"/>
    <mergeCell ref="CB46:CC46"/>
    <mergeCell ref="BS47:BT47"/>
    <mergeCell ref="BU47:BV47"/>
    <mergeCell ref="BW47:BX47"/>
    <mergeCell ref="BZ47:CA47"/>
    <mergeCell ref="CB47:CC47"/>
    <mergeCell ref="BN46:BO46"/>
    <mergeCell ref="BE47:BF47"/>
    <mergeCell ref="BG47:BH47"/>
    <mergeCell ref="BI47:BJ47"/>
    <mergeCell ref="BY50:BY51"/>
    <mergeCell ref="BQ51:BR51"/>
    <mergeCell ref="CD46:CE47"/>
    <mergeCell ref="CD50:CE50"/>
    <mergeCell ref="BK50:BK51"/>
    <mergeCell ref="BA2:BB2"/>
    <mergeCell ref="A1:M1"/>
    <mergeCell ref="O1:AA1"/>
    <mergeCell ref="AB1:AN1"/>
    <mergeCell ref="AP1:BB1"/>
    <mergeCell ref="BC1:BO1"/>
    <mergeCell ref="BQ1:CC1"/>
    <mergeCell ref="CD1:CP1"/>
    <mergeCell ref="CR50:CS50"/>
    <mergeCell ref="CM47:CN47"/>
    <mergeCell ref="CO47:CP47"/>
    <mergeCell ref="CM46:CN46"/>
    <mergeCell ref="A50:B50"/>
    <mergeCell ref="I50:I51"/>
    <mergeCell ref="A51:B51"/>
    <mergeCell ref="BQ50:BR50"/>
    <mergeCell ref="CL50:CL51"/>
    <mergeCell ref="CD51:CE51"/>
    <mergeCell ref="CO46:CP46"/>
    <mergeCell ref="BC46:BD47"/>
    <mergeCell ref="BE46:BF46"/>
    <mergeCell ref="BG46:BH46"/>
    <mergeCell ref="BI46:BJ46"/>
    <mergeCell ref="BL46:BM46"/>
    <mergeCell ref="CZ50:CZ51"/>
    <mergeCell ref="CR51:CS51"/>
    <mergeCell ref="CR1:DD1"/>
    <mergeCell ref="CR8:CS8"/>
    <mergeCell ref="CR46:CS47"/>
    <mergeCell ref="CT46:CU46"/>
    <mergeCell ref="CV46:CW46"/>
    <mergeCell ref="CX46:CY46"/>
    <mergeCell ref="DA46:DB46"/>
    <mergeCell ref="DC46:DD46"/>
    <mergeCell ref="CT47:CU47"/>
    <mergeCell ref="CV47:CW47"/>
    <mergeCell ref="CX47:CY47"/>
    <mergeCell ref="DA47:DB47"/>
    <mergeCell ref="DC47:DD47"/>
  </mergeCells>
  <phoneticPr fontId="17" type="noConversion"/>
  <printOptions verticalCentered="1"/>
  <pageMargins left="0.23622047244094491" right="0" top="0" bottom="0" header="0" footer="0"/>
  <pageSetup paperSize="9" scale="54" orientation="landscape" r:id="rId1"/>
  <colBreaks count="3" manualBreakCount="3">
    <brk id="27" max="62" man="1"/>
    <brk id="54" max="62" man="1"/>
    <brk id="81" max="6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6:J37"/>
  <sheetViews>
    <sheetView topLeftCell="A4" workbookViewId="0">
      <selection activeCell="F9" sqref="F9"/>
    </sheetView>
  </sheetViews>
  <sheetFormatPr defaultColWidth="8.81640625" defaultRowHeight="14.5" x14ac:dyDescent="0.35"/>
  <sheetData>
    <row r="6" spans="1:10" x14ac:dyDescent="0.35">
      <c r="A6" s="18" t="s">
        <v>38</v>
      </c>
      <c r="B6" s="18"/>
      <c r="D6" s="11"/>
    </row>
    <row r="7" spans="1:10" x14ac:dyDescent="0.35">
      <c r="A7" s="18">
        <v>1</v>
      </c>
      <c r="B7" s="18">
        <v>20</v>
      </c>
      <c r="C7">
        <v>4</v>
      </c>
      <c r="D7" s="11">
        <f>SUM(B7:B7,C7:C7)/1</f>
        <v>24</v>
      </c>
      <c r="H7" t="s">
        <v>57</v>
      </c>
    </row>
    <row r="8" spans="1:10" x14ac:dyDescent="0.35">
      <c r="A8" s="18">
        <v>2</v>
      </c>
      <c r="B8" s="18">
        <v>20</v>
      </c>
      <c r="C8">
        <v>16</v>
      </c>
      <c r="D8" s="11">
        <f>SUM(B7:B8,C7:C8)/2</f>
        <v>30</v>
      </c>
      <c r="H8" s="11">
        <f>SUM(D19)</f>
        <v>28.25</v>
      </c>
    </row>
    <row r="9" spans="1:10" x14ac:dyDescent="0.35">
      <c r="A9" s="18">
        <v>3</v>
      </c>
      <c r="B9" s="18">
        <v>20</v>
      </c>
      <c r="C9">
        <v>7</v>
      </c>
      <c r="D9" s="11">
        <f>SUM(B7:B9,C7:C9)/3</f>
        <v>29</v>
      </c>
      <c r="H9" s="11">
        <f>SUM(D37)</f>
        <v>34.142857142857146</v>
      </c>
    </row>
    <row r="10" spans="1:10" x14ac:dyDescent="0.35">
      <c r="A10" s="18">
        <v>4</v>
      </c>
      <c r="B10" s="18">
        <v>20</v>
      </c>
      <c r="C10">
        <v>7</v>
      </c>
      <c r="D10" s="11">
        <f>SUM(B7:B10,C7:C10)/4</f>
        <v>28.5</v>
      </c>
      <c r="H10" s="44">
        <f>SUM(H8:H9)</f>
        <v>62.392857142857146</v>
      </c>
      <c r="I10">
        <v>2</v>
      </c>
      <c r="J10" s="43">
        <f>SUM(H10/I10)</f>
        <v>31.196428571428573</v>
      </c>
    </row>
    <row r="11" spans="1:10" x14ac:dyDescent="0.35">
      <c r="A11" s="18">
        <v>5</v>
      </c>
      <c r="B11" s="18">
        <v>20</v>
      </c>
      <c r="C11">
        <v>7</v>
      </c>
      <c r="D11" s="11">
        <f>SUM(B7:B11,C7:C11)/5</f>
        <v>28.2</v>
      </c>
    </row>
    <row r="12" spans="1:10" x14ac:dyDescent="0.35">
      <c r="A12" s="18">
        <v>6</v>
      </c>
      <c r="B12" s="18">
        <v>20</v>
      </c>
      <c r="C12">
        <v>11</v>
      </c>
      <c r="D12" s="11">
        <f>SUM(B7:B12,C7:C12)/6</f>
        <v>28.666666666666668</v>
      </c>
    </row>
    <row r="13" spans="1:10" x14ac:dyDescent="0.35">
      <c r="A13" s="18">
        <v>7</v>
      </c>
      <c r="B13" s="18">
        <v>20</v>
      </c>
      <c r="C13">
        <v>8</v>
      </c>
      <c r="D13" s="11">
        <f>SUM(B7:B13,C7:C13)/7</f>
        <v>28.571428571428573</v>
      </c>
    </row>
    <row r="14" spans="1:10" x14ac:dyDescent="0.35">
      <c r="A14" s="18">
        <v>8</v>
      </c>
      <c r="B14" s="18">
        <v>20</v>
      </c>
      <c r="C14">
        <v>5</v>
      </c>
      <c r="D14" s="11">
        <f>SUM(B7:B14,C7:C14)/8</f>
        <v>28.125</v>
      </c>
    </row>
    <row r="15" spans="1:10" x14ac:dyDescent="0.35">
      <c r="A15" s="18">
        <v>9</v>
      </c>
      <c r="B15" s="18">
        <v>20</v>
      </c>
      <c r="C15">
        <v>13</v>
      </c>
      <c r="D15" s="11">
        <f>SUM(B7:B15,C7:C15)/9</f>
        <v>28.666666666666668</v>
      </c>
    </row>
    <row r="16" spans="1:10" x14ac:dyDescent="0.35">
      <c r="A16" s="18">
        <v>10</v>
      </c>
      <c r="B16" s="18">
        <v>20</v>
      </c>
      <c r="C16">
        <v>9</v>
      </c>
      <c r="D16" s="11">
        <f>SUM(B7:B16,C7:C16)/10</f>
        <v>28.7</v>
      </c>
    </row>
    <row r="17" spans="1:4" x14ac:dyDescent="0.35">
      <c r="A17" s="18">
        <v>11</v>
      </c>
      <c r="B17" s="18">
        <v>20</v>
      </c>
      <c r="C17">
        <v>12</v>
      </c>
      <c r="D17" s="11">
        <f>SUM(B7:B17,C7:C17)/11</f>
        <v>29</v>
      </c>
    </row>
    <row r="18" spans="1:4" x14ac:dyDescent="0.35">
      <c r="A18" s="18">
        <v>12</v>
      </c>
      <c r="B18" s="18">
        <v>20</v>
      </c>
      <c r="C18">
        <v>0</v>
      </c>
      <c r="D18" s="11">
        <f>SUM(B8:B18,C8:C18)/12</f>
        <v>26.25</v>
      </c>
    </row>
    <row r="19" spans="1:4" x14ac:dyDescent="0.35">
      <c r="A19" s="18"/>
      <c r="B19" s="35">
        <f>SUM(B7:B18)</f>
        <v>240</v>
      </c>
      <c r="C19" s="36">
        <f>SUM(C7:C18)</f>
        <v>99</v>
      </c>
      <c r="D19" s="37">
        <f>SUM(B19+C19)/12</f>
        <v>28.25</v>
      </c>
    </row>
    <row r="22" spans="1:4" x14ac:dyDescent="0.35">
      <c r="A22" s="18" t="s">
        <v>38</v>
      </c>
      <c r="B22" s="18"/>
      <c r="D22" s="11"/>
    </row>
    <row r="23" spans="1:4" x14ac:dyDescent="0.35">
      <c r="A23" s="18">
        <v>1</v>
      </c>
      <c r="B23" s="18">
        <v>20</v>
      </c>
      <c r="C23">
        <v>15</v>
      </c>
      <c r="D23" s="11">
        <f>SUM(B23:B23,C23:C23)/1</f>
        <v>35</v>
      </c>
    </row>
    <row r="24" spans="1:4" x14ac:dyDescent="0.35">
      <c r="A24" s="18">
        <v>2</v>
      </c>
      <c r="B24" s="18">
        <v>20</v>
      </c>
      <c r="C24">
        <v>14</v>
      </c>
      <c r="D24" s="11">
        <f>SUM(B23:B24,C23:C24)/2</f>
        <v>34.5</v>
      </c>
    </row>
    <row r="25" spans="1:4" x14ac:dyDescent="0.35">
      <c r="A25" s="18">
        <v>3</v>
      </c>
      <c r="B25" s="18">
        <v>20</v>
      </c>
      <c r="C25">
        <v>10</v>
      </c>
      <c r="D25" s="11">
        <f>SUM(B23:B25,C23:C25)/3</f>
        <v>33</v>
      </c>
    </row>
    <row r="26" spans="1:4" x14ac:dyDescent="0.35">
      <c r="A26" s="18">
        <v>4</v>
      </c>
      <c r="B26" s="18">
        <v>20</v>
      </c>
      <c r="C26">
        <v>14</v>
      </c>
      <c r="D26" s="11">
        <f>SUM(B23:B26,C23:C26)/4</f>
        <v>33.25</v>
      </c>
    </row>
    <row r="27" spans="1:4" x14ac:dyDescent="0.35">
      <c r="A27" s="18">
        <v>5</v>
      </c>
      <c r="B27" s="18">
        <v>20</v>
      </c>
      <c r="C27">
        <v>24</v>
      </c>
      <c r="D27" s="11">
        <f>SUM(B23:B27,C23:C27)/5</f>
        <v>35.4</v>
      </c>
    </row>
    <row r="28" spans="1:4" x14ac:dyDescent="0.35">
      <c r="A28" s="18">
        <v>6</v>
      </c>
      <c r="B28" s="18">
        <v>20</v>
      </c>
      <c r="C28">
        <v>14</v>
      </c>
      <c r="D28" s="11">
        <f>SUM(B23:B28,C23:C28)/6</f>
        <v>35.166666666666664</v>
      </c>
    </row>
    <row r="29" spans="1:4" x14ac:dyDescent="0.35">
      <c r="A29" s="18">
        <v>7</v>
      </c>
      <c r="B29" s="18">
        <v>20</v>
      </c>
      <c r="C29">
        <v>14</v>
      </c>
      <c r="D29" s="11">
        <f>SUM(B23:B29,C23:C29)/7</f>
        <v>35</v>
      </c>
    </row>
    <row r="30" spans="1:4" x14ac:dyDescent="0.35">
      <c r="A30" s="18">
        <v>8</v>
      </c>
      <c r="B30" s="18">
        <v>20</v>
      </c>
      <c r="C30">
        <v>11</v>
      </c>
      <c r="D30" s="11">
        <f>SUM(B23:B30,C23:C30)/8</f>
        <v>34.5</v>
      </c>
    </row>
    <row r="31" spans="1:4" x14ac:dyDescent="0.35">
      <c r="A31" s="18">
        <v>9</v>
      </c>
      <c r="B31" s="18">
        <v>20</v>
      </c>
      <c r="C31">
        <v>8</v>
      </c>
      <c r="D31" s="11">
        <f>SUM(B23:B31,C23:C31)/9</f>
        <v>33.777777777777779</v>
      </c>
    </row>
    <row r="32" spans="1:4" x14ac:dyDescent="0.35">
      <c r="A32" s="18">
        <v>10</v>
      </c>
      <c r="B32" s="18">
        <v>20</v>
      </c>
      <c r="C32">
        <v>20</v>
      </c>
      <c r="D32" s="11">
        <f>SUM(B23:B32,C23:C32)/10</f>
        <v>34.4</v>
      </c>
    </row>
    <row r="33" spans="1:4" x14ac:dyDescent="0.35">
      <c r="A33" s="18">
        <v>11</v>
      </c>
      <c r="B33" s="18">
        <v>20</v>
      </c>
      <c r="C33">
        <v>17</v>
      </c>
      <c r="D33" s="11">
        <f>SUM(B23:B33,C23:C33)/11</f>
        <v>34.636363636363633</v>
      </c>
    </row>
    <row r="34" spans="1:4" x14ac:dyDescent="0.35">
      <c r="A34" s="18">
        <v>12</v>
      </c>
      <c r="B34" s="18">
        <v>20</v>
      </c>
      <c r="C34">
        <v>23</v>
      </c>
      <c r="D34" s="11">
        <f>SUM(B23:B34,C23:C34)/12</f>
        <v>35.333333333333336</v>
      </c>
    </row>
    <row r="35" spans="1:4" x14ac:dyDescent="0.35">
      <c r="A35" s="18">
        <v>13</v>
      </c>
      <c r="B35" s="18">
        <v>20</v>
      </c>
      <c r="C35">
        <v>5</v>
      </c>
      <c r="D35" s="11">
        <f>SUM(B23:B35,C23:C35)/13</f>
        <v>34.53846153846154</v>
      </c>
    </row>
    <row r="36" spans="1:4" x14ac:dyDescent="0.35">
      <c r="A36" s="18">
        <v>14</v>
      </c>
      <c r="B36" s="18">
        <v>20</v>
      </c>
      <c r="C36">
        <v>9</v>
      </c>
      <c r="D36" s="11">
        <f>SUM(B24:B36,C24:C36)/14</f>
        <v>31.642857142857142</v>
      </c>
    </row>
    <row r="37" spans="1:4" x14ac:dyDescent="0.35">
      <c r="A37" s="18"/>
      <c r="B37" s="35">
        <f>SUM(B23:B36)</f>
        <v>280</v>
      </c>
      <c r="C37" s="36">
        <f>SUM(C23:C36)</f>
        <v>198</v>
      </c>
      <c r="D37" s="37">
        <f>SUM(B37:C37)/14</f>
        <v>34.142857142857146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KB B4</vt:lpstr>
      <vt:lpstr>KB B3</vt:lpstr>
      <vt:lpstr>KB B2</vt:lpstr>
      <vt:lpstr>KB B1 </vt:lpstr>
      <vt:lpstr>KL B4</vt:lpstr>
      <vt:lpstr>KL B3</vt:lpstr>
      <vt:lpstr>KL B2</vt:lpstr>
      <vt:lpstr>KL B1</vt:lpstr>
      <vt:lpstr>Sheet2</vt:lpstr>
      <vt:lpstr>'KB B1 '!Print_Area</vt:lpstr>
      <vt:lpstr>'KB B2'!Print_Area</vt:lpstr>
      <vt:lpstr>'KB B3'!Print_Area</vt:lpstr>
      <vt:lpstr>'KB B4'!Print_Area</vt:lpstr>
      <vt:lpstr>'KL B1'!Print_Area</vt:lpstr>
      <vt:lpstr>'KL B2'!Print_Area</vt:lpstr>
      <vt:lpstr>'KL B3'!Print_Area</vt:lpstr>
      <vt:lpstr>'KL B4'!Print_Area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Tunglam</dc:creator>
  <cp:lastModifiedBy>TEH MING HUI</cp:lastModifiedBy>
  <cp:lastPrinted>2026-07-07T17:10:39Z</cp:lastPrinted>
  <dcterms:created xsi:type="dcterms:W3CDTF">2022-05-31T06:30:11Z</dcterms:created>
  <dcterms:modified xsi:type="dcterms:W3CDTF">2026-07-08T08:45:46Z</dcterms:modified>
</cp:coreProperties>
</file>